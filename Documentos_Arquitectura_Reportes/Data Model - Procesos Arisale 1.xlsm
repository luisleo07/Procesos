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YECTOS 2025\5.- BAUS\12.- REPORTE ARISALE\"/>
    </mc:Choice>
  </mc:AlternateContent>
  <xr:revisionPtr revIDLastSave="0" documentId="13_ncr:1_{D1740646-A86B-4BFD-9A40-73D6D36CD8BF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companies" sheetId="2" r:id="rId1"/>
    <sheet name="devices" sheetId="6" r:id="rId2"/>
    <sheet name="sales_and_payments" sheetId="7" r:id="rId3"/>
    <sheet name="sales_x_products" sheetId="8" r:id="rId4"/>
    <sheet name="usage" sheetId="9" r:id="rId5"/>
    <sheet name="users" sheetId="10" r:id="rId6"/>
  </sheets>
  <definedNames>
    <definedName name="_xleta.AND" hidden="1" xlm="1">#NAME?</definedName>
    <definedName name="_xleta.TYP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0" l="1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3" i="10"/>
  <c r="C19" i="9"/>
  <c r="C18" i="9"/>
  <c r="C17" i="9"/>
  <c r="C16" i="9"/>
  <c r="C4" i="9"/>
  <c r="C4" i="8"/>
  <c r="C17" i="8"/>
  <c r="C16" i="8"/>
  <c r="C15" i="8"/>
  <c r="C14" i="8"/>
  <c r="C20" i="7"/>
  <c r="C19" i="7"/>
  <c r="C18" i="7"/>
  <c r="C17" i="7"/>
  <c r="C4" i="7"/>
  <c r="C4" i="6"/>
  <c r="C14" i="6"/>
  <c r="C13" i="6"/>
  <c r="C12" i="6"/>
  <c r="C11" i="6"/>
  <c r="C4" i="2"/>
  <c r="C21" i="2"/>
  <c r="C20" i="2"/>
  <c r="C19" i="2"/>
  <c r="C18" i="2"/>
  <c r="C14" i="9"/>
  <c r="C13" i="9"/>
  <c r="C12" i="9"/>
  <c r="C11" i="9"/>
  <c r="C10" i="9"/>
  <c r="C9" i="9"/>
  <c r="C8" i="9"/>
  <c r="C7" i="9"/>
  <c r="C6" i="9"/>
  <c r="C5" i="9"/>
  <c r="C3" i="9"/>
  <c r="C13" i="8"/>
  <c r="C12" i="8"/>
  <c r="C11" i="8"/>
  <c r="C10" i="8"/>
  <c r="C9" i="8"/>
  <c r="C8" i="8"/>
  <c r="C7" i="8"/>
  <c r="C6" i="8"/>
  <c r="C5" i="8"/>
  <c r="C3" i="8"/>
  <c r="C16" i="7"/>
  <c r="C15" i="7"/>
  <c r="C14" i="7"/>
  <c r="C13" i="7"/>
  <c r="C12" i="7"/>
  <c r="C11" i="7"/>
  <c r="C10" i="7"/>
  <c r="C9" i="7"/>
  <c r="C8" i="7"/>
  <c r="C7" i="7"/>
  <c r="C6" i="7"/>
  <c r="C5" i="7"/>
  <c r="C3" i="7"/>
  <c r="C10" i="6"/>
  <c r="C9" i="6"/>
  <c r="C8" i="6"/>
  <c r="C7" i="6"/>
  <c r="C6" i="6"/>
  <c r="C5" i="6"/>
  <c r="C3" i="6"/>
  <c r="C15" i="2"/>
  <c r="C16" i="2"/>
  <c r="C17" i="2"/>
  <c r="C11" i="2"/>
  <c r="C12" i="2"/>
  <c r="C13" i="2"/>
  <c r="C14" i="2"/>
  <c r="C10" i="2"/>
  <c r="C5" i="2"/>
  <c r="C6" i="2"/>
  <c r="C7" i="2"/>
  <c r="C8" i="2"/>
  <c r="C9" i="2"/>
  <c r="C3" i="2"/>
</calcChain>
</file>

<file path=xl/sharedStrings.xml><?xml version="1.0" encoding="utf-8"?>
<sst xmlns="http://schemas.openxmlformats.org/spreadsheetml/2006/main" count="1078" uniqueCount="177">
  <si>
    <t>Table</t>
  </si>
  <si>
    <t>N</t>
  </si>
  <si>
    <t>Column</t>
  </si>
  <si>
    <t>Data Element name</t>
  </si>
  <si>
    <t>Business Definition</t>
  </si>
  <si>
    <t>Sensitive</t>
  </si>
  <si>
    <t>Data Type</t>
  </si>
  <si>
    <t>Valid values</t>
  </si>
  <si>
    <t>Primary Key 
(Y/N)</t>
  </si>
  <si>
    <t>NULL 
(Y/N)</t>
  </si>
  <si>
    <t>Partition
(Y/N)</t>
  </si>
  <si>
    <t>Cluster
(Y/N)</t>
  </si>
  <si>
    <t>Nombre de la tabla</t>
  </si>
  <si>
    <t>Nombre del campo</t>
  </si>
  <si>
    <t>Nombre único con el cual el Negocio identifica al Elemento de Dato (ponerlo en Mayúscula)</t>
  </si>
  <si>
    <t>Concepto definido por el negocio para el elemento de dato. Contiene las propiedades, características y exclusiones relacionadas al dato</t>
  </si>
  <si>
    <t>Yes / No</t>
  </si>
  <si>
    <t>Tipo de dato físico en BigQuery</t>
  </si>
  <si>
    <t>Incluye los valores que puede contener el campo (sólo para variables discretas, p.e. A, B, C,… 1, 2, 3, Todos, etc.)</t>
  </si>
  <si>
    <t>Describe si el elemento de datos es una llave primaria en la base de datos</t>
  </si>
  <si>
    <t>Indica si es posible que el campo admita NULL</t>
  </si>
  <si>
    <t>Indica si el elemento es parte de la partición de la tabla</t>
  </si>
  <si>
    <t>process_date</t>
  </si>
  <si>
    <t>Fecha de foto/datos configurada en el ETL para la extracción de datos, corresponde a aperturas de comercios hasta el cierre del día anterior</t>
  </si>
  <si>
    <t>DATE</t>
  </si>
  <si>
    <t>Y</t>
  </si>
  <si>
    <t>STRING</t>
  </si>
  <si>
    <t>record_source</t>
  </si>
  <si>
    <t>Dato de Auditoría: Descripción del aplicativo origen de los datos.</t>
  </si>
  <si>
    <t>as400</t>
  </si>
  <si>
    <t>load_date</t>
  </si>
  <si>
    <t>Fecha y hora de inserción del registro en el modelo</t>
  </si>
  <si>
    <t>creation_user</t>
  </si>
  <si>
    <t>Usuario que crea el registro en la BD</t>
  </si>
  <si>
    <t>prd-data-operation-migration@prd-izipay-data-operation.iam.gserviceaccount.com</t>
  </si>
  <si>
    <t>DATETIME</t>
  </si>
  <si>
    <t>2025-07-04T03:07:39.145385</t>
  </si>
  <si>
    <t>companies</t>
  </si>
  <si>
    <t>Tipo de documento tributario del comercio</t>
  </si>
  <si>
    <t>Nombre comercial público del negocio</t>
  </si>
  <si>
    <t>Estado de la afiliación del comercio</t>
  </si>
  <si>
    <t>Tipo/categoría del negocio</t>
  </si>
  <si>
    <t>Fecha en que se afilió el comercio</t>
  </si>
  <si>
    <t>Cantidad de locales registrados</t>
  </si>
  <si>
    <t>Cantidad de terminales/POS asignados</t>
  </si>
  <si>
    <t>Dirección fiscal del comercio</t>
  </si>
  <si>
    <t>Distrito donde opera el comercio</t>
  </si>
  <si>
    <t>Provincia donde opera el comercio</t>
  </si>
  <si>
    <t>Nombre completo del representante legal</t>
  </si>
  <si>
    <t>Celular del representante legal</t>
  </si>
  <si>
    <t>Fecha de desafiliación</t>
  </si>
  <si>
    <t>tipo_doc</t>
  </si>
  <si>
    <t>razon_social</t>
  </si>
  <si>
    <t>estado_afiliacion</t>
  </si>
  <si>
    <t>tipo_neg</t>
  </si>
  <si>
    <t>fecha_afiliacion</t>
  </si>
  <si>
    <t>fecha_desafiliacion</t>
  </si>
  <si>
    <t>nro_term</t>
  </si>
  <si>
    <t>nro_locales</t>
  </si>
  <si>
    <t>distrito</t>
  </si>
  <si>
    <t>provincia</t>
  </si>
  <si>
    <t>nombre</t>
  </si>
  <si>
    <t>direccion</t>
  </si>
  <si>
    <t>nom_repr_leg</t>
  </si>
  <si>
    <t>cel_repr_leg</t>
  </si>
  <si>
    <t>INT</t>
  </si>
  <si>
    <t>RUC, DNI, CE</t>
  </si>
  <si>
    <t>Madame Food S.A.C</t>
  </si>
  <si>
    <t>Madame Crepe</t>
  </si>
  <si>
    <t>Activa</t>
  </si>
  <si>
    <t>Retail</t>
  </si>
  <si>
    <t>Jr. Cusco 461</t>
  </si>
  <si>
    <t>Cercado de Lima</t>
  </si>
  <si>
    <t>Lima</t>
  </si>
  <si>
    <t>Maria Mercedes</t>
  </si>
  <si>
    <t>devices</t>
  </si>
  <si>
    <t>sales_and_payments</t>
  </si>
  <si>
    <t>sales_x_products</t>
  </si>
  <si>
    <t>usage</t>
  </si>
  <si>
    <t>users</t>
  </si>
  <si>
    <t>Razón social del comercio</t>
  </si>
  <si>
    <t>Nombre comercial del negocio</t>
  </si>
  <si>
    <t>Número de serie único del terminal POS</t>
  </si>
  <si>
    <t>Fecha de afiliación del dispositivo</t>
  </si>
  <si>
    <t>Estado actual del dispositivo</t>
  </si>
  <si>
    <t>Fecha de desafiliación del dispositivo</t>
  </si>
  <si>
    <t>nro_serie</t>
  </si>
  <si>
    <t>estado</t>
  </si>
  <si>
    <t>Activo, Inactivo</t>
  </si>
  <si>
    <t>5/08/2020 o '-' si esta activo</t>
  </si>
  <si>
    <t>P903598KF4342F4T4</t>
  </si>
  <si>
    <t>5/09/2020 o vacio si sigue activo</t>
  </si>
  <si>
    <t>Serie del terminal donde se realizó la venta</t>
  </si>
  <si>
    <t>Fecha de la transacción</t>
  </si>
  <si>
    <t>Fecha y hora exacta de la transacción</t>
  </si>
  <si>
    <t>Tipo de venta realizada</t>
  </si>
  <si>
    <t>Monto total del pago en soles</t>
  </si>
  <si>
    <t>Monto de la propina en soles</t>
  </si>
  <si>
    <t>Tipo de comprobante de pago emitido</t>
  </si>
  <si>
    <t>Medio de pago utilizado</t>
  </si>
  <si>
    <t>Marca de la tarjeta</t>
  </si>
  <si>
    <t>serie_terminal</t>
  </si>
  <si>
    <t>tipo_venta</t>
  </si>
  <si>
    <t>tipo_comprobante</t>
  </si>
  <si>
    <t>medio_pago</t>
  </si>
  <si>
    <t>fecha_transaccion</t>
  </si>
  <si>
    <t>fecha_h_transaccion</t>
  </si>
  <si>
    <t>monto_total</t>
  </si>
  <si>
    <t>monto_propina</t>
  </si>
  <si>
    <t>marca</t>
  </si>
  <si>
    <t>5-10-2021 19:54:23</t>
  </si>
  <si>
    <t>A002-00000233</t>
  </si>
  <si>
    <t>P320845KJ33E2</t>
  </si>
  <si>
    <t>Simple</t>
  </si>
  <si>
    <t>BOLETA, FACTURA, EXTERNO</t>
  </si>
  <si>
    <t>Efectivo, Tarjeta, Qr, Aplicaciones de terceros</t>
  </si>
  <si>
    <t>Visa o puede estar vacio</t>
  </si>
  <si>
    <t>Nombre del producto vendido</t>
  </si>
  <si>
    <t>Categoría asignada al producto</t>
  </si>
  <si>
    <t>Clasificación del tipo de producto</t>
  </si>
  <si>
    <t>Cantidad de unidades vendidas</t>
  </si>
  <si>
    <t>Precio unitario de venta en soles</t>
  </si>
  <si>
    <t>id_venta</t>
  </si>
  <si>
    <t>Clave de venta</t>
  </si>
  <si>
    <t>ID interno del producto</t>
  </si>
  <si>
    <t>object_id</t>
  </si>
  <si>
    <t>categoria</t>
  </si>
  <si>
    <t>tipo</t>
  </si>
  <si>
    <t>cantidad</t>
  </si>
  <si>
    <t>precio</t>
  </si>
  <si>
    <t>Indica si el comercio usa la funcionalidad de venta</t>
  </si>
  <si>
    <t>Indica si usa la funcionalidad de venta rápida</t>
  </si>
  <si>
    <t>Indica si usa toma de pedidos</t>
  </si>
  <si>
    <t>Indica si usa gestión de inventario</t>
  </si>
  <si>
    <t>Indica si usa cuentas por cobrar</t>
  </si>
  <si>
    <t>Indica si usa módulo de compras</t>
  </si>
  <si>
    <t>Indica si usa cuentas por pagar</t>
  </si>
  <si>
    <t>Indica si usa órdenes de compra</t>
  </si>
  <si>
    <t>flg_venta_rapida</t>
  </si>
  <si>
    <t>flg_venta</t>
  </si>
  <si>
    <t>flg_toma_pedidos</t>
  </si>
  <si>
    <t>flg_cuentas_cobrar</t>
  </si>
  <si>
    <t>flg_cuentas_pagar</t>
  </si>
  <si>
    <t>flg_gestion_invent</t>
  </si>
  <si>
    <t>flg_compras</t>
  </si>
  <si>
    <t>flg_ordenes</t>
  </si>
  <si>
    <t>Si, No</t>
  </si>
  <si>
    <t>party_id_izi</t>
  </si>
  <si>
    <t>Numero de documento con el cual se afilia el cliente a nivel Izipay</t>
  </si>
  <si>
    <t>Identificador único de la venta</t>
  </si>
  <si>
    <t>Nombre del usuario</t>
  </si>
  <si>
    <t>Apellido del usuario</t>
  </si>
  <si>
    <t>Tipo de documento de identidad del usuario</t>
  </si>
  <si>
    <t>Número de documento del usuario</t>
  </si>
  <si>
    <t>Rol del usuario dentro del sistema</t>
  </si>
  <si>
    <t>Email del usuario</t>
  </si>
  <si>
    <t>Celular del usuario</t>
  </si>
  <si>
    <t>Estado actual del usuario en el sistema</t>
  </si>
  <si>
    <t>apellido</t>
  </si>
  <si>
    <t>rol</t>
  </si>
  <si>
    <t>email</t>
  </si>
  <si>
    <t>cel</t>
  </si>
  <si>
    <t>Juan</t>
  </si>
  <si>
    <t>Leon</t>
  </si>
  <si>
    <t>DNI, CE, PAS, RUC</t>
  </si>
  <si>
    <t>Administrador, Vendedor, Supervisor</t>
  </si>
  <si>
    <t>kjfwkew@gmail.com</t>
  </si>
  <si>
    <t>nom_comercio</t>
  </si>
  <si>
    <t>flg_sunat</t>
  </si>
  <si>
    <t>INDICA SI SE ENCUENTRA REGISTRADO Y ACTIVO EN SUNAT</t>
  </si>
  <si>
    <t>Indica si se encuentra registrado y activo en Sunat</t>
  </si>
  <si>
    <t>No</t>
  </si>
  <si>
    <t>Si, No, NA</t>
  </si>
  <si>
    <t>tipo_doc_user</t>
  </si>
  <si>
    <t>num_doc_user</t>
  </si>
  <si>
    <t>BYTES</t>
  </si>
  <si>
    <t>NUMERIC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</si>
</sst>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name val="Calibri"/>
    </font>
    <font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333399"/>
        <bgColor indexed="64"/>
      </patternFill>
    </fill>
    <fill>
      <patternFill patternType="solid">
        <fgColor rgb="FF99CC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5" fillId="0" borderId="2" xfId="0" applyFont="1" applyBorder="1" applyAlignment="1">
      <alignment vertical="top" wrapText="1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vertical="center"/>
    </xf>
    <xf numFmtId="0" fontId="6" fillId="0" borderId="2" xfId="0" applyFont="1" applyBorder="1" applyAlignment="1">
      <alignment vertical="top" wrapText="1"/>
    </xf>
    <xf numFmtId="0" fontId="1" fillId="0" borderId="1" xfId="1" applyFill="1" applyBorder="1" applyAlignment="1">
      <alignment vertical="center"/>
    </xf>
    <xf numFmtId="14" fontId="0" fillId="0" borderId="1" xfId="0" applyNumberFormat="1" applyBorder="1" applyAlignment="1">
      <alignment horizontal="left" vertical="center"/>
    </xf>
    <xf numFmtId="0" fontId="5" fillId="0" borderId="0" xfId="0" applyFont="1" applyAlignment="1">
      <alignment vertical="top" wrapText="1"/>
    </xf>
    <xf numFmtId="49" fontId="0" fillId="0" borderId="1" xfId="0" applyNumberFormat="1" applyBorder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d-data-operation-migration@prd-izipay-data-operation.iam.gserviceaccount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prd-data-operation-migration@prd-izipay-data-operation.iam.gserviceaccount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prd-data-operation-migration@prd-izipay-data-operation.iam.gserviceaccount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prd-data-operation-migration@prd-izipay-data-operation.iam.gserviceaccount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prd-data-operation-migration@prd-izipay-data-operation.iam.gserviceaccount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mailto:kjfwkew@gmail.com" TargetMode="External"/><Relationship Id="rId1" Type="http://schemas.openxmlformats.org/officeDocument/2006/relationships/hyperlink" Target="mailto:prd-data-operation-migration@prd-izipay-data-operation.iam.gserviceaccoun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BE03-B52F-4C6B-A89B-93AA54382303}">
  <sheetPr codeName="Hoja2"/>
  <dimension ref="A1:K21"/>
  <sheetViews>
    <sheetView showGridLines="0" tabSelected="1" workbookViewId="0">
      <selection activeCell="B4" sqref="B4"/>
    </sheetView>
  </sheetViews>
  <sheetFormatPr baseColWidth="10" defaultColWidth="11.453125" defaultRowHeight="14.5" x14ac:dyDescent="0.35"/>
  <cols>
    <col min="1" max="2" width="29" customWidth="1"/>
    <col min="3" max="4" width="48.36328125" customWidth="1"/>
    <col min="5" max="6" width="29" customWidth="1"/>
    <col min="7" max="7" width="40.54296875" customWidth="1"/>
    <col min="8" max="11" width="29" customWidth="1"/>
  </cols>
  <sheetData>
    <row r="1" spans="1:11" ht="31" x14ac:dyDescent="0.3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</row>
    <row r="2" spans="1:11" ht="46.5" x14ac:dyDescent="0.35">
      <c r="A2" s="2" t="s">
        <v>12</v>
      </c>
      <c r="B2" s="2" t="s">
        <v>13</v>
      </c>
      <c r="C2" s="2" t="s">
        <v>14</v>
      </c>
      <c r="D2" s="2" t="s">
        <v>15</v>
      </c>
      <c r="E2" s="2" t="s">
        <v>16</v>
      </c>
      <c r="F2" s="2" t="s">
        <v>17</v>
      </c>
      <c r="G2" s="2" t="s">
        <v>18</v>
      </c>
      <c r="H2" s="2" t="s">
        <v>19</v>
      </c>
      <c r="I2" s="2" t="s">
        <v>20</v>
      </c>
      <c r="J2" s="2" t="s">
        <v>21</v>
      </c>
      <c r="K2" s="2" t="s">
        <v>20</v>
      </c>
    </row>
    <row r="3" spans="1:11" x14ac:dyDescent="0.35">
      <c r="A3" s="3" t="s">
        <v>37</v>
      </c>
      <c r="B3" s="4" t="s">
        <v>51</v>
      </c>
      <c r="C3" s="4" t="str">
        <f>UPPER(D3)</f>
        <v>TIPO DE DOCUMENTO TRIBUTARIO DEL COMERCIO</v>
      </c>
      <c r="D3" s="5" t="s">
        <v>38</v>
      </c>
      <c r="E3" s="6" t="s">
        <v>1</v>
      </c>
      <c r="F3" s="6" t="s">
        <v>26</v>
      </c>
      <c r="G3" s="7" t="s">
        <v>66</v>
      </c>
      <c r="H3" s="6" t="s">
        <v>1</v>
      </c>
      <c r="I3" s="6" t="s">
        <v>25</v>
      </c>
      <c r="J3" s="6" t="s">
        <v>1</v>
      </c>
      <c r="K3" s="6" t="s">
        <v>1</v>
      </c>
    </row>
    <row r="4" spans="1:11" ht="29" x14ac:dyDescent="0.35">
      <c r="A4" s="3" t="s">
        <v>37</v>
      </c>
      <c r="B4" s="4" t="s">
        <v>147</v>
      </c>
      <c r="C4" s="4" t="str">
        <f>UPPER(D4)</f>
        <v>NUMERO DE DOCUMENTO CON EL CUAL SE AFILIA EL CLIENTE A NIVEL IZIPAY</v>
      </c>
      <c r="D4" s="8" t="s">
        <v>148</v>
      </c>
      <c r="E4" s="6" t="s">
        <v>25</v>
      </c>
      <c r="F4" s="6" t="s">
        <v>26</v>
      </c>
      <c r="G4" s="4">
        <v>5756546588</v>
      </c>
      <c r="H4" s="6" t="s">
        <v>1</v>
      </c>
      <c r="I4" s="6" t="s">
        <v>25</v>
      </c>
      <c r="J4" s="6" t="s">
        <v>1</v>
      </c>
      <c r="K4" s="6" t="s">
        <v>1</v>
      </c>
    </row>
    <row r="5" spans="1:11" x14ac:dyDescent="0.35">
      <c r="A5" s="3" t="s">
        <v>37</v>
      </c>
      <c r="B5" s="4" t="s">
        <v>52</v>
      </c>
      <c r="C5" s="4" t="str">
        <f t="shared" ref="C5" si="0">UPPER(D5)</f>
        <v>RAZÓN SOCIAL DEL COMERCIO</v>
      </c>
      <c r="D5" s="5" t="s">
        <v>80</v>
      </c>
      <c r="E5" s="6" t="s">
        <v>25</v>
      </c>
      <c r="F5" s="6" t="s">
        <v>175</v>
      </c>
      <c r="G5" s="4" t="s">
        <v>67</v>
      </c>
      <c r="H5" s="6" t="s">
        <v>1</v>
      </c>
      <c r="I5" s="6" t="s">
        <v>25</v>
      </c>
      <c r="J5" s="6" t="s">
        <v>1</v>
      </c>
      <c r="K5" s="6" t="s">
        <v>1</v>
      </c>
    </row>
    <row r="6" spans="1:11" x14ac:dyDescent="0.35">
      <c r="A6" s="3" t="s">
        <v>37</v>
      </c>
      <c r="B6" s="4" t="s">
        <v>167</v>
      </c>
      <c r="C6" s="4" t="str">
        <f t="shared" ref="C6:C17" si="1">UPPER(D6)</f>
        <v>NOMBRE COMERCIAL PÚBLICO DEL NEGOCIO</v>
      </c>
      <c r="D6" s="5" t="s">
        <v>39</v>
      </c>
      <c r="E6" s="6" t="s">
        <v>1</v>
      </c>
      <c r="F6" s="6" t="s">
        <v>26</v>
      </c>
      <c r="G6" s="4" t="s">
        <v>68</v>
      </c>
      <c r="H6" s="6" t="s">
        <v>1</v>
      </c>
      <c r="I6" s="6" t="s">
        <v>25</v>
      </c>
      <c r="J6" s="6" t="s">
        <v>1</v>
      </c>
      <c r="K6" s="6" t="s">
        <v>1</v>
      </c>
    </row>
    <row r="7" spans="1:11" x14ac:dyDescent="0.35">
      <c r="A7" s="3" t="s">
        <v>37</v>
      </c>
      <c r="B7" s="4" t="s">
        <v>53</v>
      </c>
      <c r="C7" s="4" t="str">
        <f t="shared" si="1"/>
        <v>ESTADO DE LA AFILIACIÓN DEL COMERCIO</v>
      </c>
      <c r="D7" s="5" t="s">
        <v>40</v>
      </c>
      <c r="E7" s="6" t="s">
        <v>1</v>
      </c>
      <c r="F7" s="6" t="s">
        <v>26</v>
      </c>
      <c r="G7" s="4" t="s">
        <v>69</v>
      </c>
      <c r="H7" s="6" t="s">
        <v>1</v>
      </c>
      <c r="I7" s="6" t="s">
        <v>25</v>
      </c>
      <c r="J7" s="6" t="s">
        <v>1</v>
      </c>
      <c r="K7" s="6" t="s">
        <v>1</v>
      </c>
    </row>
    <row r="8" spans="1:11" x14ac:dyDescent="0.35">
      <c r="A8" s="3" t="s">
        <v>37</v>
      </c>
      <c r="B8" s="4" t="s">
        <v>54</v>
      </c>
      <c r="C8" s="4" t="str">
        <f t="shared" si="1"/>
        <v>TIPO/CATEGORÍA DEL NEGOCIO</v>
      </c>
      <c r="D8" s="5" t="s">
        <v>41</v>
      </c>
      <c r="E8" s="6" t="s">
        <v>1</v>
      </c>
      <c r="F8" s="6" t="s">
        <v>26</v>
      </c>
      <c r="G8" s="4" t="s">
        <v>70</v>
      </c>
      <c r="H8" s="6" t="s">
        <v>1</v>
      </c>
      <c r="I8" s="6" t="s">
        <v>25</v>
      </c>
      <c r="J8" s="6" t="s">
        <v>1</v>
      </c>
      <c r="K8" s="6" t="s">
        <v>25</v>
      </c>
    </row>
    <row r="9" spans="1:11" x14ac:dyDescent="0.35">
      <c r="A9" s="3" t="s">
        <v>37</v>
      </c>
      <c r="B9" s="4" t="s">
        <v>55</v>
      </c>
      <c r="C9" s="4" t="str">
        <f t="shared" si="1"/>
        <v>FECHA EN QUE SE AFILIÓ EL COMERCIO</v>
      </c>
      <c r="D9" s="5" t="s">
        <v>42</v>
      </c>
      <c r="E9" s="6" t="s">
        <v>1</v>
      </c>
      <c r="F9" s="6" t="s">
        <v>24</v>
      </c>
      <c r="G9" s="7">
        <v>44048</v>
      </c>
      <c r="H9" s="6" t="s">
        <v>1</v>
      </c>
      <c r="I9" s="6" t="s">
        <v>25</v>
      </c>
      <c r="J9" s="6" t="s">
        <v>1</v>
      </c>
      <c r="K9" s="6" t="s">
        <v>1</v>
      </c>
    </row>
    <row r="10" spans="1:11" x14ac:dyDescent="0.35">
      <c r="A10" s="3" t="s">
        <v>37</v>
      </c>
      <c r="B10" s="4" t="s">
        <v>56</v>
      </c>
      <c r="C10" s="4" t="str">
        <f>UPPER(D10)</f>
        <v>FECHA DE DESAFILIACIÓN</v>
      </c>
      <c r="D10" s="5" t="s">
        <v>50</v>
      </c>
      <c r="E10" s="6" t="s">
        <v>1</v>
      </c>
      <c r="F10" s="6" t="s">
        <v>24</v>
      </c>
      <c r="G10" s="7" t="s">
        <v>91</v>
      </c>
      <c r="H10" s="6" t="s">
        <v>1</v>
      </c>
      <c r="I10" s="6" t="s">
        <v>25</v>
      </c>
      <c r="J10" s="6" t="s">
        <v>1</v>
      </c>
      <c r="K10" s="6" t="s">
        <v>1</v>
      </c>
    </row>
    <row r="11" spans="1:11" x14ac:dyDescent="0.35">
      <c r="A11" s="3" t="s">
        <v>37</v>
      </c>
      <c r="B11" s="4" t="s">
        <v>58</v>
      </c>
      <c r="C11" s="4" t="str">
        <f t="shared" ref="C11:C16" si="2">UPPER(D11)</f>
        <v>CANTIDAD DE LOCALES REGISTRADOS</v>
      </c>
      <c r="D11" s="5" t="s">
        <v>43</v>
      </c>
      <c r="E11" s="6" t="s">
        <v>1</v>
      </c>
      <c r="F11" s="6" t="s">
        <v>65</v>
      </c>
      <c r="G11" s="4">
        <v>13</v>
      </c>
      <c r="H11" s="6" t="s">
        <v>1</v>
      </c>
      <c r="I11" s="6" t="s">
        <v>25</v>
      </c>
      <c r="J11" s="6" t="s">
        <v>1</v>
      </c>
      <c r="K11" s="6" t="s">
        <v>1</v>
      </c>
    </row>
    <row r="12" spans="1:11" x14ac:dyDescent="0.35">
      <c r="A12" s="3" t="s">
        <v>37</v>
      </c>
      <c r="B12" s="4" t="s">
        <v>57</v>
      </c>
      <c r="C12" s="4" t="str">
        <f t="shared" si="2"/>
        <v>CANTIDAD DE TERMINALES/POS ASIGNADOS</v>
      </c>
      <c r="D12" s="5" t="s">
        <v>44</v>
      </c>
      <c r="E12" s="6" t="s">
        <v>1</v>
      </c>
      <c r="F12" s="6" t="s">
        <v>65</v>
      </c>
      <c r="G12" s="4">
        <v>29</v>
      </c>
      <c r="H12" s="6" t="s">
        <v>1</v>
      </c>
      <c r="I12" s="6" t="s">
        <v>25</v>
      </c>
      <c r="J12" s="6" t="s">
        <v>1</v>
      </c>
      <c r="K12" s="6" t="s">
        <v>1</v>
      </c>
    </row>
    <row r="13" spans="1:11" x14ac:dyDescent="0.35">
      <c r="A13" s="3" t="s">
        <v>37</v>
      </c>
      <c r="B13" s="4" t="s">
        <v>62</v>
      </c>
      <c r="C13" s="4" t="str">
        <f t="shared" si="2"/>
        <v>DIRECCIÓN FISCAL DEL COMERCIO</v>
      </c>
      <c r="D13" s="5" t="s">
        <v>45</v>
      </c>
      <c r="E13" s="6" t="s">
        <v>25</v>
      </c>
      <c r="F13" s="6" t="s">
        <v>175</v>
      </c>
      <c r="G13" s="4" t="s">
        <v>71</v>
      </c>
      <c r="H13" s="6" t="s">
        <v>1</v>
      </c>
      <c r="I13" s="6" t="s">
        <v>25</v>
      </c>
      <c r="J13" s="6" t="s">
        <v>1</v>
      </c>
      <c r="K13" s="6" t="s">
        <v>1</v>
      </c>
    </row>
    <row r="14" spans="1:11" x14ac:dyDescent="0.35">
      <c r="A14" s="3" t="s">
        <v>37</v>
      </c>
      <c r="B14" s="4" t="s">
        <v>59</v>
      </c>
      <c r="C14" s="4" t="str">
        <f t="shared" si="2"/>
        <v>DISTRITO DONDE OPERA EL COMERCIO</v>
      </c>
      <c r="D14" s="5" t="s">
        <v>46</v>
      </c>
      <c r="E14" s="6" t="s">
        <v>1</v>
      </c>
      <c r="F14" s="6" t="s">
        <v>26</v>
      </c>
      <c r="G14" s="4" t="s">
        <v>72</v>
      </c>
      <c r="H14" s="6" t="s">
        <v>1</v>
      </c>
      <c r="I14" s="6" t="s">
        <v>25</v>
      </c>
      <c r="J14" s="6" t="s">
        <v>1</v>
      </c>
      <c r="K14" s="6" t="s">
        <v>1</v>
      </c>
    </row>
    <row r="15" spans="1:11" x14ac:dyDescent="0.35">
      <c r="A15" s="3" t="s">
        <v>37</v>
      </c>
      <c r="B15" s="4" t="s">
        <v>60</v>
      </c>
      <c r="C15" s="4" t="str">
        <f t="shared" si="2"/>
        <v>PROVINCIA DONDE OPERA EL COMERCIO</v>
      </c>
      <c r="D15" s="5" t="s">
        <v>47</v>
      </c>
      <c r="E15" s="6" t="s">
        <v>1</v>
      </c>
      <c r="F15" s="6" t="s">
        <v>26</v>
      </c>
      <c r="G15" s="4" t="s">
        <v>73</v>
      </c>
      <c r="H15" s="6" t="s">
        <v>1</v>
      </c>
      <c r="I15" s="6" t="s">
        <v>25</v>
      </c>
      <c r="J15" s="6" t="s">
        <v>1</v>
      </c>
      <c r="K15" s="6" t="s">
        <v>1</v>
      </c>
    </row>
    <row r="16" spans="1:11" x14ac:dyDescent="0.35">
      <c r="A16" s="3" t="s">
        <v>37</v>
      </c>
      <c r="B16" s="4" t="s">
        <v>63</v>
      </c>
      <c r="C16" s="4" t="str">
        <f t="shared" si="2"/>
        <v>NOMBRE COMPLETO DEL REPRESENTANTE LEGAL</v>
      </c>
      <c r="D16" s="5" t="s">
        <v>48</v>
      </c>
      <c r="E16" s="6" t="s">
        <v>25</v>
      </c>
      <c r="F16" s="6" t="s">
        <v>175</v>
      </c>
      <c r="G16" s="4" t="s">
        <v>74</v>
      </c>
      <c r="H16" s="6" t="s">
        <v>1</v>
      </c>
      <c r="I16" s="6" t="s">
        <v>25</v>
      </c>
      <c r="J16" s="6" t="s">
        <v>1</v>
      </c>
      <c r="K16" s="6" t="s">
        <v>1</v>
      </c>
    </row>
    <row r="17" spans="1:11" x14ac:dyDescent="0.35">
      <c r="A17" s="3" t="s">
        <v>37</v>
      </c>
      <c r="B17" s="4" t="s">
        <v>64</v>
      </c>
      <c r="C17" s="4" t="str">
        <f t="shared" si="1"/>
        <v>CELULAR DEL REPRESENTANTE LEGAL</v>
      </c>
      <c r="D17" s="5" t="s">
        <v>49</v>
      </c>
      <c r="E17" s="6" t="s">
        <v>25</v>
      </c>
      <c r="F17" s="6" t="s">
        <v>175</v>
      </c>
      <c r="G17" s="9">
        <v>975008946</v>
      </c>
      <c r="H17" s="6" t="s">
        <v>1</v>
      </c>
      <c r="I17" s="6" t="s">
        <v>25</v>
      </c>
      <c r="J17" s="6" t="s">
        <v>1</v>
      </c>
      <c r="K17" s="6" t="s">
        <v>1</v>
      </c>
    </row>
    <row r="18" spans="1:11" x14ac:dyDescent="0.35">
      <c r="A18" s="3" t="s">
        <v>37</v>
      </c>
      <c r="B18" s="4" t="s">
        <v>22</v>
      </c>
      <c r="C18" s="4" t="str">
        <f>UPPER(D18)</f>
        <v>FECHA DE FOTO/DATOS CONFIGURADA EN EL ETL PARA LA EXTRACCIÓN DE DATOS, CORRESPONDE A APERTURAS DE COMERCIOS HASTA EL CIERRE DEL DÍA ANTERIOR</v>
      </c>
      <c r="D18" s="4" t="s">
        <v>23</v>
      </c>
      <c r="E18" s="6" t="s">
        <v>1</v>
      </c>
      <c r="F18" s="6" t="s">
        <v>24</v>
      </c>
      <c r="G18" s="10">
        <v>45841</v>
      </c>
      <c r="H18" s="6" t="s">
        <v>1</v>
      </c>
      <c r="I18" s="6" t="s">
        <v>1</v>
      </c>
      <c r="J18" s="6" t="s">
        <v>25</v>
      </c>
      <c r="K18" s="6" t="s">
        <v>1</v>
      </c>
    </row>
    <row r="19" spans="1:11" x14ac:dyDescent="0.35">
      <c r="A19" s="3" t="s">
        <v>37</v>
      </c>
      <c r="B19" s="4" t="s">
        <v>27</v>
      </c>
      <c r="C19" s="4" t="str">
        <f t="shared" ref="C19:C21" si="3">UPPER(D19)</f>
        <v>DATO DE AUDITORÍA: DESCRIPCIÓN DEL APLICATIVO ORIGEN DE LOS DATOS.</v>
      </c>
      <c r="D19" s="4" t="s">
        <v>28</v>
      </c>
      <c r="E19" s="6" t="s">
        <v>1</v>
      </c>
      <c r="F19" s="6" t="s">
        <v>26</v>
      </c>
      <c r="G19" s="4" t="s">
        <v>29</v>
      </c>
      <c r="H19" s="6" t="s">
        <v>1</v>
      </c>
      <c r="I19" s="6" t="s">
        <v>1</v>
      </c>
      <c r="J19" s="6" t="s">
        <v>1</v>
      </c>
      <c r="K19" s="6" t="s">
        <v>1</v>
      </c>
    </row>
    <row r="20" spans="1:11" x14ac:dyDescent="0.35">
      <c r="A20" s="3" t="s">
        <v>37</v>
      </c>
      <c r="B20" s="4" t="s">
        <v>30</v>
      </c>
      <c r="C20" s="4" t="str">
        <f t="shared" si="3"/>
        <v>FECHA Y HORA DE INSERCIÓN DEL REGISTRO EN EL MODELO</v>
      </c>
      <c r="D20" s="4" t="s">
        <v>31</v>
      </c>
      <c r="E20" s="6" t="s">
        <v>1</v>
      </c>
      <c r="F20" s="6" t="s">
        <v>35</v>
      </c>
      <c r="G20" s="4" t="s">
        <v>36</v>
      </c>
      <c r="H20" s="6" t="s">
        <v>1</v>
      </c>
      <c r="I20" s="6" t="s">
        <v>1</v>
      </c>
      <c r="J20" s="6" t="s">
        <v>1</v>
      </c>
      <c r="K20" s="6" t="s">
        <v>1</v>
      </c>
    </row>
    <row r="21" spans="1:11" x14ac:dyDescent="0.35">
      <c r="A21" s="3" t="s">
        <v>37</v>
      </c>
      <c r="B21" s="4" t="s">
        <v>32</v>
      </c>
      <c r="C21" s="4" t="str">
        <f t="shared" si="3"/>
        <v>USUARIO QUE CREA EL REGISTRO EN LA BD</v>
      </c>
      <c r="D21" s="4" t="s">
        <v>33</v>
      </c>
      <c r="E21" s="6" t="s">
        <v>1</v>
      </c>
      <c r="F21" s="6" t="s">
        <v>26</v>
      </c>
      <c r="G21" s="9" t="s">
        <v>34</v>
      </c>
      <c r="H21" s="6" t="s">
        <v>1</v>
      </c>
      <c r="I21" s="6" t="s">
        <v>1</v>
      </c>
      <c r="J21" s="6" t="s">
        <v>1</v>
      </c>
      <c r="K21" s="6" t="s">
        <v>1</v>
      </c>
    </row>
  </sheetData>
  <hyperlinks>
    <hyperlink ref="G21" r:id="rId1" xr:uid="{EEE55530-9D09-4FA5-BF17-45E9970481B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ED3B1-181C-4C85-93C9-E0591AB1C25E}">
  <sheetPr codeName="Hoja5"/>
  <dimension ref="A1:K24"/>
  <sheetViews>
    <sheetView showGridLines="0" topLeftCell="D1" workbookViewId="0">
      <selection activeCell="E9" sqref="E9"/>
    </sheetView>
  </sheetViews>
  <sheetFormatPr baseColWidth="10" defaultColWidth="11.453125" defaultRowHeight="14.5" x14ac:dyDescent="0.35"/>
  <cols>
    <col min="1" max="2" width="29" customWidth="1"/>
    <col min="3" max="4" width="48.36328125" customWidth="1"/>
    <col min="5" max="6" width="29" customWidth="1"/>
    <col min="7" max="7" width="40.54296875" customWidth="1"/>
    <col min="8" max="11" width="29" customWidth="1"/>
  </cols>
  <sheetData>
    <row r="1" spans="1:11" ht="31" x14ac:dyDescent="0.3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</row>
    <row r="2" spans="1:11" ht="46.5" x14ac:dyDescent="0.35">
      <c r="A2" s="2" t="s">
        <v>12</v>
      </c>
      <c r="B2" s="2" t="s">
        <v>13</v>
      </c>
      <c r="C2" s="2" t="s">
        <v>14</v>
      </c>
      <c r="D2" s="2" t="s">
        <v>15</v>
      </c>
      <c r="E2" s="2" t="s">
        <v>16</v>
      </c>
      <c r="F2" s="2" t="s">
        <v>17</v>
      </c>
      <c r="G2" s="2" t="s">
        <v>18</v>
      </c>
      <c r="H2" s="2" t="s">
        <v>19</v>
      </c>
      <c r="I2" s="2" t="s">
        <v>20</v>
      </c>
      <c r="J2" s="2" t="s">
        <v>21</v>
      </c>
      <c r="K2" s="2" t="s">
        <v>20</v>
      </c>
    </row>
    <row r="3" spans="1:11" x14ac:dyDescent="0.35">
      <c r="A3" s="3" t="s">
        <v>75</v>
      </c>
      <c r="B3" s="4" t="s">
        <v>51</v>
      </c>
      <c r="C3" s="4" t="str">
        <f>UPPER(D3)</f>
        <v>TIPO DE DOCUMENTO TRIBUTARIO DEL COMERCIO</v>
      </c>
      <c r="D3" s="5" t="s">
        <v>38</v>
      </c>
      <c r="E3" s="6" t="s">
        <v>1</v>
      </c>
      <c r="F3" s="6" t="s">
        <v>26</v>
      </c>
      <c r="G3" s="7" t="s">
        <v>66</v>
      </c>
      <c r="H3" s="6" t="s">
        <v>1</v>
      </c>
      <c r="I3" s="6" t="s">
        <v>25</v>
      </c>
      <c r="J3" s="6" t="s">
        <v>1</v>
      </c>
      <c r="K3" s="6" t="s">
        <v>1</v>
      </c>
    </row>
    <row r="4" spans="1:11" ht="29" x14ac:dyDescent="0.35">
      <c r="A4" s="3" t="s">
        <v>75</v>
      </c>
      <c r="B4" s="4" t="s">
        <v>147</v>
      </c>
      <c r="C4" s="4" t="str">
        <f>UPPER(D4)</f>
        <v>NUMERO DE DOCUMENTO CON EL CUAL SE AFILIA EL CLIENTE A NIVEL IZIPAY</v>
      </c>
      <c r="D4" s="8" t="s">
        <v>148</v>
      </c>
      <c r="E4" s="6" t="s">
        <v>25</v>
      </c>
      <c r="F4" s="6" t="s">
        <v>26</v>
      </c>
      <c r="G4" s="4">
        <v>5756546588</v>
      </c>
      <c r="H4" s="6" t="s">
        <v>1</v>
      </c>
      <c r="I4" s="6" t="s">
        <v>25</v>
      </c>
      <c r="J4" s="6" t="s">
        <v>1</v>
      </c>
      <c r="K4" s="6" t="s">
        <v>1</v>
      </c>
    </row>
    <row r="5" spans="1:11" x14ac:dyDescent="0.35">
      <c r="A5" s="3" t="s">
        <v>75</v>
      </c>
      <c r="B5" s="4" t="s">
        <v>52</v>
      </c>
      <c r="C5" s="4" t="str">
        <f t="shared" ref="C5:C9" si="0">UPPER(D5)</f>
        <v>RAZÓN SOCIAL DEL COMERCIO</v>
      </c>
      <c r="D5" s="5" t="s">
        <v>80</v>
      </c>
      <c r="E5" s="6" t="s">
        <v>25</v>
      </c>
      <c r="F5" s="6" t="s">
        <v>175</v>
      </c>
      <c r="G5" s="4" t="s">
        <v>67</v>
      </c>
      <c r="H5" s="6" t="s">
        <v>1</v>
      </c>
      <c r="I5" s="6" t="s">
        <v>25</v>
      </c>
      <c r="J5" s="6" t="s">
        <v>1</v>
      </c>
      <c r="K5" s="6" t="s">
        <v>1</v>
      </c>
    </row>
    <row r="6" spans="1:11" x14ac:dyDescent="0.35">
      <c r="A6" s="3" t="s">
        <v>75</v>
      </c>
      <c r="B6" s="4" t="s">
        <v>167</v>
      </c>
      <c r="C6" s="4" t="str">
        <f t="shared" si="0"/>
        <v>NOMBRE COMERCIAL DEL NEGOCIO</v>
      </c>
      <c r="D6" s="5" t="s">
        <v>81</v>
      </c>
      <c r="E6" s="6" t="s">
        <v>1</v>
      </c>
      <c r="F6" s="6" t="s">
        <v>26</v>
      </c>
      <c r="G6" s="4" t="s">
        <v>68</v>
      </c>
      <c r="H6" s="6" t="s">
        <v>1</v>
      </c>
      <c r="I6" s="6" t="s">
        <v>25</v>
      </c>
      <c r="J6" s="6" t="s">
        <v>1</v>
      </c>
      <c r="K6" s="6" t="s">
        <v>1</v>
      </c>
    </row>
    <row r="7" spans="1:11" x14ac:dyDescent="0.35">
      <c r="A7" s="3" t="s">
        <v>75</v>
      </c>
      <c r="B7" s="4" t="s">
        <v>86</v>
      </c>
      <c r="C7" s="4" t="str">
        <f t="shared" si="0"/>
        <v>NÚMERO DE SERIE ÚNICO DEL TERMINAL POS</v>
      </c>
      <c r="D7" s="5" t="s">
        <v>82</v>
      </c>
      <c r="E7" s="6" t="s">
        <v>1</v>
      </c>
      <c r="F7" s="6" t="s">
        <v>26</v>
      </c>
      <c r="G7" s="4" t="s">
        <v>90</v>
      </c>
      <c r="H7" s="6" t="s">
        <v>1</v>
      </c>
      <c r="I7" s="6" t="s">
        <v>25</v>
      </c>
      <c r="J7" s="6" t="s">
        <v>1</v>
      </c>
      <c r="K7" s="6" t="s">
        <v>1</v>
      </c>
    </row>
    <row r="8" spans="1:11" x14ac:dyDescent="0.35">
      <c r="A8" s="3" t="s">
        <v>75</v>
      </c>
      <c r="B8" s="4" t="s">
        <v>55</v>
      </c>
      <c r="C8" s="4" t="str">
        <f t="shared" si="0"/>
        <v>FECHA DE AFILIACIÓN DEL DISPOSITIVO</v>
      </c>
      <c r="D8" s="5" t="s">
        <v>83</v>
      </c>
      <c r="E8" s="6" t="s">
        <v>1</v>
      </c>
      <c r="F8" s="6" t="s">
        <v>24</v>
      </c>
      <c r="G8" s="7">
        <v>44017</v>
      </c>
      <c r="H8" s="6" t="s">
        <v>1</v>
      </c>
      <c r="I8" s="6" t="s">
        <v>25</v>
      </c>
      <c r="J8" s="6" t="s">
        <v>1</v>
      </c>
      <c r="K8" s="6" t="s">
        <v>1</v>
      </c>
    </row>
    <row r="9" spans="1:11" x14ac:dyDescent="0.35">
      <c r="A9" s="3" t="s">
        <v>75</v>
      </c>
      <c r="B9" s="4" t="s">
        <v>56</v>
      </c>
      <c r="C9" s="4" t="str">
        <f t="shared" si="0"/>
        <v>FECHA DE DESAFILIACIÓN DEL DISPOSITIVO</v>
      </c>
      <c r="D9" s="5" t="s">
        <v>85</v>
      </c>
      <c r="E9" s="6" t="s">
        <v>1</v>
      </c>
      <c r="F9" s="6" t="s">
        <v>24</v>
      </c>
      <c r="G9" s="7" t="s">
        <v>89</v>
      </c>
      <c r="H9" s="6" t="s">
        <v>1</v>
      </c>
      <c r="I9" s="6" t="s">
        <v>25</v>
      </c>
      <c r="J9" s="6" t="s">
        <v>1</v>
      </c>
      <c r="K9" s="6" t="s">
        <v>1</v>
      </c>
    </row>
    <row r="10" spans="1:11" x14ac:dyDescent="0.35">
      <c r="A10" s="3" t="s">
        <v>75</v>
      </c>
      <c r="B10" s="4" t="s">
        <v>87</v>
      </c>
      <c r="C10" s="4" t="str">
        <f>UPPER(D10)</f>
        <v>ESTADO ACTUAL DEL DISPOSITIVO</v>
      </c>
      <c r="D10" s="5" t="s">
        <v>84</v>
      </c>
      <c r="E10" s="6" t="s">
        <v>1</v>
      </c>
      <c r="F10" s="6" t="s">
        <v>26</v>
      </c>
      <c r="G10" s="7" t="s">
        <v>88</v>
      </c>
      <c r="H10" s="6" t="s">
        <v>1</v>
      </c>
      <c r="I10" s="6" t="s">
        <v>25</v>
      </c>
      <c r="J10" s="6" t="s">
        <v>1</v>
      </c>
      <c r="K10" s="6" t="s">
        <v>1</v>
      </c>
    </row>
    <row r="11" spans="1:11" x14ac:dyDescent="0.35">
      <c r="A11" s="3" t="s">
        <v>75</v>
      </c>
      <c r="B11" s="4" t="s">
        <v>22</v>
      </c>
      <c r="C11" s="4" t="str">
        <f>UPPER(D11)</f>
        <v>FECHA DE FOTO/DATOS CONFIGURADA EN EL ETL PARA LA EXTRACCIÓN DE DATOS, CORRESPONDE A APERTURAS DE COMERCIOS HASTA EL CIERRE DEL DÍA ANTERIOR</v>
      </c>
      <c r="D11" s="4" t="s">
        <v>23</v>
      </c>
      <c r="E11" s="6" t="s">
        <v>1</v>
      </c>
      <c r="F11" s="6" t="s">
        <v>24</v>
      </c>
      <c r="G11" s="10">
        <v>45841</v>
      </c>
      <c r="H11" s="6" t="s">
        <v>1</v>
      </c>
      <c r="I11" s="6" t="s">
        <v>1</v>
      </c>
      <c r="J11" s="6" t="s">
        <v>25</v>
      </c>
      <c r="K11" s="6" t="s">
        <v>1</v>
      </c>
    </row>
    <row r="12" spans="1:11" x14ac:dyDescent="0.35">
      <c r="A12" s="3" t="s">
        <v>75</v>
      </c>
      <c r="B12" s="4" t="s">
        <v>27</v>
      </c>
      <c r="C12" s="4" t="str">
        <f t="shared" ref="C12:C14" si="1">UPPER(D12)</f>
        <v>DATO DE AUDITORÍA: DESCRIPCIÓN DEL APLICATIVO ORIGEN DE LOS DATOS.</v>
      </c>
      <c r="D12" s="4" t="s">
        <v>28</v>
      </c>
      <c r="E12" s="6" t="s">
        <v>1</v>
      </c>
      <c r="F12" s="6" t="s">
        <v>26</v>
      </c>
      <c r="G12" s="4" t="s">
        <v>29</v>
      </c>
      <c r="H12" s="6" t="s">
        <v>1</v>
      </c>
      <c r="I12" s="6" t="s">
        <v>1</v>
      </c>
      <c r="J12" s="6" t="s">
        <v>1</v>
      </c>
      <c r="K12" s="6" t="s">
        <v>1</v>
      </c>
    </row>
    <row r="13" spans="1:11" x14ac:dyDescent="0.35">
      <c r="A13" s="3" t="s">
        <v>75</v>
      </c>
      <c r="B13" s="4" t="s">
        <v>30</v>
      </c>
      <c r="C13" s="4" t="str">
        <f t="shared" si="1"/>
        <v>FECHA Y HORA DE INSERCIÓN DEL REGISTRO EN EL MODELO</v>
      </c>
      <c r="D13" s="4" t="s">
        <v>31</v>
      </c>
      <c r="E13" s="6" t="s">
        <v>1</v>
      </c>
      <c r="F13" s="6" t="s">
        <v>35</v>
      </c>
      <c r="G13" s="4" t="s">
        <v>36</v>
      </c>
      <c r="H13" s="6" t="s">
        <v>1</v>
      </c>
      <c r="I13" s="6" t="s">
        <v>1</v>
      </c>
      <c r="J13" s="6" t="s">
        <v>1</v>
      </c>
      <c r="K13" s="6" t="s">
        <v>1</v>
      </c>
    </row>
    <row r="14" spans="1:11" x14ac:dyDescent="0.35">
      <c r="A14" s="3" t="s">
        <v>75</v>
      </c>
      <c r="B14" s="4" t="s">
        <v>32</v>
      </c>
      <c r="C14" s="4" t="str">
        <f t="shared" si="1"/>
        <v>USUARIO QUE CREA EL REGISTRO EN LA BD</v>
      </c>
      <c r="D14" s="4" t="s">
        <v>33</v>
      </c>
      <c r="E14" s="6" t="s">
        <v>1</v>
      </c>
      <c r="F14" s="6" t="s">
        <v>26</v>
      </c>
      <c r="G14" s="9" t="s">
        <v>34</v>
      </c>
      <c r="H14" s="6" t="s">
        <v>1</v>
      </c>
      <c r="I14" s="6" t="s">
        <v>1</v>
      </c>
      <c r="J14" s="6" t="s">
        <v>1</v>
      </c>
      <c r="K14" s="6" t="s">
        <v>1</v>
      </c>
    </row>
    <row r="17" customFormat="1" x14ac:dyDescent="0.35"/>
    <row r="18" customFormat="1" x14ac:dyDescent="0.35"/>
    <row r="19" customFormat="1" x14ac:dyDescent="0.35"/>
    <row r="20" customFormat="1" x14ac:dyDescent="0.35"/>
    <row r="21" customFormat="1" x14ac:dyDescent="0.35"/>
    <row r="22" customFormat="1" x14ac:dyDescent="0.35"/>
    <row r="23" customFormat="1" x14ac:dyDescent="0.35"/>
    <row r="24" customFormat="1" x14ac:dyDescent="0.35"/>
  </sheetData>
  <hyperlinks>
    <hyperlink ref="G14" r:id="rId1" xr:uid="{BDB501AA-1E0C-47CB-AE70-3EF7148F2AB1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39E3F-9B42-4490-819A-141E84154B2F}">
  <sheetPr codeName="Hoja6"/>
  <dimension ref="A1:K20"/>
  <sheetViews>
    <sheetView showGridLines="0" zoomScale="85" zoomScaleNormal="85" workbookViewId="0">
      <selection activeCell="E9" sqref="E9"/>
    </sheetView>
  </sheetViews>
  <sheetFormatPr baseColWidth="10" defaultColWidth="11.453125" defaultRowHeight="14.5" x14ac:dyDescent="0.35"/>
  <cols>
    <col min="1" max="2" width="29" customWidth="1"/>
    <col min="3" max="4" width="48.36328125" customWidth="1"/>
    <col min="5" max="6" width="29" customWidth="1"/>
    <col min="7" max="7" width="40.54296875" customWidth="1"/>
    <col min="8" max="11" width="29" customWidth="1"/>
  </cols>
  <sheetData>
    <row r="1" spans="1:11" ht="31" x14ac:dyDescent="0.3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</row>
    <row r="2" spans="1:11" ht="46.5" x14ac:dyDescent="0.35">
      <c r="A2" s="2" t="s">
        <v>12</v>
      </c>
      <c r="B2" s="2" t="s">
        <v>13</v>
      </c>
      <c r="C2" s="2" t="s">
        <v>14</v>
      </c>
      <c r="D2" s="2" t="s">
        <v>15</v>
      </c>
      <c r="E2" s="2" t="s">
        <v>16</v>
      </c>
      <c r="F2" s="2" t="s">
        <v>17</v>
      </c>
      <c r="G2" s="2" t="s">
        <v>18</v>
      </c>
      <c r="H2" s="2" t="s">
        <v>19</v>
      </c>
      <c r="I2" s="2" t="s">
        <v>20</v>
      </c>
      <c r="J2" s="2" t="s">
        <v>21</v>
      </c>
      <c r="K2" s="2" t="s">
        <v>20</v>
      </c>
    </row>
    <row r="3" spans="1:11" x14ac:dyDescent="0.35">
      <c r="A3" s="3" t="s">
        <v>76</v>
      </c>
      <c r="B3" s="4" t="s">
        <v>51</v>
      </c>
      <c r="C3" s="4" t="str">
        <f>UPPER(D3)</f>
        <v>TIPO DE DOCUMENTO TRIBUTARIO DEL COMERCIO</v>
      </c>
      <c r="D3" s="5" t="s">
        <v>38</v>
      </c>
      <c r="E3" s="6" t="s">
        <v>1</v>
      </c>
      <c r="F3" s="6" t="s">
        <v>26</v>
      </c>
      <c r="G3" s="7" t="s">
        <v>66</v>
      </c>
      <c r="H3" s="6" t="s">
        <v>1</v>
      </c>
      <c r="I3" s="6" t="s">
        <v>25</v>
      </c>
      <c r="J3" s="6" t="s">
        <v>1</v>
      </c>
      <c r="K3" s="6" t="s">
        <v>1</v>
      </c>
    </row>
    <row r="4" spans="1:11" ht="29" x14ac:dyDescent="0.35">
      <c r="A4" s="3" t="s">
        <v>76</v>
      </c>
      <c r="B4" s="4" t="s">
        <v>147</v>
      </c>
      <c r="C4" s="4" t="str">
        <f>UPPER(D4)</f>
        <v>NUMERO DE DOCUMENTO CON EL CUAL SE AFILIA EL CLIENTE A NIVEL IZIPAY</v>
      </c>
      <c r="D4" s="8" t="s">
        <v>148</v>
      </c>
      <c r="E4" s="6" t="s">
        <v>25</v>
      </c>
      <c r="F4" s="6" t="s">
        <v>26</v>
      </c>
      <c r="G4" s="4">
        <v>5756546588</v>
      </c>
      <c r="H4" s="6" t="s">
        <v>1</v>
      </c>
      <c r="I4" s="6" t="s">
        <v>25</v>
      </c>
      <c r="J4" s="6" t="s">
        <v>1</v>
      </c>
      <c r="K4" s="6" t="s">
        <v>1</v>
      </c>
    </row>
    <row r="5" spans="1:11" x14ac:dyDescent="0.35">
      <c r="A5" s="3" t="s">
        <v>76</v>
      </c>
      <c r="B5" s="4" t="s">
        <v>52</v>
      </c>
      <c r="C5" s="4" t="str">
        <f t="shared" ref="C5:C9" si="0">UPPER(D5)</f>
        <v>RAZÓN SOCIAL DEL COMERCIO</v>
      </c>
      <c r="D5" s="5" t="s">
        <v>80</v>
      </c>
      <c r="E5" s="6" t="s">
        <v>25</v>
      </c>
      <c r="F5" s="6" t="s">
        <v>175</v>
      </c>
      <c r="G5" s="4" t="s">
        <v>67</v>
      </c>
      <c r="H5" s="6" t="s">
        <v>1</v>
      </c>
      <c r="I5" s="6" t="s">
        <v>25</v>
      </c>
      <c r="J5" s="6" t="s">
        <v>1</v>
      </c>
      <c r="K5" s="6" t="s">
        <v>1</v>
      </c>
    </row>
    <row r="6" spans="1:11" x14ac:dyDescent="0.35">
      <c r="A6" s="3" t="s">
        <v>76</v>
      </c>
      <c r="B6" s="4" t="s">
        <v>167</v>
      </c>
      <c r="C6" s="4" t="str">
        <f t="shared" si="0"/>
        <v>NOMBRE COMERCIAL DEL NEGOCIO</v>
      </c>
      <c r="D6" s="5" t="s">
        <v>81</v>
      </c>
      <c r="E6" s="6" t="s">
        <v>1</v>
      </c>
      <c r="F6" s="6" t="s">
        <v>26</v>
      </c>
      <c r="G6" s="4" t="s">
        <v>68</v>
      </c>
      <c r="H6" s="6" t="s">
        <v>1</v>
      </c>
      <c r="I6" s="6" t="s">
        <v>25</v>
      </c>
      <c r="J6" s="6" t="s">
        <v>1</v>
      </c>
      <c r="K6" s="6" t="s">
        <v>1</v>
      </c>
    </row>
    <row r="7" spans="1:11" x14ac:dyDescent="0.35">
      <c r="A7" s="3" t="s">
        <v>76</v>
      </c>
      <c r="B7" s="4" t="s">
        <v>101</v>
      </c>
      <c r="C7" s="4" t="str">
        <f t="shared" si="0"/>
        <v>SERIE DEL TERMINAL DONDE SE REALIZÓ LA VENTA</v>
      </c>
      <c r="D7" s="5" t="s">
        <v>92</v>
      </c>
      <c r="E7" s="6" t="s">
        <v>1</v>
      </c>
      <c r="F7" s="6" t="s">
        <v>26</v>
      </c>
      <c r="G7" s="4" t="s">
        <v>112</v>
      </c>
      <c r="H7" s="6" t="s">
        <v>1</v>
      </c>
      <c r="I7" s="6" t="s">
        <v>25</v>
      </c>
      <c r="J7" s="6" t="s">
        <v>1</v>
      </c>
      <c r="K7" s="6" t="s">
        <v>1</v>
      </c>
    </row>
    <row r="8" spans="1:11" x14ac:dyDescent="0.35">
      <c r="A8" s="3" t="s">
        <v>76</v>
      </c>
      <c r="B8" s="4" t="s">
        <v>105</v>
      </c>
      <c r="C8" s="4" t="str">
        <f t="shared" si="0"/>
        <v>FECHA DE LA TRANSACCIÓN</v>
      </c>
      <c r="D8" s="5" t="s">
        <v>93</v>
      </c>
      <c r="E8" s="6" t="s">
        <v>1</v>
      </c>
      <c r="F8" s="6" t="s">
        <v>24</v>
      </c>
      <c r="G8" s="7">
        <v>44048</v>
      </c>
      <c r="H8" s="6" t="s">
        <v>1</v>
      </c>
      <c r="I8" s="6" t="s">
        <v>25</v>
      </c>
      <c r="J8" s="6" t="s">
        <v>1</v>
      </c>
      <c r="K8" s="6" t="s">
        <v>1</v>
      </c>
    </row>
    <row r="9" spans="1:11" x14ac:dyDescent="0.35">
      <c r="A9" s="3" t="s">
        <v>76</v>
      </c>
      <c r="B9" s="4" t="s">
        <v>106</v>
      </c>
      <c r="C9" s="4" t="str">
        <f t="shared" si="0"/>
        <v>FECHA Y HORA EXACTA DE LA TRANSACCIÓN</v>
      </c>
      <c r="D9" s="5" t="s">
        <v>94</v>
      </c>
      <c r="E9" s="6" t="s">
        <v>1</v>
      </c>
      <c r="F9" s="6" t="s">
        <v>35</v>
      </c>
      <c r="G9" s="12" t="s">
        <v>110</v>
      </c>
      <c r="H9" s="6" t="s">
        <v>1</v>
      </c>
      <c r="I9" s="6" t="s">
        <v>25</v>
      </c>
      <c r="J9" s="6" t="s">
        <v>1</v>
      </c>
      <c r="K9" s="6" t="s">
        <v>1</v>
      </c>
    </row>
    <row r="10" spans="1:11" x14ac:dyDescent="0.35">
      <c r="A10" s="3" t="s">
        <v>76</v>
      </c>
      <c r="B10" s="4" t="s">
        <v>122</v>
      </c>
      <c r="C10" s="4" t="str">
        <f>UPPER(D10)</f>
        <v>IDENTIFICADOR ÚNICO DE LA VENTA</v>
      </c>
      <c r="D10" s="5" t="s">
        <v>149</v>
      </c>
      <c r="E10" s="6" t="s">
        <v>1</v>
      </c>
      <c r="F10" s="6" t="s">
        <v>26</v>
      </c>
      <c r="G10" s="7" t="s">
        <v>111</v>
      </c>
      <c r="H10" s="6" t="s">
        <v>1</v>
      </c>
      <c r="I10" s="6" t="s">
        <v>25</v>
      </c>
      <c r="J10" s="6" t="s">
        <v>1</v>
      </c>
      <c r="K10" s="6" t="s">
        <v>1</v>
      </c>
    </row>
    <row r="11" spans="1:11" x14ac:dyDescent="0.35">
      <c r="A11" s="3" t="s">
        <v>76</v>
      </c>
      <c r="B11" s="4" t="s">
        <v>102</v>
      </c>
      <c r="C11" s="4" t="str">
        <f t="shared" ref="C11:C16" si="1">UPPER(D11)</f>
        <v>TIPO DE VENTA REALIZADA</v>
      </c>
      <c r="D11" s="5" t="s">
        <v>95</v>
      </c>
      <c r="E11" s="6" t="s">
        <v>1</v>
      </c>
      <c r="F11" s="6" t="s">
        <v>26</v>
      </c>
      <c r="G11" s="5" t="s">
        <v>113</v>
      </c>
      <c r="H11" s="6" t="s">
        <v>1</v>
      </c>
      <c r="I11" s="6" t="s">
        <v>25</v>
      </c>
      <c r="J11" s="6" t="s">
        <v>1</v>
      </c>
      <c r="K11" s="6" t="s">
        <v>25</v>
      </c>
    </row>
    <row r="12" spans="1:11" x14ac:dyDescent="0.35">
      <c r="A12" s="3" t="s">
        <v>76</v>
      </c>
      <c r="B12" s="4" t="s">
        <v>107</v>
      </c>
      <c r="C12" s="4" t="str">
        <f t="shared" si="1"/>
        <v>MONTO TOTAL DEL PAGO EN SOLES</v>
      </c>
      <c r="D12" s="5" t="s">
        <v>96</v>
      </c>
      <c r="E12" s="6" t="s">
        <v>1</v>
      </c>
      <c r="F12" s="6" t="s">
        <v>176</v>
      </c>
      <c r="G12" s="4">
        <v>3245.43</v>
      </c>
      <c r="H12" s="6" t="s">
        <v>1</v>
      </c>
      <c r="I12" s="6" t="s">
        <v>25</v>
      </c>
      <c r="J12" s="6" t="s">
        <v>1</v>
      </c>
      <c r="K12" s="6" t="s">
        <v>1</v>
      </c>
    </row>
    <row r="13" spans="1:11" x14ac:dyDescent="0.35">
      <c r="A13" s="3" t="s">
        <v>76</v>
      </c>
      <c r="B13" s="4" t="s">
        <v>108</v>
      </c>
      <c r="C13" s="4" t="str">
        <f t="shared" si="1"/>
        <v>MONTO DE LA PROPINA EN SOLES</v>
      </c>
      <c r="D13" s="5" t="s">
        <v>97</v>
      </c>
      <c r="E13" s="6" t="s">
        <v>1</v>
      </c>
      <c r="F13" s="6" t="s">
        <v>176</v>
      </c>
      <c r="G13" s="4">
        <v>10.23</v>
      </c>
      <c r="H13" s="6" t="s">
        <v>1</v>
      </c>
      <c r="I13" s="6" t="s">
        <v>25</v>
      </c>
      <c r="J13" s="6" t="s">
        <v>1</v>
      </c>
      <c r="K13" s="6" t="s">
        <v>1</v>
      </c>
    </row>
    <row r="14" spans="1:11" x14ac:dyDescent="0.35">
      <c r="A14" s="3" t="s">
        <v>76</v>
      </c>
      <c r="B14" s="4" t="s">
        <v>103</v>
      </c>
      <c r="C14" s="4" t="str">
        <f t="shared" si="1"/>
        <v>TIPO DE COMPROBANTE DE PAGO EMITIDO</v>
      </c>
      <c r="D14" s="5" t="s">
        <v>98</v>
      </c>
      <c r="E14" s="6" t="s">
        <v>1</v>
      </c>
      <c r="F14" s="6" t="s">
        <v>26</v>
      </c>
      <c r="G14" s="5" t="s">
        <v>114</v>
      </c>
      <c r="H14" s="6" t="s">
        <v>1</v>
      </c>
      <c r="I14" s="6" t="s">
        <v>25</v>
      </c>
      <c r="J14" s="6" t="s">
        <v>1</v>
      </c>
      <c r="K14" s="6" t="s">
        <v>1</v>
      </c>
    </row>
    <row r="15" spans="1:11" x14ac:dyDescent="0.35">
      <c r="A15" s="3" t="s">
        <v>76</v>
      </c>
      <c r="B15" s="4" t="s">
        <v>104</v>
      </c>
      <c r="C15" s="4" t="str">
        <f t="shared" si="1"/>
        <v>MEDIO DE PAGO UTILIZADO</v>
      </c>
      <c r="D15" s="5" t="s">
        <v>99</v>
      </c>
      <c r="E15" s="6" t="s">
        <v>1</v>
      </c>
      <c r="F15" s="6" t="s">
        <v>26</v>
      </c>
      <c r="G15" s="5" t="s">
        <v>115</v>
      </c>
      <c r="H15" s="6" t="s">
        <v>1</v>
      </c>
      <c r="I15" s="6" t="s">
        <v>25</v>
      </c>
      <c r="J15" s="6" t="s">
        <v>1</v>
      </c>
      <c r="K15" s="6" t="s">
        <v>25</v>
      </c>
    </row>
    <row r="16" spans="1:11" x14ac:dyDescent="0.35">
      <c r="A16" s="3" t="s">
        <v>76</v>
      </c>
      <c r="B16" s="4" t="s">
        <v>109</v>
      </c>
      <c r="C16" s="4" t="str">
        <f t="shared" si="1"/>
        <v>MARCA DE LA TARJETA</v>
      </c>
      <c r="D16" s="5" t="s">
        <v>100</v>
      </c>
      <c r="E16" s="6" t="s">
        <v>1</v>
      </c>
      <c r="F16" s="6" t="s">
        <v>26</v>
      </c>
      <c r="G16" s="4" t="s">
        <v>116</v>
      </c>
      <c r="H16" s="6" t="s">
        <v>1</v>
      </c>
      <c r="I16" s="6" t="s">
        <v>25</v>
      </c>
      <c r="J16" s="6" t="s">
        <v>1</v>
      </c>
      <c r="K16" s="6" t="s">
        <v>25</v>
      </c>
    </row>
    <row r="17" spans="1:11" x14ac:dyDescent="0.35">
      <c r="A17" s="3" t="s">
        <v>76</v>
      </c>
      <c r="B17" s="4" t="s">
        <v>22</v>
      </c>
      <c r="C17" s="4" t="str">
        <f>UPPER(D17)</f>
        <v>FECHA DE FOTO/DATOS CONFIGURADA EN EL ETL PARA LA EXTRACCIÓN DE DATOS, CORRESPONDE A APERTURAS DE COMERCIOS HASTA EL CIERRE DEL DÍA ANTERIOR</v>
      </c>
      <c r="D17" s="4" t="s">
        <v>23</v>
      </c>
      <c r="E17" s="6" t="s">
        <v>1</v>
      </c>
      <c r="F17" s="6" t="s">
        <v>24</v>
      </c>
      <c r="G17" s="10">
        <v>45841</v>
      </c>
      <c r="H17" s="6" t="s">
        <v>1</v>
      </c>
      <c r="I17" s="6" t="s">
        <v>1</v>
      </c>
      <c r="J17" s="6" t="s">
        <v>25</v>
      </c>
      <c r="K17" s="6" t="s">
        <v>1</v>
      </c>
    </row>
    <row r="18" spans="1:11" x14ac:dyDescent="0.35">
      <c r="A18" s="3" t="s">
        <v>76</v>
      </c>
      <c r="B18" s="4" t="s">
        <v>27</v>
      </c>
      <c r="C18" s="4" t="str">
        <f t="shared" ref="C18:C20" si="2">UPPER(D18)</f>
        <v>DATO DE AUDITORÍA: DESCRIPCIÓN DEL APLICATIVO ORIGEN DE LOS DATOS.</v>
      </c>
      <c r="D18" s="4" t="s">
        <v>28</v>
      </c>
      <c r="E18" s="6" t="s">
        <v>1</v>
      </c>
      <c r="F18" s="6" t="s">
        <v>26</v>
      </c>
      <c r="G18" s="4" t="s">
        <v>29</v>
      </c>
      <c r="H18" s="6" t="s">
        <v>1</v>
      </c>
      <c r="I18" s="6" t="s">
        <v>1</v>
      </c>
      <c r="J18" s="6" t="s">
        <v>1</v>
      </c>
      <c r="K18" s="6" t="s">
        <v>1</v>
      </c>
    </row>
    <row r="19" spans="1:11" x14ac:dyDescent="0.35">
      <c r="A19" s="3" t="s">
        <v>76</v>
      </c>
      <c r="B19" s="4" t="s">
        <v>30</v>
      </c>
      <c r="C19" s="4" t="str">
        <f t="shared" si="2"/>
        <v>FECHA Y HORA DE INSERCIÓN DEL REGISTRO EN EL MODELO</v>
      </c>
      <c r="D19" s="4" t="s">
        <v>31</v>
      </c>
      <c r="E19" s="6" t="s">
        <v>1</v>
      </c>
      <c r="F19" s="6" t="s">
        <v>35</v>
      </c>
      <c r="G19" s="4" t="s">
        <v>36</v>
      </c>
      <c r="H19" s="6" t="s">
        <v>1</v>
      </c>
      <c r="I19" s="6" t="s">
        <v>1</v>
      </c>
      <c r="J19" s="6" t="s">
        <v>1</v>
      </c>
      <c r="K19" s="6" t="s">
        <v>1</v>
      </c>
    </row>
    <row r="20" spans="1:11" x14ac:dyDescent="0.35">
      <c r="A20" s="3" t="s">
        <v>76</v>
      </c>
      <c r="B20" s="4" t="s">
        <v>32</v>
      </c>
      <c r="C20" s="4" t="str">
        <f t="shared" si="2"/>
        <v>USUARIO QUE CREA EL REGISTRO EN LA BD</v>
      </c>
      <c r="D20" s="4" t="s">
        <v>33</v>
      </c>
      <c r="E20" s="6" t="s">
        <v>1</v>
      </c>
      <c r="F20" s="6" t="s">
        <v>26</v>
      </c>
      <c r="G20" s="9" t="s">
        <v>34</v>
      </c>
      <c r="H20" s="6" t="s">
        <v>1</v>
      </c>
      <c r="I20" s="6" t="s">
        <v>1</v>
      </c>
      <c r="J20" s="6" t="s">
        <v>1</v>
      </c>
      <c r="K20" s="6" t="s">
        <v>1</v>
      </c>
    </row>
  </sheetData>
  <hyperlinks>
    <hyperlink ref="G20" r:id="rId1" xr:uid="{F1C118A4-8C0B-45ED-922A-87F70D52E994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BFD6E-6E39-4CCF-8079-DCCD1366275A}">
  <sheetPr codeName="Hoja7"/>
  <dimension ref="A1:K17"/>
  <sheetViews>
    <sheetView showGridLines="0" topLeftCell="F1" workbookViewId="0">
      <selection activeCell="E9" sqref="E9"/>
    </sheetView>
  </sheetViews>
  <sheetFormatPr baseColWidth="10" defaultColWidth="11.453125" defaultRowHeight="14.5" x14ac:dyDescent="0.35"/>
  <cols>
    <col min="1" max="2" width="29" customWidth="1"/>
    <col min="3" max="4" width="48.36328125" customWidth="1"/>
    <col min="5" max="6" width="29" customWidth="1"/>
    <col min="7" max="7" width="40.54296875" customWidth="1"/>
    <col min="8" max="11" width="29" customWidth="1"/>
  </cols>
  <sheetData>
    <row r="1" spans="1:11" ht="31" x14ac:dyDescent="0.3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</row>
    <row r="2" spans="1:11" ht="46.5" x14ac:dyDescent="0.35">
      <c r="A2" s="2" t="s">
        <v>12</v>
      </c>
      <c r="B2" s="2" t="s">
        <v>13</v>
      </c>
      <c r="C2" s="2" t="s">
        <v>14</v>
      </c>
      <c r="D2" s="2" t="s">
        <v>15</v>
      </c>
      <c r="E2" s="2" t="s">
        <v>16</v>
      </c>
      <c r="F2" s="2" t="s">
        <v>17</v>
      </c>
      <c r="G2" s="2" t="s">
        <v>18</v>
      </c>
      <c r="H2" s="2" t="s">
        <v>19</v>
      </c>
      <c r="I2" s="2" t="s">
        <v>20</v>
      </c>
      <c r="J2" s="2" t="s">
        <v>21</v>
      </c>
      <c r="K2" s="2" t="s">
        <v>20</v>
      </c>
    </row>
    <row r="3" spans="1:11" x14ac:dyDescent="0.35">
      <c r="A3" s="3" t="s">
        <v>77</v>
      </c>
      <c r="B3" s="4" t="s">
        <v>51</v>
      </c>
      <c r="C3" s="4" t="str">
        <f>UPPER(D3)</f>
        <v>TIPO DE DOCUMENTO TRIBUTARIO DEL COMERCIO</v>
      </c>
      <c r="D3" s="5" t="s">
        <v>38</v>
      </c>
      <c r="E3" s="6" t="s">
        <v>1</v>
      </c>
      <c r="F3" s="6" t="s">
        <v>26</v>
      </c>
      <c r="G3" s="7" t="s">
        <v>66</v>
      </c>
      <c r="H3" s="6" t="s">
        <v>1</v>
      </c>
      <c r="I3" s="6" t="s">
        <v>25</v>
      </c>
      <c r="J3" s="6" t="s">
        <v>1</v>
      </c>
      <c r="K3" s="6" t="s">
        <v>1</v>
      </c>
    </row>
    <row r="4" spans="1:11" ht="29" x14ac:dyDescent="0.35">
      <c r="A4" s="3" t="s">
        <v>77</v>
      </c>
      <c r="B4" s="4" t="s">
        <v>147</v>
      </c>
      <c r="C4" s="4" t="str">
        <f>UPPER(D4)</f>
        <v>NUMERO DE DOCUMENTO CON EL CUAL SE AFILIA EL CLIENTE A NIVEL IZIPAY</v>
      </c>
      <c r="D4" s="8" t="s">
        <v>148</v>
      </c>
      <c r="E4" s="6" t="s">
        <v>25</v>
      </c>
      <c r="F4" s="6" t="s">
        <v>26</v>
      </c>
      <c r="G4" s="4">
        <v>5756546588</v>
      </c>
      <c r="H4" s="6" t="s">
        <v>1</v>
      </c>
      <c r="I4" s="6" t="s">
        <v>25</v>
      </c>
      <c r="J4" s="6" t="s">
        <v>1</v>
      </c>
      <c r="K4" s="6" t="s">
        <v>1</v>
      </c>
    </row>
    <row r="5" spans="1:11" x14ac:dyDescent="0.35">
      <c r="A5" s="3" t="s">
        <v>77</v>
      </c>
      <c r="B5" s="4" t="s">
        <v>52</v>
      </c>
      <c r="C5" s="4" t="str">
        <f t="shared" ref="C5:C9" si="0">UPPER(D5)</f>
        <v>RAZÓN SOCIAL DEL COMERCIO</v>
      </c>
      <c r="D5" s="5" t="s">
        <v>80</v>
      </c>
      <c r="E5" s="6" t="s">
        <v>25</v>
      </c>
      <c r="F5" s="6" t="s">
        <v>175</v>
      </c>
      <c r="G5" s="4" t="s">
        <v>67</v>
      </c>
      <c r="H5" s="6" t="s">
        <v>1</v>
      </c>
      <c r="I5" s="6" t="s">
        <v>25</v>
      </c>
      <c r="J5" s="6" t="s">
        <v>1</v>
      </c>
      <c r="K5" s="6" t="s">
        <v>1</v>
      </c>
    </row>
    <row r="6" spans="1:11" x14ac:dyDescent="0.35">
      <c r="A6" s="3" t="s">
        <v>77</v>
      </c>
      <c r="B6" s="4" t="s">
        <v>167</v>
      </c>
      <c r="C6" s="4" t="str">
        <f t="shared" si="0"/>
        <v>NOMBRE COMERCIAL DEL NEGOCIO</v>
      </c>
      <c r="D6" s="5" t="s">
        <v>81</v>
      </c>
      <c r="E6" s="6" t="s">
        <v>1</v>
      </c>
      <c r="F6" s="6" t="s">
        <v>26</v>
      </c>
      <c r="G6" s="4" t="s">
        <v>68</v>
      </c>
      <c r="H6" s="6" t="s">
        <v>1</v>
      </c>
      <c r="I6" s="6" t="s">
        <v>25</v>
      </c>
      <c r="J6" s="6" t="s">
        <v>1</v>
      </c>
      <c r="K6" s="6" t="s">
        <v>1</v>
      </c>
    </row>
    <row r="7" spans="1:11" x14ac:dyDescent="0.35">
      <c r="A7" s="3" t="s">
        <v>77</v>
      </c>
      <c r="B7" s="4" t="s">
        <v>122</v>
      </c>
      <c r="C7" s="4" t="str">
        <f t="shared" si="0"/>
        <v>CLAVE DE VENTA</v>
      </c>
      <c r="D7" s="5" t="s">
        <v>123</v>
      </c>
      <c r="E7" s="6" t="s">
        <v>1</v>
      </c>
      <c r="F7" s="6" t="s">
        <v>26</v>
      </c>
      <c r="G7" s="4" t="s">
        <v>112</v>
      </c>
      <c r="H7" s="6" t="s">
        <v>1</v>
      </c>
      <c r="I7" s="6" t="s">
        <v>25</v>
      </c>
      <c r="J7" s="6" t="s">
        <v>1</v>
      </c>
      <c r="K7" s="6" t="s">
        <v>1</v>
      </c>
    </row>
    <row r="8" spans="1:11" x14ac:dyDescent="0.35">
      <c r="A8" s="3" t="s">
        <v>77</v>
      </c>
      <c r="B8" s="4" t="s">
        <v>125</v>
      </c>
      <c r="C8" s="4" t="str">
        <f t="shared" si="0"/>
        <v>ID INTERNO DEL PRODUCTO</v>
      </c>
      <c r="D8" s="5" t="s">
        <v>124</v>
      </c>
      <c r="E8" s="6" t="s">
        <v>1</v>
      </c>
      <c r="F8" s="6" t="s">
        <v>26</v>
      </c>
      <c r="G8" s="7">
        <v>44048</v>
      </c>
      <c r="H8" s="6" t="s">
        <v>1</v>
      </c>
      <c r="I8" s="6" t="s">
        <v>25</v>
      </c>
      <c r="J8" s="6" t="s">
        <v>1</v>
      </c>
      <c r="K8" s="6" t="s">
        <v>1</v>
      </c>
    </row>
    <row r="9" spans="1:11" x14ac:dyDescent="0.35">
      <c r="A9" s="3" t="s">
        <v>77</v>
      </c>
      <c r="B9" s="4" t="s">
        <v>61</v>
      </c>
      <c r="C9" s="4" t="str">
        <f t="shared" si="0"/>
        <v>NOMBRE DEL PRODUCTO VENDIDO</v>
      </c>
      <c r="D9" s="5" t="s">
        <v>117</v>
      </c>
      <c r="E9" s="6" t="s">
        <v>1</v>
      </c>
      <c r="F9" s="6" t="s">
        <v>26</v>
      </c>
      <c r="G9" s="12" t="s">
        <v>110</v>
      </c>
      <c r="H9" s="6" t="s">
        <v>1</v>
      </c>
      <c r="I9" s="6" t="s">
        <v>25</v>
      </c>
      <c r="J9" s="6" t="s">
        <v>1</v>
      </c>
      <c r="K9" s="6" t="s">
        <v>1</v>
      </c>
    </row>
    <row r="10" spans="1:11" x14ac:dyDescent="0.35">
      <c r="A10" s="3" t="s">
        <v>77</v>
      </c>
      <c r="B10" s="4" t="s">
        <v>126</v>
      </c>
      <c r="C10" s="4" t="str">
        <f>UPPER(D10)</f>
        <v>CATEGORÍA ASIGNADA AL PRODUCTO</v>
      </c>
      <c r="D10" s="5" t="s">
        <v>118</v>
      </c>
      <c r="E10" s="6" t="s">
        <v>1</v>
      </c>
      <c r="F10" s="6" t="s">
        <v>26</v>
      </c>
      <c r="G10" s="7" t="s">
        <v>111</v>
      </c>
      <c r="H10" s="6" t="s">
        <v>1</v>
      </c>
      <c r="I10" s="6" t="s">
        <v>25</v>
      </c>
      <c r="J10" s="6" t="s">
        <v>1</v>
      </c>
      <c r="K10" s="6" t="s">
        <v>1</v>
      </c>
    </row>
    <row r="11" spans="1:11" x14ac:dyDescent="0.35">
      <c r="A11" s="3" t="s">
        <v>77</v>
      </c>
      <c r="B11" s="4" t="s">
        <v>127</v>
      </c>
      <c r="C11" s="4" t="str">
        <f t="shared" ref="C11:C13" si="1">UPPER(D11)</f>
        <v>CLASIFICACIÓN DEL TIPO DE PRODUCTO</v>
      </c>
      <c r="D11" s="5" t="s">
        <v>119</v>
      </c>
      <c r="E11" s="6" t="s">
        <v>1</v>
      </c>
      <c r="F11" s="6" t="s">
        <v>26</v>
      </c>
      <c r="G11" s="5" t="s">
        <v>113</v>
      </c>
      <c r="H11" s="6" t="s">
        <v>1</v>
      </c>
      <c r="I11" s="6" t="s">
        <v>25</v>
      </c>
      <c r="J11" s="6" t="s">
        <v>1</v>
      </c>
      <c r="K11" s="6" t="s">
        <v>25</v>
      </c>
    </row>
    <row r="12" spans="1:11" x14ac:dyDescent="0.35">
      <c r="A12" s="3" t="s">
        <v>77</v>
      </c>
      <c r="B12" s="4" t="s">
        <v>128</v>
      </c>
      <c r="C12" s="4" t="str">
        <f t="shared" si="1"/>
        <v>CANTIDAD DE UNIDADES VENDIDAS</v>
      </c>
      <c r="D12" s="5" t="s">
        <v>120</v>
      </c>
      <c r="E12" s="6" t="s">
        <v>1</v>
      </c>
      <c r="F12" s="6" t="s">
        <v>176</v>
      </c>
      <c r="G12" s="4">
        <v>3245.43</v>
      </c>
      <c r="H12" s="6" t="s">
        <v>1</v>
      </c>
      <c r="I12" s="6" t="s">
        <v>25</v>
      </c>
      <c r="J12" s="6" t="s">
        <v>1</v>
      </c>
      <c r="K12" s="6" t="s">
        <v>1</v>
      </c>
    </row>
    <row r="13" spans="1:11" x14ac:dyDescent="0.35">
      <c r="A13" s="3" t="s">
        <v>77</v>
      </c>
      <c r="B13" s="4" t="s">
        <v>129</v>
      </c>
      <c r="C13" s="4" t="str">
        <f t="shared" si="1"/>
        <v>PRECIO UNITARIO DE VENTA EN SOLES</v>
      </c>
      <c r="D13" s="5" t="s">
        <v>121</v>
      </c>
      <c r="E13" s="6" t="s">
        <v>1</v>
      </c>
      <c r="F13" s="6" t="s">
        <v>176</v>
      </c>
      <c r="G13" s="4">
        <v>10.23</v>
      </c>
      <c r="H13" s="6" t="s">
        <v>1</v>
      </c>
      <c r="I13" s="6" t="s">
        <v>25</v>
      </c>
      <c r="J13" s="6" t="s">
        <v>1</v>
      </c>
      <c r="K13" s="6" t="s">
        <v>1</v>
      </c>
    </row>
    <row r="14" spans="1:11" x14ac:dyDescent="0.35">
      <c r="A14" s="3" t="s">
        <v>77</v>
      </c>
      <c r="B14" s="4" t="s">
        <v>22</v>
      </c>
      <c r="C14" s="4" t="str">
        <f>UPPER(D14)</f>
        <v>FECHA DE FOTO/DATOS CONFIGURADA EN EL ETL PARA LA EXTRACCIÓN DE DATOS, CORRESPONDE A APERTURAS DE COMERCIOS HASTA EL CIERRE DEL DÍA ANTERIOR</v>
      </c>
      <c r="D14" s="4" t="s">
        <v>23</v>
      </c>
      <c r="E14" s="6" t="s">
        <v>1</v>
      </c>
      <c r="F14" s="6" t="s">
        <v>24</v>
      </c>
      <c r="G14" s="10">
        <v>45841</v>
      </c>
      <c r="H14" s="6" t="s">
        <v>1</v>
      </c>
      <c r="I14" s="6" t="s">
        <v>1</v>
      </c>
      <c r="J14" s="6" t="s">
        <v>25</v>
      </c>
      <c r="K14" s="6" t="s">
        <v>1</v>
      </c>
    </row>
    <row r="15" spans="1:11" x14ac:dyDescent="0.35">
      <c r="A15" s="3" t="s">
        <v>77</v>
      </c>
      <c r="B15" s="4" t="s">
        <v>27</v>
      </c>
      <c r="C15" s="4" t="str">
        <f t="shared" ref="C15:C17" si="2">UPPER(D15)</f>
        <v>DATO DE AUDITORÍA: DESCRIPCIÓN DEL APLICATIVO ORIGEN DE LOS DATOS.</v>
      </c>
      <c r="D15" s="4" t="s">
        <v>28</v>
      </c>
      <c r="E15" s="6" t="s">
        <v>1</v>
      </c>
      <c r="F15" s="6" t="s">
        <v>26</v>
      </c>
      <c r="G15" s="4" t="s">
        <v>29</v>
      </c>
      <c r="H15" s="6" t="s">
        <v>1</v>
      </c>
      <c r="I15" s="6" t="s">
        <v>1</v>
      </c>
      <c r="J15" s="6" t="s">
        <v>1</v>
      </c>
      <c r="K15" s="6" t="s">
        <v>1</v>
      </c>
    </row>
    <row r="16" spans="1:11" x14ac:dyDescent="0.35">
      <c r="A16" s="3" t="s">
        <v>77</v>
      </c>
      <c r="B16" s="4" t="s">
        <v>30</v>
      </c>
      <c r="C16" s="4" t="str">
        <f t="shared" si="2"/>
        <v>FECHA Y HORA DE INSERCIÓN DEL REGISTRO EN EL MODELO</v>
      </c>
      <c r="D16" s="4" t="s">
        <v>31</v>
      </c>
      <c r="E16" s="6" t="s">
        <v>1</v>
      </c>
      <c r="F16" s="6" t="s">
        <v>35</v>
      </c>
      <c r="G16" s="4" t="s">
        <v>36</v>
      </c>
      <c r="H16" s="6" t="s">
        <v>1</v>
      </c>
      <c r="I16" s="6" t="s">
        <v>1</v>
      </c>
      <c r="J16" s="6" t="s">
        <v>1</v>
      </c>
      <c r="K16" s="6" t="s">
        <v>1</v>
      </c>
    </row>
    <row r="17" spans="1:11" x14ac:dyDescent="0.35">
      <c r="A17" s="3" t="s">
        <v>77</v>
      </c>
      <c r="B17" s="4" t="s">
        <v>32</v>
      </c>
      <c r="C17" s="4" t="str">
        <f t="shared" si="2"/>
        <v>USUARIO QUE CREA EL REGISTRO EN LA BD</v>
      </c>
      <c r="D17" s="4" t="s">
        <v>33</v>
      </c>
      <c r="E17" s="6" t="s">
        <v>1</v>
      </c>
      <c r="F17" s="6" t="s">
        <v>26</v>
      </c>
      <c r="G17" s="9" t="s">
        <v>34</v>
      </c>
      <c r="H17" s="6" t="s">
        <v>1</v>
      </c>
      <c r="I17" s="6" t="s">
        <v>1</v>
      </c>
      <c r="J17" s="6" t="s">
        <v>1</v>
      </c>
      <c r="K17" s="6" t="s">
        <v>1</v>
      </c>
    </row>
  </sheetData>
  <hyperlinks>
    <hyperlink ref="G17" r:id="rId1" xr:uid="{9A0089A2-A913-4195-86F0-21C9DF1191C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42215-E936-4C7C-A487-0019EB904FBC}">
  <sheetPr codeName="Hoja8"/>
  <dimension ref="A1:K19"/>
  <sheetViews>
    <sheetView showGridLines="0" topLeftCell="H1" workbookViewId="0">
      <selection activeCell="E9" sqref="E9"/>
    </sheetView>
  </sheetViews>
  <sheetFormatPr baseColWidth="10" defaultColWidth="11.453125" defaultRowHeight="14.5" x14ac:dyDescent="0.35"/>
  <cols>
    <col min="1" max="2" width="29" customWidth="1"/>
    <col min="3" max="3" width="53.08984375" customWidth="1"/>
    <col min="4" max="4" width="48.36328125" customWidth="1"/>
    <col min="5" max="6" width="29" customWidth="1"/>
    <col min="7" max="7" width="40.54296875" customWidth="1"/>
    <col min="8" max="11" width="29" customWidth="1"/>
  </cols>
  <sheetData>
    <row r="1" spans="1:11" ht="31" x14ac:dyDescent="0.3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</row>
    <row r="2" spans="1:11" ht="46.5" x14ac:dyDescent="0.35">
      <c r="A2" s="2" t="s">
        <v>12</v>
      </c>
      <c r="B2" s="2" t="s">
        <v>13</v>
      </c>
      <c r="C2" s="2" t="s">
        <v>14</v>
      </c>
      <c r="D2" s="2" t="s">
        <v>15</v>
      </c>
      <c r="E2" s="2" t="s">
        <v>16</v>
      </c>
      <c r="F2" s="2" t="s">
        <v>17</v>
      </c>
      <c r="G2" s="2" t="s">
        <v>18</v>
      </c>
      <c r="H2" s="2" t="s">
        <v>19</v>
      </c>
      <c r="I2" s="2" t="s">
        <v>20</v>
      </c>
      <c r="J2" s="2" t="s">
        <v>21</v>
      </c>
      <c r="K2" s="2" t="s">
        <v>20</v>
      </c>
    </row>
    <row r="3" spans="1:11" x14ac:dyDescent="0.35">
      <c r="A3" s="3" t="s">
        <v>78</v>
      </c>
      <c r="B3" s="4" t="s">
        <v>51</v>
      </c>
      <c r="C3" s="4" t="str">
        <f>UPPER(D3)</f>
        <v>TIPO DE DOCUMENTO TRIBUTARIO DEL COMERCIO</v>
      </c>
      <c r="D3" s="5" t="s">
        <v>38</v>
      </c>
      <c r="E3" s="6" t="s">
        <v>1</v>
      </c>
      <c r="F3" s="6" t="s">
        <v>26</v>
      </c>
      <c r="G3" s="7" t="s">
        <v>66</v>
      </c>
      <c r="H3" s="6" t="s">
        <v>1</v>
      </c>
      <c r="I3" s="6" t="s">
        <v>25</v>
      </c>
      <c r="J3" s="6" t="s">
        <v>1</v>
      </c>
      <c r="K3" s="6" t="s">
        <v>1</v>
      </c>
    </row>
    <row r="4" spans="1:11" ht="29" x14ac:dyDescent="0.35">
      <c r="A4" s="3" t="s">
        <v>78</v>
      </c>
      <c r="B4" s="4" t="s">
        <v>147</v>
      </c>
      <c r="C4" s="4" t="str">
        <f>UPPER(D4)</f>
        <v>NUMERO DE DOCUMENTO CON EL CUAL SE AFILIA EL CLIENTE A NIVEL IZIPAY</v>
      </c>
      <c r="D4" s="8" t="s">
        <v>148</v>
      </c>
      <c r="E4" s="6" t="s">
        <v>25</v>
      </c>
      <c r="F4" s="6" t="s">
        <v>26</v>
      </c>
      <c r="G4" s="4">
        <v>5756546588</v>
      </c>
      <c r="H4" s="6" t="s">
        <v>1</v>
      </c>
      <c r="I4" s="6" t="s">
        <v>25</v>
      </c>
      <c r="J4" s="6" t="s">
        <v>1</v>
      </c>
      <c r="K4" s="6" t="s">
        <v>1</v>
      </c>
    </row>
    <row r="5" spans="1:11" x14ac:dyDescent="0.35">
      <c r="A5" s="3" t="s">
        <v>78</v>
      </c>
      <c r="B5" s="4" t="s">
        <v>52</v>
      </c>
      <c r="C5" s="4" t="str">
        <f t="shared" ref="C5:C9" si="0">UPPER(D5)</f>
        <v>RAZÓN SOCIAL DEL COMERCIO</v>
      </c>
      <c r="D5" s="5" t="s">
        <v>80</v>
      </c>
      <c r="E5" s="6" t="s">
        <v>25</v>
      </c>
      <c r="F5" s="6" t="s">
        <v>175</v>
      </c>
      <c r="G5" s="4" t="s">
        <v>67</v>
      </c>
      <c r="H5" s="6" t="s">
        <v>1</v>
      </c>
      <c r="I5" s="6" t="s">
        <v>25</v>
      </c>
      <c r="J5" s="6" t="s">
        <v>1</v>
      </c>
      <c r="K5" s="6" t="s">
        <v>1</v>
      </c>
    </row>
    <row r="6" spans="1:11" x14ac:dyDescent="0.35">
      <c r="A6" s="3" t="s">
        <v>78</v>
      </c>
      <c r="B6" s="4" t="s">
        <v>167</v>
      </c>
      <c r="C6" s="4" t="str">
        <f t="shared" si="0"/>
        <v>NOMBRE COMERCIAL DEL NEGOCIO</v>
      </c>
      <c r="D6" s="5" t="s">
        <v>81</v>
      </c>
      <c r="E6" s="6" t="s">
        <v>1</v>
      </c>
      <c r="F6" s="6" t="s">
        <v>26</v>
      </c>
      <c r="G6" s="4" t="s">
        <v>68</v>
      </c>
      <c r="H6" s="6" t="s">
        <v>1</v>
      </c>
      <c r="I6" s="6" t="s">
        <v>25</v>
      </c>
      <c r="J6" s="6" t="s">
        <v>1</v>
      </c>
      <c r="K6" s="6" t="s">
        <v>1</v>
      </c>
    </row>
    <row r="7" spans="1:11" x14ac:dyDescent="0.35">
      <c r="A7" s="3" t="s">
        <v>78</v>
      </c>
      <c r="B7" s="4" t="s">
        <v>139</v>
      </c>
      <c r="C7" s="4" t="str">
        <f t="shared" si="0"/>
        <v>INDICA SI EL COMERCIO USA LA FUNCIONALIDAD DE VENTA</v>
      </c>
      <c r="D7" s="5" t="s">
        <v>130</v>
      </c>
      <c r="E7" s="6" t="s">
        <v>1</v>
      </c>
      <c r="F7" s="6" t="s">
        <v>26</v>
      </c>
      <c r="G7" s="4" t="s">
        <v>146</v>
      </c>
      <c r="H7" s="6" t="s">
        <v>1</v>
      </c>
      <c r="I7" s="6" t="s">
        <v>25</v>
      </c>
      <c r="J7" s="6" t="s">
        <v>1</v>
      </c>
      <c r="K7" s="6" t="s">
        <v>1</v>
      </c>
    </row>
    <row r="8" spans="1:11" x14ac:dyDescent="0.35">
      <c r="A8" s="3" t="s">
        <v>78</v>
      </c>
      <c r="B8" s="4" t="s">
        <v>138</v>
      </c>
      <c r="C8" s="4" t="str">
        <f t="shared" si="0"/>
        <v>INDICA SI USA LA FUNCIONALIDAD DE VENTA RÁPIDA</v>
      </c>
      <c r="D8" s="5" t="s">
        <v>131</v>
      </c>
      <c r="E8" s="6" t="s">
        <v>1</v>
      </c>
      <c r="F8" s="6" t="s">
        <v>26</v>
      </c>
      <c r="G8" s="4" t="s">
        <v>146</v>
      </c>
      <c r="H8" s="6" t="s">
        <v>1</v>
      </c>
      <c r="I8" s="6" t="s">
        <v>25</v>
      </c>
      <c r="J8" s="6" t="s">
        <v>1</v>
      </c>
      <c r="K8" s="6" t="s">
        <v>1</v>
      </c>
    </row>
    <row r="9" spans="1:11" x14ac:dyDescent="0.35">
      <c r="A9" s="3" t="s">
        <v>78</v>
      </c>
      <c r="B9" s="4" t="s">
        <v>140</v>
      </c>
      <c r="C9" s="4" t="str">
        <f t="shared" si="0"/>
        <v>INDICA SI USA TOMA DE PEDIDOS</v>
      </c>
      <c r="D9" s="5" t="s">
        <v>132</v>
      </c>
      <c r="E9" s="6" t="s">
        <v>1</v>
      </c>
      <c r="F9" s="6" t="s">
        <v>26</v>
      </c>
      <c r="G9" s="4" t="s">
        <v>146</v>
      </c>
      <c r="H9" s="6" t="s">
        <v>1</v>
      </c>
      <c r="I9" s="6" t="s">
        <v>25</v>
      </c>
      <c r="J9" s="6" t="s">
        <v>1</v>
      </c>
      <c r="K9" s="6" t="s">
        <v>1</v>
      </c>
    </row>
    <row r="10" spans="1:11" x14ac:dyDescent="0.35">
      <c r="A10" s="3" t="s">
        <v>78</v>
      </c>
      <c r="B10" s="4" t="s">
        <v>143</v>
      </c>
      <c r="C10" s="4" t="str">
        <f>UPPER(D10)</f>
        <v>INDICA SI USA GESTIÓN DE INVENTARIO</v>
      </c>
      <c r="D10" s="5" t="s">
        <v>133</v>
      </c>
      <c r="E10" s="6" t="s">
        <v>1</v>
      </c>
      <c r="F10" s="6" t="s">
        <v>26</v>
      </c>
      <c r="G10" s="4" t="s">
        <v>146</v>
      </c>
      <c r="H10" s="6" t="s">
        <v>1</v>
      </c>
      <c r="I10" s="6" t="s">
        <v>25</v>
      </c>
      <c r="J10" s="6" t="s">
        <v>1</v>
      </c>
      <c r="K10" s="6" t="s">
        <v>1</v>
      </c>
    </row>
    <row r="11" spans="1:11" x14ac:dyDescent="0.35">
      <c r="A11" s="3" t="s">
        <v>78</v>
      </c>
      <c r="B11" s="4" t="s">
        <v>141</v>
      </c>
      <c r="C11" s="4" t="str">
        <f t="shared" ref="C11:C14" si="1">UPPER(D11)</f>
        <v>INDICA SI USA CUENTAS POR COBRAR</v>
      </c>
      <c r="D11" s="5" t="s">
        <v>134</v>
      </c>
      <c r="E11" s="6" t="s">
        <v>1</v>
      </c>
      <c r="F11" s="6" t="s">
        <v>26</v>
      </c>
      <c r="G11" s="4" t="s">
        <v>146</v>
      </c>
      <c r="H11" s="6" t="s">
        <v>1</v>
      </c>
      <c r="I11" s="6" t="s">
        <v>25</v>
      </c>
      <c r="J11" s="6" t="s">
        <v>1</v>
      </c>
      <c r="K11" s="6" t="s">
        <v>1</v>
      </c>
    </row>
    <row r="12" spans="1:11" x14ac:dyDescent="0.35">
      <c r="A12" s="3" t="s">
        <v>78</v>
      </c>
      <c r="B12" s="4" t="s">
        <v>144</v>
      </c>
      <c r="C12" s="4" t="str">
        <f t="shared" si="1"/>
        <v>INDICA SI USA MÓDULO DE COMPRAS</v>
      </c>
      <c r="D12" s="5" t="s">
        <v>135</v>
      </c>
      <c r="E12" s="6" t="s">
        <v>1</v>
      </c>
      <c r="F12" s="6" t="s">
        <v>26</v>
      </c>
      <c r="G12" s="4" t="s">
        <v>146</v>
      </c>
      <c r="H12" s="6" t="s">
        <v>1</v>
      </c>
      <c r="I12" s="6" t="s">
        <v>25</v>
      </c>
      <c r="J12" s="6" t="s">
        <v>1</v>
      </c>
      <c r="K12" s="6" t="s">
        <v>1</v>
      </c>
    </row>
    <row r="13" spans="1:11" x14ac:dyDescent="0.35">
      <c r="A13" s="3" t="s">
        <v>78</v>
      </c>
      <c r="B13" s="4" t="s">
        <v>142</v>
      </c>
      <c r="C13" s="4" t="str">
        <f t="shared" si="1"/>
        <v>INDICA SI USA CUENTAS POR PAGAR</v>
      </c>
      <c r="D13" s="5" t="s">
        <v>136</v>
      </c>
      <c r="E13" s="6" t="s">
        <v>1</v>
      </c>
      <c r="F13" s="6" t="s">
        <v>26</v>
      </c>
      <c r="G13" s="4" t="s">
        <v>146</v>
      </c>
      <c r="H13" s="6" t="s">
        <v>1</v>
      </c>
      <c r="I13" s="6" t="s">
        <v>25</v>
      </c>
      <c r="J13" s="6" t="s">
        <v>1</v>
      </c>
      <c r="K13" s="6" t="s">
        <v>1</v>
      </c>
    </row>
    <row r="14" spans="1:11" x14ac:dyDescent="0.35">
      <c r="A14" s="3" t="s">
        <v>78</v>
      </c>
      <c r="B14" s="4" t="s">
        <v>145</v>
      </c>
      <c r="C14" s="4" t="str">
        <f t="shared" si="1"/>
        <v>INDICA SI USA ÓRDENES DE COMPRA</v>
      </c>
      <c r="D14" s="5" t="s">
        <v>137</v>
      </c>
      <c r="E14" s="6" t="s">
        <v>1</v>
      </c>
      <c r="F14" s="6" t="s">
        <v>26</v>
      </c>
      <c r="G14" s="4" t="s">
        <v>171</v>
      </c>
      <c r="H14" s="6" t="s">
        <v>1</v>
      </c>
      <c r="I14" s="6" t="s">
        <v>25</v>
      </c>
      <c r="J14" s="6" t="s">
        <v>1</v>
      </c>
      <c r="K14" s="6" t="s">
        <v>1</v>
      </c>
    </row>
    <row r="15" spans="1:11" x14ac:dyDescent="0.35">
      <c r="A15" s="3" t="s">
        <v>78</v>
      </c>
      <c r="B15" s="4" t="s">
        <v>168</v>
      </c>
      <c r="C15" s="4" t="s">
        <v>169</v>
      </c>
      <c r="D15" s="11" t="s">
        <v>170</v>
      </c>
      <c r="E15" s="6" t="s">
        <v>1</v>
      </c>
      <c r="F15" s="6" t="s">
        <v>26</v>
      </c>
      <c r="G15" s="4" t="s">
        <v>172</v>
      </c>
      <c r="H15" s="6" t="s">
        <v>1</v>
      </c>
      <c r="I15" s="6" t="s">
        <v>25</v>
      </c>
      <c r="J15" s="6" t="s">
        <v>1</v>
      </c>
      <c r="K15" s="6" t="s">
        <v>1</v>
      </c>
    </row>
    <row r="16" spans="1:11" x14ac:dyDescent="0.35">
      <c r="A16" s="3" t="s">
        <v>78</v>
      </c>
      <c r="B16" s="4" t="s">
        <v>22</v>
      </c>
      <c r="C16" s="4" t="str">
        <f>UPPER(D16)</f>
        <v>FECHA DE FOTO/DATOS CONFIGURADA EN EL ETL PARA LA EXTRACCIÓN DE DATOS, CORRESPONDE A APERTURAS DE COMERCIOS HASTA EL CIERRE DEL DÍA ANTERIOR</v>
      </c>
      <c r="D16" s="4" t="s">
        <v>23</v>
      </c>
      <c r="E16" s="6" t="s">
        <v>1</v>
      </c>
      <c r="F16" s="6" t="s">
        <v>24</v>
      </c>
      <c r="G16" s="10">
        <v>45841</v>
      </c>
      <c r="H16" s="6" t="s">
        <v>1</v>
      </c>
      <c r="I16" s="6" t="s">
        <v>1</v>
      </c>
      <c r="J16" s="6" t="s">
        <v>25</v>
      </c>
      <c r="K16" s="6" t="s">
        <v>1</v>
      </c>
    </row>
    <row r="17" spans="1:11" x14ac:dyDescent="0.35">
      <c r="A17" s="3" t="s">
        <v>78</v>
      </c>
      <c r="B17" s="4" t="s">
        <v>27</v>
      </c>
      <c r="C17" s="4" t="str">
        <f t="shared" ref="C17:C19" si="2">UPPER(D17)</f>
        <v>DATO DE AUDITORÍA: DESCRIPCIÓN DEL APLICATIVO ORIGEN DE LOS DATOS.</v>
      </c>
      <c r="D17" s="4" t="s">
        <v>28</v>
      </c>
      <c r="E17" s="6" t="s">
        <v>1</v>
      </c>
      <c r="F17" s="6" t="s">
        <v>26</v>
      </c>
      <c r="G17" s="4" t="s">
        <v>29</v>
      </c>
      <c r="H17" s="6" t="s">
        <v>1</v>
      </c>
      <c r="I17" s="6" t="s">
        <v>1</v>
      </c>
      <c r="J17" s="6" t="s">
        <v>1</v>
      </c>
      <c r="K17" s="6" t="s">
        <v>1</v>
      </c>
    </row>
    <row r="18" spans="1:11" x14ac:dyDescent="0.35">
      <c r="A18" s="3" t="s">
        <v>78</v>
      </c>
      <c r="B18" s="4" t="s">
        <v>30</v>
      </c>
      <c r="C18" s="4" t="str">
        <f t="shared" si="2"/>
        <v>FECHA Y HORA DE INSERCIÓN DEL REGISTRO EN EL MODELO</v>
      </c>
      <c r="D18" s="4" t="s">
        <v>31</v>
      </c>
      <c r="E18" s="6" t="s">
        <v>1</v>
      </c>
      <c r="F18" s="6" t="s">
        <v>35</v>
      </c>
      <c r="G18" s="4" t="s">
        <v>36</v>
      </c>
      <c r="H18" s="6" t="s">
        <v>1</v>
      </c>
      <c r="I18" s="6" t="s">
        <v>1</v>
      </c>
      <c r="J18" s="6" t="s">
        <v>1</v>
      </c>
      <c r="K18" s="6" t="s">
        <v>1</v>
      </c>
    </row>
    <row r="19" spans="1:11" x14ac:dyDescent="0.35">
      <c r="A19" s="3" t="s">
        <v>78</v>
      </c>
      <c r="B19" s="4" t="s">
        <v>32</v>
      </c>
      <c r="C19" s="4" t="str">
        <f t="shared" si="2"/>
        <v>USUARIO QUE CREA EL REGISTRO EN LA BD</v>
      </c>
      <c r="D19" s="4" t="s">
        <v>33</v>
      </c>
      <c r="E19" s="6" t="s">
        <v>1</v>
      </c>
      <c r="F19" s="6" t="s">
        <v>26</v>
      </c>
      <c r="G19" s="9" t="s">
        <v>34</v>
      </c>
      <c r="H19" s="6" t="s">
        <v>1</v>
      </c>
      <c r="I19" s="6" t="s">
        <v>1</v>
      </c>
      <c r="J19" s="6" t="s">
        <v>1</v>
      </c>
      <c r="K19" s="6" t="s">
        <v>1</v>
      </c>
    </row>
  </sheetData>
  <hyperlinks>
    <hyperlink ref="G19" r:id="rId1" xr:uid="{1E82AC88-E188-421D-81A1-DF93775E6701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76753-D80D-4219-ADA4-0CFDA5851B90}">
  <sheetPr codeName="Hoja9"/>
  <dimension ref="A1:K18"/>
  <sheetViews>
    <sheetView showGridLines="0" workbookViewId="0">
      <selection activeCell="B4" sqref="B4"/>
    </sheetView>
  </sheetViews>
  <sheetFormatPr baseColWidth="10" defaultColWidth="11.453125" defaultRowHeight="14.5" x14ac:dyDescent="0.35"/>
  <cols>
    <col min="1" max="2" width="29" customWidth="1"/>
    <col min="3" max="4" width="48.36328125" customWidth="1"/>
    <col min="5" max="6" width="29" customWidth="1"/>
    <col min="7" max="7" width="40.54296875" customWidth="1"/>
    <col min="8" max="11" width="29" customWidth="1"/>
  </cols>
  <sheetData>
    <row r="1" spans="1:11" ht="31" x14ac:dyDescent="0.35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</row>
    <row r="2" spans="1:11" ht="46.5" x14ac:dyDescent="0.35">
      <c r="A2" s="2" t="s">
        <v>12</v>
      </c>
      <c r="B2" s="2" t="s">
        <v>13</v>
      </c>
      <c r="C2" s="2" t="s">
        <v>14</v>
      </c>
      <c r="D2" s="2" t="s">
        <v>15</v>
      </c>
      <c r="E2" s="2" t="s">
        <v>16</v>
      </c>
      <c r="F2" s="2" t="s">
        <v>17</v>
      </c>
      <c r="G2" s="2" t="s">
        <v>18</v>
      </c>
      <c r="H2" s="2" t="s">
        <v>19</v>
      </c>
      <c r="I2" s="2" t="s">
        <v>20</v>
      </c>
      <c r="J2" s="2" t="s">
        <v>21</v>
      </c>
      <c r="K2" s="2" t="s">
        <v>20</v>
      </c>
    </row>
    <row r="3" spans="1:11" x14ac:dyDescent="0.35">
      <c r="A3" s="3" t="s">
        <v>79</v>
      </c>
      <c r="B3" s="4" t="s">
        <v>51</v>
      </c>
      <c r="C3" s="4" t="str">
        <f>UPPER(D3)</f>
        <v>TIPO DE DOCUMENTO TRIBUTARIO DEL COMERCIO</v>
      </c>
      <c r="D3" s="5" t="s">
        <v>38</v>
      </c>
      <c r="E3" s="6" t="s">
        <v>1</v>
      </c>
      <c r="F3" s="6" t="s">
        <v>26</v>
      </c>
      <c r="G3" s="7" t="s">
        <v>66</v>
      </c>
      <c r="H3" s="6" t="s">
        <v>1</v>
      </c>
      <c r="I3" s="6" t="s">
        <v>25</v>
      </c>
      <c r="J3" s="6" t="s">
        <v>1</v>
      </c>
      <c r="K3" s="6" t="s">
        <v>1</v>
      </c>
    </row>
    <row r="4" spans="1:11" ht="29" x14ac:dyDescent="0.35">
      <c r="A4" s="3" t="s">
        <v>79</v>
      </c>
      <c r="B4" s="4" t="s">
        <v>147</v>
      </c>
      <c r="C4" s="4" t="str">
        <f>UPPER(D4)</f>
        <v>NUMERO DE DOCUMENTO CON EL CUAL SE AFILIA EL CLIENTE A NIVEL IZIPAY</v>
      </c>
      <c r="D4" s="8" t="s">
        <v>148</v>
      </c>
      <c r="E4" s="6" t="s">
        <v>25</v>
      </c>
      <c r="F4" s="6" t="s">
        <v>26</v>
      </c>
      <c r="G4" s="4">
        <v>5756546588</v>
      </c>
      <c r="H4" s="6" t="s">
        <v>1</v>
      </c>
      <c r="I4" s="6" t="s">
        <v>25</v>
      </c>
      <c r="J4" s="6" t="s">
        <v>1</v>
      </c>
      <c r="K4" s="6" t="s">
        <v>1</v>
      </c>
    </row>
    <row r="5" spans="1:11" x14ac:dyDescent="0.35">
      <c r="A5" s="3" t="s">
        <v>79</v>
      </c>
      <c r="B5" s="4" t="s">
        <v>52</v>
      </c>
      <c r="C5" s="4" t="str">
        <f t="shared" ref="C5:C9" si="0">UPPER(D5)</f>
        <v>RAZÓN SOCIAL DEL COMERCIO</v>
      </c>
      <c r="D5" s="5" t="s">
        <v>80</v>
      </c>
      <c r="E5" s="6" t="s">
        <v>25</v>
      </c>
      <c r="F5" s="6" t="s">
        <v>175</v>
      </c>
      <c r="G5" s="4" t="s">
        <v>67</v>
      </c>
      <c r="H5" s="6" t="s">
        <v>1</v>
      </c>
      <c r="I5" s="6" t="s">
        <v>25</v>
      </c>
      <c r="J5" s="6" t="s">
        <v>1</v>
      </c>
      <c r="K5" s="6" t="s">
        <v>1</v>
      </c>
    </row>
    <row r="6" spans="1:11" x14ac:dyDescent="0.35">
      <c r="A6" s="3" t="s">
        <v>79</v>
      </c>
      <c r="B6" s="4" t="s">
        <v>167</v>
      </c>
      <c r="C6" s="4" t="str">
        <f t="shared" si="0"/>
        <v>NOMBRE COMERCIAL DEL NEGOCIO</v>
      </c>
      <c r="D6" s="5" t="s">
        <v>81</v>
      </c>
      <c r="E6" s="6" t="s">
        <v>1</v>
      </c>
      <c r="F6" s="6" t="s">
        <v>26</v>
      </c>
      <c r="G6" s="4" t="s">
        <v>68</v>
      </c>
      <c r="H6" s="6" t="s">
        <v>1</v>
      </c>
      <c r="I6" s="6" t="s">
        <v>25</v>
      </c>
      <c r="J6" s="6" t="s">
        <v>1</v>
      </c>
      <c r="K6" s="6" t="s">
        <v>1</v>
      </c>
    </row>
    <row r="7" spans="1:11" x14ac:dyDescent="0.35">
      <c r="A7" s="3" t="s">
        <v>79</v>
      </c>
      <c r="B7" s="4" t="s">
        <v>61</v>
      </c>
      <c r="C7" s="4" t="str">
        <f t="shared" si="0"/>
        <v>NOMBRE DEL USUARIO</v>
      </c>
      <c r="D7" s="5" t="s">
        <v>150</v>
      </c>
      <c r="E7" s="6" t="s">
        <v>25</v>
      </c>
      <c r="F7" s="6" t="s">
        <v>26</v>
      </c>
      <c r="G7" s="4" t="s">
        <v>162</v>
      </c>
      <c r="H7" s="6" t="s">
        <v>1</v>
      </c>
      <c r="I7" s="6" t="s">
        <v>25</v>
      </c>
      <c r="J7" s="6" t="s">
        <v>1</v>
      </c>
      <c r="K7" s="6" t="s">
        <v>1</v>
      </c>
    </row>
    <row r="8" spans="1:11" x14ac:dyDescent="0.35">
      <c r="A8" s="3" t="s">
        <v>79</v>
      </c>
      <c r="B8" s="4" t="s">
        <v>158</v>
      </c>
      <c r="C8" s="4" t="str">
        <f t="shared" si="0"/>
        <v>APELLIDO DEL USUARIO</v>
      </c>
      <c r="D8" s="5" t="s">
        <v>151</v>
      </c>
      <c r="E8" s="6" t="s">
        <v>25</v>
      </c>
      <c r="F8" s="6" t="s">
        <v>26</v>
      </c>
      <c r="G8" s="4" t="s">
        <v>163</v>
      </c>
      <c r="H8" s="6" t="s">
        <v>1</v>
      </c>
      <c r="I8" s="6" t="s">
        <v>25</v>
      </c>
      <c r="J8" s="6" t="s">
        <v>1</v>
      </c>
      <c r="K8" s="6" t="s">
        <v>1</v>
      </c>
    </row>
    <row r="9" spans="1:11" x14ac:dyDescent="0.35">
      <c r="A9" s="3" t="s">
        <v>79</v>
      </c>
      <c r="B9" s="4" t="s">
        <v>173</v>
      </c>
      <c r="C9" s="4" t="str">
        <f t="shared" si="0"/>
        <v>TIPO DE DOCUMENTO DE IDENTIDAD DEL USUARIO</v>
      </c>
      <c r="D9" s="5" t="s">
        <v>152</v>
      </c>
      <c r="E9" s="6" t="s">
        <v>1</v>
      </c>
      <c r="F9" s="6" t="s">
        <v>26</v>
      </c>
      <c r="G9" s="4" t="s">
        <v>164</v>
      </c>
      <c r="H9" s="6" t="s">
        <v>1</v>
      </c>
      <c r="I9" s="6" t="s">
        <v>25</v>
      </c>
      <c r="J9" s="6" t="s">
        <v>1</v>
      </c>
      <c r="K9" s="6" t="s">
        <v>1</v>
      </c>
    </row>
    <row r="10" spans="1:11" x14ac:dyDescent="0.35">
      <c r="A10" s="3" t="s">
        <v>79</v>
      </c>
      <c r="B10" s="4" t="s">
        <v>174</v>
      </c>
      <c r="C10" s="4" t="str">
        <f>UPPER(D10)</f>
        <v>NÚMERO DE DOCUMENTO DEL USUARIO</v>
      </c>
      <c r="D10" s="5" t="s">
        <v>153</v>
      </c>
      <c r="E10" s="6" t="s">
        <v>25</v>
      </c>
      <c r="F10" s="6" t="s">
        <v>26</v>
      </c>
      <c r="G10" s="4">
        <v>73293052</v>
      </c>
      <c r="H10" s="6" t="s">
        <v>1</v>
      </c>
      <c r="I10" s="6" t="s">
        <v>25</v>
      </c>
      <c r="J10" s="6" t="s">
        <v>1</v>
      </c>
      <c r="K10" s="6" t="s">
        <v>1</v>
      </c>
    </row>
    <row r="11" spans="1:11" x14ac:dyDescent="0.35">
      <c r="A11" s="3" t="s">
        <v>79</v>
      </c>
      <c r="B11" s="4" t="s">
        <v>159</v>
      </c>
      <c r="C11" s="4" t="str">
        <f t="shared" ref="C11:C14" si="1">UPPER(D11)</f>
        <v>ROL DEL USUARIO DENTRO DEL SISTEMA</v>
      </c>
      <c r="D11" s="5" t="s">
        <v>154</v>
      </c>
      <c r="E11" s="6" t="s">
        <v>1</v>
      </c>
      <c r="F11" s="6" t="s">
        <v>26</v>
      </c>
      <c r="G11" s="4" t="s">
        <v>165</v>
      </c>
      <c r="H11" s="6" t="s">
        <v>1</v>
      </c>
      <c r="I11" s="6" t="s">
        <v>25</v>
      </c>
      <c r="J11" s="6" t="s">
        <v>1</v>
      </c>
      <c r="K11" s="6" t="s">
        <v>1</v>
      </c>
    </row>
    <row r="12" spans="1:11" x14ac:dyDescent="0.35">
      <c r="A12" s="3" t="s">
        <v>79</v>
      </c>
      <c r="B12" s="4" t="s">
        <v>160</v>
      </c>
      <c r="C12" s="4" t="str">
        <f t="shared" si="1"/>
        <v>EMAIL DEL USUARIO</v>
      </c>
      <c r="D12" s="5" t="s">
        <v>155</v>
      </c>
      <c r="E12" s="6" t="s">
        <v>25</v>
      </c>
      <c r="F12" s="6" t="s">
        <v>26</v>
      </c>
      <c r="G12" s="9" t="s">
        <v>166</v>
      </c>
      <c r="H12" s="6" t="s">
        <v>1</v>
      </c>
      <c r="I12" s="6" t="s">
        <v>25</v>
      </c>
      <c r="J12" s="6" t="s">
        <v>1</v>
      </c>
      <c r="K12" s="6" t="s">
        <v>1</v>
      </c>
    </row>
    <row r="13" spans="1:11" x14ac:dyDescent="0.35">
      <c r="A13" s="3" t="s">
        <v>79</v>
      </c>
      <c r="B13" s="4" t="s">
        <v>161</v>
      </c>
      <c r="C13" s="4" t="str">
        <f t="shared" si="1"/>
        <v>CELULAR DEL USUARIO</v>
      </c>
      <c r="D13" s="5" t="s">
        <v>156</v>
      </c>
      <c r="E13" s="6" t="s">
        <v>25</v>
      </c>
      <c r="F13" s="6" t="s">
        <v>26</v>
      </c>
      <c r="G13" s="4">
        <v>985934321</v>
      </c>
      <c r="H13" s="6" t="s">
        <v>1</v>
      </c>
      <c r="I13" s="6" t="s">
        <v>25</v>
      </c>
      <c r="J13" s="6" t="s">
        <v>1</v>
      </c>
      <c r="K13" s="6" t="s">
        <v>1</v>
      </c>
    </row>
    <row r="14" spans="1:11" x14ac:dyDescent="0.35">
      <c r="A14" s="3" t="s">
        <v>79</v>
      </c>
      <c r="B14" s="4" t="s">
        <v>87</v>
      </c>
      <c r="C14" s="4" t="str">
        <f t="shared" si="1"/>
        <v>ESTADO ACTUAL DEL USUARIO EN EL SISTEMA</v>
      </c>
      <c r="D14" s="5" t="s">
        <v>157</v>
      </c>
      <c r="E14" s="6" t="s">
        <v>1</v>
      </c>
      <c r="F14" s="6" t="s">
        <v>26</v>
      </c>
      <c r="G14" s="4" t="s">
        <v>88</v>
      </c>
      <c r="H14" s="6" t="s">
        <v>1</v>
      </c>
      <c r="I14" s="6" t="s">
        <v>25</v>
      </c>
      <c r="J14" s="6" t="s">
        <v>1</v>
      </c>
      <c r="K14" s="6" t="s">
        <v>1</v>
      </c>
    </row>
    <row r="15" spans="1:11" x14ac:dyDescent="0.35">
      <c r="A15" s="3" t="s">
        <v>79</v>
      </c>
      <c r="B15" s="4" t="s">
        <v>22</v>
      </c>
      <c r="C15" s="4" t="str">
        <f>UPPER(D15)</f>
        <v>FECHA DE FOTO/DATOS CONFIGURADA EN EL ETL PARA LA EXTRACCIÓN DE DATOS, CORRESPONDE A APERTURAS DE COMERCIOS HASTA EL CIERRE DEL DÍA ANTERIOR</v>
      </c>
      <c r="D15" s="4" t="s">
        <v>23</v>
      </c>
      <c r="E15" s="6" t="s">
        <v>1</v>
      </c>
      <c r="F15" s="6" t="s">
        <v>24</v>
      </c>
      <c r="G15" s="10">
        <v>45841</v>
      </c>
      <c r="H15" s="6" t="s">
        <v>1</v>
      </c>
      <c r="I15" s="6" t="s">
        <v>1</v>
      </c>
      <c r="J15" s="6" t="s">
        <v>25</v>
      </c>
      <c r="K15" s="6" t="s">
        <v>1</v>
      </c>
    </row>
    <row r="16" spans="1:11" x14ac:dyDescent="0.35">
      <c r="A16" s="3" t="s">
        <v>79</v>
      </c>
      <c r="B16" s="4" t="s">
        <v>27</v>
      </c>
      <c r="C16" s="4" t="str">
        <f t="shared" ref="C16:C18" si="2">UPPER(D16)</f>
        <v>DATO DE AUDITORÍA: DESCRIPCIÓN DEL APLICATIVO ORIGEN DE LOS DATOS.</v>
      </c>
      <c r="D16" s="4" t="s">
        <v>28</v>
      </c>
      <c r="E16" s="6" t="s">
        <v>1</v>
      </c>
      <c r="F16" s="6" t="s">
        <v>26</v>
      </c>
      <c r="G16" s="4" t="s">
        <v>29</v>
      </c>
      <c r="H16" s="6" t="s">
        <v>1</v>
      </c>
      <c r="I16" s="6" t="s">
        <v>1</v>
      </c>
      <c r="J16" s="6" t="s">
        <v>1</v>
      </c>
      <c r="K16" s="6" t="s">
        <v>1</v>
      </c>
    </row>
    <row r="17" spans="1:11" x14ac:dyDescent="0.35">
      <c r="A17" s="3" t="s">
        <v>79</v>
      </c>
      <c r="B17" s="4" t="s">
        <v>30</v>
      </c>
      <c r="C17" s="4" t="str">
        <f t="shared" si="2"/>
        <v>FECHA Y HORA DE INSERCIÓN DEL REGISTRO EN EL MODELO</v>
      </c>
      <c r="D17" s="4" t="s">
        <v>31</v>
      </c>
      <c r="E17" s="6" t="s">
        <v>1</v>
      </c>
      <c r="F17" s="6" t="s">
        <v>35</v>
      </c>
      <c r="G17" s="4" t="s">
        <v>36</v>
      </c>
      <c r="H17" s="6" t="s">
        <v>1</v>
      </c>
      <c r="I17" s="6" t="s">
        <v>1</v>
      </c>
      <c r="J17" s="6" t="s">
        <v>1</v>
      </c>
      <c r="K17" s="6" t="s">
        <v>1</v>
      </c>
    </row>
    <row r="18" spans="1:11" x14ac:dyDescent="0.35">
      <c r="A18" s="3" t="s">
        <v>79</v>
      </c>
      <c r="B18" s="4" t="s">
        <v>32</v>
      </c>
      <c r="C18" s="4" t="str">
        <f t="shared" si="2"/>
        <v>USUARIO QUE CREA EL REGISTRO EN LA BD</v>
      </c>
      <c r="D18" s="4" t="s">
        <v>33</v>
      </c>
      <c r="E18" s="6" t="s">
        <v>1</v>
      </c>
      <c r="F18" s="6" t="s">
        <v>26</v>
      </c>
      <c r="G18" s="9" t="s">
        <v>34</v>
      </c>
      <c r="H18" s="6" t="s">
        <v>1</v>
      </c>
      <c r="I18" s="6" t="s">
        <v>1</v>
      </c>
      <c r="J18" s="6" t="s">
        <v>1</v>
      </c>
      <c r="K18" s="6" t="s">
        <v>1</v>
      </c>
    </row>
  </sheetData>
  <hyperlinks>
    <hyperlink ref="G18" r:id="rId1" xr:uid="{5D5FE039-B419-4461-9692-093DEADA6066}"/>
    <hyperlink ref="G12" r:id="rId2" xr:uid="{56623708-003A-4A12-833C-2C8F038976F7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1DB9E7368290418064F68BD9FE06A8" ma:contentTypeVersion="16" ma:contentTypeDescription="Create a new document." ma:contentTypeScope="" ma:versionID="b9c598f3bf5821ec7c8d150fb2409204">
  <xsd:schema xmlns:xsd="http://www.w3.org/2001/XMLSchema" xmlns:xs="http://www.w3.org/2001/XMLSchema" xmlns:p="http://schemas.microsoft.com/office/2006/metadata/properties" xmlns:ns2="e80ac410-b05f-448e-8dee-046357d4e70e" xmlns:ns3="0d36e45e-9b33-40cd-9496-1b0b6d1fa39a" targetNamespace="http://schemas.microsoft.com/office/2006/metadata/properties" ma:root="true" ma:fieldsID="251c203eb9aee4e487258461f501dc14" ns2:_="" ns3:_="">
    <xsd:import namespace="e80ac410-b05f-448e-8dee-046357d4e70e"/>
    <xsd:import namespace="0d36e45e-9b33-40cd-9496-1b0b6d1fa39a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Location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0ac410-b05f-448e-8dee-046357d4e70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0df41d55-81af-4a44-a067-d7a5a5ddb24d}" ma:internalName="TaxCatchAll" ma:showField="CatchAllData" ma:web="e80ac410-b05f-448e-8dee-046357d4e70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36e45e-9b33-40cd-9496-1b0b6d1fa39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6c341efc-c97d-44e1-9c58-c7d91e5dd07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80ac410-b05f-448e-8dee-046357d4e70e" xsi:nil="true"/>
    <lcf76f155ced4ddcb4097134ff3c332f xmlns="0d36e45e-9b33-40cd-9496-1b0b6d1fa39a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E7449B2-B44D-488D-B344-EC10B8BA91A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0ac410-b05f-448e-8dee-046357d4e70e"/>
    <ds:schemaRef ds:uri="0d36e45e-9b33-40cd-9496-1b0b6d1fa39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85006A4-5124-4F73-8C0E-FFC53E124586}">
  <ds:schemaRefs>
    <ds:schemaRef ds:uri="http://schemas.microsoft.com/office/2006/metadata/properties"/>
    <ds:schemaRef ds:uri="http://schemas.microsoft.com/office/infopath/2007/PartnerControls"/>
    <ds:schemaRef ds:uri="e80ac410-b05f-448e-8dee-046357d4e70e"/>
    <ds:schemaRef ds:uri="0d36e45e-9b33-40cd-9496-1b0b6d1fa39a"/>
  </ds:schemaRefs>
</ds:datastoreItem>
</file>

<file path=customXml/itemProps3.xml><?xml version="1.0" encoding="utf-8"?>
<ds:datastoreItem xmlns:ds="http://schemas.openxmlformats.org/officeDocument/2006/customXml" ds:itemID="{FCB7F921-B723-4C15-9B1B-F767409F206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companies</vt:lpstr>
      <vt:lpstr>devices</vt:lpstr>
      <vt:lpstr>sales_and_payments</vt:lpstr>
      <vt:lpstr>sales_x_products</vt:lpstr>
      <vt:lpstr>usage</vt:lpstr>
      <vt:lpstr>users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Angello Bravo</dc:creator>
  <cp:lastModifiedBy>Jose Ramos</cp:lastModifiedBy>
  <dcterms:created xsi:type="dcterms:W3CDTF">2015-06-05T18:19:34Z</dcterms:created>
  <dcterms:modified xsi:type="dcterms:W3CDTF">2026-07-03T21:26:49Z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0x010100F31DB9E7368290418064F68BD9FE06A8</vt:lpwstr>
  </property>
  <property fmtid="{D5CDD505-2E9C-101B-9397-08002B2CF9AE}" pid="3" name="MediaServiceImageTags">
    <vt:lpwstr/>
  </property>
</Properties>
</file>