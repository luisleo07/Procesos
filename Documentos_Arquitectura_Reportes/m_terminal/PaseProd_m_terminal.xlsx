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95" documentId="11_FAB7A90E4B73B5A9E092E09D1C9066C8C9BDDB01" xr6:coauthVersionLast="47" xr6:coauthVersionMax="47" xr10:uidLastSave="{EB4A07F6-DDCB-4F10-83F8-695A243CDB19}"/>
  <bookViews>
    <workbookView xWindow="240" yWindow="105" windowWidth="14805" windowHeight="8010" xr2:uid="{00000000-000D-0000-FFFF-FFFF00000000}"/>
  </bookViews>
  <sheets>
    <sheet name="Hoja1" sheetId="1" r:id="rId1"/>
  </sheets>
  <definedNames>
    <definedName name="_xlnm._FilterDatabase" localSheetId="0" hidden="1">Hoja1!$A$1:$L$42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0" i="1" l="1"/>
  <c r="L38" i="1"/>
  <c r="L32" i="1"/>
  <c r="L41" i="1"/>
  <c r="L31" i="1"/>
  <c r="L36" i="1"/>
  <c r="L33" i="1"/>
  <c r="L35" i="1"/>
  <c r="L39" i="1"/>
  <c r="L7" i="1"/>
  <c r="L8" i="1"/>
  <c r="L5" i="1"/>
  <c r="L6" i="1"/>
  <c r="L11" i="1"/>
  <c r="L10" i="1"/>
  <c r="L29" i="1"/>
  <c r="L27" i="1"/>
  <c r="L25" i="1"/>
  <c r="L19" i="1"/>
  <c r="L28" i="1"/>
  <c r="L18" i="1"/>
  <c r="L21" i="1"/>
  <c r="L17" i="1"/>
  <c r="L23" i="1"/>
  <c r="L20" i="1"/>
  <c r="L22" i="1"/>
  <c r="L26" i="1"/>
  <c r="L24" i="1"/>
</calcChain>
</file>

<file path=xl/sharedStrings.xml><?xml version="1.0" encoding="utf-8"?>
<sst xmlns="http://schemas.openxmlformats.org/spreadsheetml/2006/main" count="381" uniqueCount="106">
  <si>
    <t>Fuente_Origen</t>
  </si>
  <si>
    <t>Tablas</t>
  </si>
  <si>
    <t>Tipo Tablas</t>
  </si>
  <si>
    <t>BigLake</t>
  </si>
  <si>
    <t>Proyecto</t>
  </si>
  <si>
    <t>DataSet</t>
  </si>
  <si>
    <t>Sp</t>
  </si>
  <si>
    <t>HoraEjecucion</t>
  </si>
  <si>
    <t>master_product</t>
  </si>
  <si>
    <t>m_terminal</t>
  </si>
  <si>
    <t>Maestro</t>
  </si>
  <si>
    <t>prd-izipay-data-operation</t>
  </si>
  <si>
    <t>master_stage_product</t>
  </si>
  <si>
    <t>prc_load_table_m_terminal</t>
  </si>
  <si>
    <t>m_terminal_h</t>
  </si>
  <si>
    <t>Transaccional</t>
  </si>
  <si>
    <t>m_terminal_m</t>
  </si>
  <si>
    <t>raw_as400</t>
  </si>
  <si>
    <t>akfmarti</t>
  </si>
  <si>
    <t>dev-izipay-data-operation.bq_omni_izipay_azure_saizipaydatamarts.prc_load_table_bqomni_as400_maestro</t>
  </si>
  <si>
    <t>raw_stage_as400</t>
  </si>
  <si>
    <t>prc_load_as400_akfmarti</t>
  </si>
  <si>
    <t>- var_name_prc_</t>
  </si>
  <si>
    <t>01</t>
  </si>
  <si>
    <t xml:space="preserve">: </t>
  </si>
  <si>
    <t>akfmitem</t>
  </si>
  <si>
    <t>prc_load_as400_akfmitem</t>
  </si>
  <si>
    <t>08</t>
  </si>
  <si>
    <t>akfv002</t>
  </si>
  <si>
    <t>prc_load_as400_akfv002</t>
  </si>
  <si>
    <t>02</t>
  </si>
  <si>
    <t>alfm004</t>
  </si>
  <si>
    <t>prc_load_as400_alfm004</t>
  </si>
  <si>
    <t>alfw004</t>
  </si>
  <si>
    <t>prc_load_as400_alfw004</t>
  </si>
  <si>
    <t>mcfh781</t>
  </si>
  <si>
    <t>prc_load_as400_mcfh781</t>
  </si>
  <si>
    <t>06</t>
  </si>
  <si>
    <t>mcft782</t>
  </si>
  <si>
    <t>prc_load_as400_mcft782</t>
  </si>
  <si>
    <t>07</t>
  </si>
  <si>
    <t>mcfv050</t>
  </si>
  <si>
    <t>prc_load_as400_mcfv050</t>
  </si>
  <si>
    <t>raw_dataentry_operaciones</t>
  </si>
  <si>
    <t>marguesi_terminal_desuso</t>
  </si>
  <si>
    <t>Catalogo</t>
  </si>
  <si>
    <t>dev-izipay-data-operation.bq_omni_izipay_azure_saizipaydatamarts.prc_load_table_bqomni_dataentry_operaciones_marguesi_terminal_desuso</t>
  </si>
  <si>
    <t>raw_stage_dataentry_operaciones</t>
  </si>
  <si>
    <t>prc_load_marguesi_terminal_desuso</t>
  </si>
  <si>
    <t>modelo_terminal_desuso</t>
  </si>
  <si>
    <t>dev-izipay-data-operation.bq_omni_izipay_azure_saizipaydatamarts.prc_load_table_bqomni_dataentry_operaciones_modelo_terminal_desuso</t>
  </si>
  <si>
    <t>prc_load_modelo_terminal_desuso</t>
  </si>
  <si>
    <t>modelo_terminal_pinpad</t>
  </si>
  <si>
    <t>dev-izipay-data-operation.bq_omni_izipay_azure_saizipaydatamarts.prc_load_table_bqomni_dataentry_operaciones_modelo_terminal_pinpad</t>
  </si>
  <si>
    <t>prc_load_modelo_terminal_pinpad</t>
  </si>
  <si>
    <t>modelos_old_terminal_desuso</t>
  </si>
  <si>
    <t>dev-izipay-data-operation.bq_omni_izipay_azure_saizipaydatamarts.prc_load_table_bqomni_dataentry_operaciones_modelos_old_terminal_desuso</t>
  </si>
  <si>
    <t>prc_load_modelos_old_terminal_desuso</t>
  </si>
  <si>
    <t>raw_mccenter_adq</t>
  </si>
  <si>
    <t>tafloorlimit</t>
  </si>
  <si>
    <t>dev-izipay-data-operation.bq_omni_izipay_azure_saizipaydatamarts.prc_load_table_bqomni_mccenter_adq_maestro</t>
  </si>
  <si>
    <t>raw_stage_mccenter_adq</t>
  </si>
  <si>
    <t>prc_load_mccenter_adq_tafloorlimit</t>
  </si>
  <si>
    <t>tamerchantprofileapplication</t>
  </si>
  <si>
    <t>prc_load_mccenter_adq_tamerchantprofileapplication</t>
  </si>
  <si>
    <t>03</t>
  </si>
  <si>
    <t>tatariffgroup</t>
  </si>
  <si>
    <t>prc_load_mccenter_adq_tatariffgroup</t>
  </si>
  <si>
    <t>04</t>
  </si>
  <si>
    <t>taterminalapplication</t>
  </si>
  <si>
    <t>prc_load_mccenter_adq_taterminalapplication</t>
  </si>
  <si>
    <t>taterminalappltransaction</t>
  </si>
  <si>
    <t>prc_load_mccenter_adq_taterminalappltransaction</t>
  </si>
  <si>
    <t>tmchipsgprs</t>
  </si>
  <si>
    <t>prc_load_mccenter_adq_tmchipsgprs</t>
  </si>
  <si>
    <t>tmdownloadprofile</t>
  </si>
  <si>
    <t>prc_load_mccenter_adq_tmdownloadprofile</t>
  </si>
  <si>
    <t>tmmerchant</t>
  </si>
  <si>
    <t>prc_load_mccenter_adq_tmmerchant</t>
  </si>
  <si>
    <t>tmtariff</t>
  </si>
  <si>
    <t>prc_load_mccenter_adq_tmtariff</t>
  </si>
  <si>
    <t>tmterminal</t>
  </si>
  <si>
    <t>prc_load_mccenter_adq_tmterminal</t>
  </si>
  <si>
    <t>tmtransactiontype</t>
  </si>
  <si>
    <t>prc_load_mccenter_adq_tmtransactiontype</t>
  </si>
  <si>
    <t>05</t>
  </si>
  <si>
    <t>tmversion</t>
  </si>
  <si>
    <t>prc_load_mccenter_adq_tmversion</t>
  </si>
  <si>
    <t>txlistfield</t>
  </si>
  <si>
    <t>prc_load_mccenter_adq_txlistfield</t>
  </si>
  <si>
    <t>raw_mccenter_caco</t>
  </si>
  <si>
    <t>dev-izipay-data-operation.bq_omni_izipay_azure_saizipaydatamarts.prc_load_table_bqomni_mccenter_caco_maestro</t>
  </si>
  <si>
    <t>raw_stage_mccenter_caco</t>
  </si>
  <si>
    <t>prc_load_mccenter_caco_tafloorlimit</t>
  </si>
  <si>
    <t>prc_load_mccenter_caco_tamerchantprofileapplication</t>
  </si>
  <si>
    <t>prc_load_mccenter_caco_tatariffgroup</t>
  </si>
  <si>
    <t>prc_load_mccenter_caco_taterminalapplication</t>
  </si>
  <si>
    <t>prc_load_mccenter_caco_taterminalappltransaction</t>
  </si>
  <si>
    <t>prc_load_mccenter_caco_tmchipsgprs</t>
  </si>
  <si>
    <t>prc_load_mccenter_caco_tmdownloadprofile</t>
  </si>
  <si>
    <t>prc_load_mccenter_caco_tmmerchant</t>
  </si>
  <si>
    <t>prc_load_mccenter_caco_tmtariff</t>
  </si>
  <si>
    <t>prc_load_mccenter_caco_tmterminal</t>
  </si>
  <si>
    <t>prc_load_mccenter_caco_tmtransactiontype</t>
  </si>
  <si>
    <t>prc_load_mccenter_caco_tmversion</t>
  </si>
  <si>
    <t>prc_load_mccenter_caco_txlistfield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</si>
</sst>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9"/>
      <color rgb="FF000000"/>
      <name val="Roboto Mono"/>
      <charset val="1"/>
    </font>
    <font>
      <sz val="11"/>
      <color theme="1"/>
      <name val="Calibri"/>
      <family val="2"/>
    </font>
    <font>
      <sz val="9"/>
      <color rgb="FF202124"/>
      <name val="Roboto"/>
      <family val="2"/>
      <charset val="1"/>
    </font>
    <font>
      <sz val="11"/>
      <color rgb="FF242424"/>
      <name val="Aptos Narrow"/>
      <charset val="1"/>
    </font>
    <font>
      <sz val="11"/>
      <color rgb="FF202124"/>
      <name val="Google Sans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" xfId="0" applyBorder="1"/>
    <xf numFmtId="20" fontId="0" fillId="0" borderId="0" xfId="0" applyNumberFormat="1"/>
    <xf numFmtId="0" fontId="0" fillId="0" borderId="0" xfId="0" quotePrefix="1"/>
    <xf numFmtId="0" fontId="0" fillId="3" borderId="0" xfId="0" applyFill="1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0" xfId="0" applyFont="1"/>
    <xf numFmtId="0" fontId="5" fillId="0" borderId="0" xfId="0" applyFont="1"/>
    <xf numFmtId="0" fontId="3" fillId="0" borderId="0" xfId="0" applyFont="1"/>
    <xf numFmtId="0" fontId="6" fillId="0" borderId="0" xfId="0" applyFont="1"/>
    <xf numFmtId="0" fontId="7" fillId="0" borderId="0" xfId="0" applyFont="1"/>
    <xf numFmtId="0" fontId="4" fillId="4" borderId="2" xfId="0" applyFont="1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4" borderId="2" xfId="0" applyFill="1" applyBorder="1" applyAlignment="1">
      <alignment horizontal="left"/>
    </xf>
    <xf numFmtId="0" fontId="7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topLeftCell="D6" workbookViewId="0">
      <selection activeCell="G18" sqref="G18"/>
    </sheetView>
  </sheetViews>
  <sheetFormatPr defaultRowHeight="15"/>
  <cols>
    <col min="1" max="1" width="26.28515625" bestFit="1" customWidth="1"/>
    <col min="2" max="2" width="33.5703125" style="8" customWidth="1"/>
    <col min="3" max="3" width="13.28515625" customWidth="1"/>
    <col min="4" max="4" width="131.28515625" customWidth="1"/>
    <col min="5" max="5" width="23.42578125" customWidth="1"/>
    <col min="6" max="6" width="25" bestFit="1" customWidth="1"/>
    <col min="7" max="7" width="38.5703125" bestFit="1" customWidth="1"/>
    <col min="8" max="8" width="14.28515625" bestFit="1" customWidth="1"/>
    <col min="9" max="9" width="15.28515625" bestFit="1" customWidth="1"/>
    <col min="10" max="10" width="3.28515625" bestFit="1" customWidth="1"/>
    <col min="11" max="11" width="2.140625" bestFit="1" customWidth="1"/>
    <col min="12" max="12" width="56.1406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12">
      <c r="A2" s="9" t="s">
        <v>8</v>
      </c>
      <c r="B2" s="23" t="s">
        <v>9</v>
      </c>
      <c r="C2" s="4" t="s">
        <v>10</v>
      </c>
      <c r="D2" s="4"/>
      <c r="E2" t="s">
        <v>11</v>
      </c>
      <c r="F2" s="14" t="s">
        <v>12</v>
      </c>
      <c r="G2" s="14" t="s">
        <v>13</v>
      </c>
    </row>
    <row r="3" spans="1:12">
      <c r="A3" s="9" t="s">
        <v>8</v>
      </c>
      <c r="B3" s="23" t="s">
        <v>14</v>
      </c>
      <c r="C3" s="4" t="s">
        <v>15</v>
      </c>
      <c r="D3" s="4"/>
      <c r="E3" t="s">
        <v>11</v>
      </c>
      <c r="F3" s="14" t="s">
        <v>12</v>
      </c>
      <c r="G3" s="14" t="s">
        <v>13</v>
      </c>
    </row>
    <row r="4" spans="1:12">
      <c r="A4" s="9" t="s">
        <v>8</v>
      </c>
      <c r="B4" s="23" t="s">
        <v>16</v>
      </c>
      <c r="C4" s="4" t="s">
        <v>15</v>
      </c>
      <c r="D4" s="4"/>
      <c r="E4" t="s">
        <v>11</v>
      </c>
      <c r="F4" s="14" t="s">
        <v>12</v>
      </c>
      <c r="G4" s="14" t="s">
        <v>13</v>
      </c>
    </row>
    <row r="5" spans="1:12">
      <c r="A5" s="10" t="s">
        <v>17</v>
      </c>
      <c r="B5" s="16" t="s">
        <v>18</v>
      </c>
      <c r="C5" s="4" t="s">
        <v>10</v>
      </c>
      <c r="D5" s="4" t="s">
        <v>19</v>
      </c>
      <c r="E5" t="s">
        <v>11</v>
      </c>
      <c r="F5" s="15" t="s">
        <v>20</v>
      </c>
      <c r="G5" s="24" t="s">
        <v>21</v>
      </c>
      <c r="H5" s="5">
        <v>0.20833333333333334</v>
      </c>
      <c r="I5" s="6" t="s">
        <v>22</v>
      </c>
      <c r="J5" s="6" t="s">
        <v>23</v>
      </c>
      <c r="K5" t="s">
        <v>24</v>
      </c>
      <c r="L5" t="str">
        <f>_xlfn.CONCAT(I5,J5,K5,G5)</f>
        <v>- var_name_prc_01: prc_load_as400_akfmarti</v>
      </c>
    </row>
    <row r="6" spans="1:12">
      <c r="A6" s="10" t="s">
        <v>17</v>
      </c>
      <c r="B6" s="16" t="s">
        <v>25</v>
      </c>
      <c r="C6" s="4" t="s">
        <v>10</v>
      </c>
      <c r="D6" s="4" t="s">
        <v>19</v>
      </c>
      <c r="E6" t="s">
        <v>11</v>
      </c>
      <c r="F6" s="15" t="s">
        <v>20</v>
      </c>
      <c r="G6" s="24" t="s">
        <v>26</v>
      </c>
      <c r="H6" s="5">
        <v>0.20833333333333334</v>
      </c>
      <c r="I6" s="6" t="s">
        <v>22</v>
      </c>
      <c r="J6" s="6" t="s">
        <v>27</v>
      </c>
      <c r="K6" t="s">
        <v>24</v>
      </c>
      <c r="L6" t="str">
        <f>_xlfn.CONCAT(I6,J6,K6,G6)</f>
        <v>- var_name_prc_08: prc_load_as400_akfmitem</v>
      </c>
    </row>
    <row r="7" spans="1:12">
      <c r="A7" s="10" t="s">
        <v>17</v>
      </c>
      <c r="B7" s="16" t="s">
        <v>28</v>
      </c>
      <c r="C7" s="4" t="s">
        <v>10</v>
      </c>
      <c r="D7" s="4" t="s">
        <v>19</v>
      </c>
      <c r="E7" t="s">
        <v>11</v>
      </c>
      <c r="F7" s="15" t="s">
        <v>20</v>
      </c>
      <c r="G7" s="24" t="s">
        <v>29</v>
      </c>
      <c r="H7" s="5">
        <v>0.20833333333333334</v>
      </c>
      <c r="I7" s="6" t="s">
        <v>22</v>
      </c>
      <c r="J7" s="6" t="s">
        <v>30</v>
      </c>
      <c r="K7" t="s">
        <v>24</v>
      </c>
      <c r="L7" t="str">
        <f>_xlfn.CONCAT(I7,J7,K7,G7)</f>
        <v>- var_name_prc_02: prc_load_as400_akfv002</v>
      </c>
    </row>
    <row r="8" spans="1:12">
      <c r="A8" s="10" t="s">
        <v>17</v>
      </c>
      <c r="B8" s="16" t="s">
        <v>31</v>
      </c>
      <c r="C8" s="4" t="s">
        <v>10</v>
      </c>
      <c r="D8" s="4" t="s">
        <v>19</v>
      </c>
      <c r="E8" t="s">
        <v>11</v>
      </c>
      <c r="F8" s="15" t="s">
        <v>20</v>
      </c>
      <c r="G8" s="24" t="s">
        <v>32</v>
      </c>
      <c r="H8" s="5">
        <v>0.20833333333333334</v>
      </c>
      <c r="I8" s="6" t="s">
        <v>22</v>
      </c>
      <c r="J8" s="6" t="s">
        <v>23</v>
      </c>
      <c r="K8" t="s">
        <v>24</v>
      </c>
      <c r="L8" t="str">
        <f>_xlfn.CONCAT(I8,J8,K8,G8)</f>
        <v>- var_name_prc_01: prc_load_as400_alfm004</v>
      </c>
    </row>
    <row r="9" spans="1:12">
      <c r="A9" s="10" t="s">
        <v>17</v>
      </c>
      <c r="B9" s="17" t="s">
        <v>33</v>
      </c>
      <c r="C9" s="4" t="s">
        <v>10</v>
      </c>
      <c r="D9" s="4" t="s">
        <v>19</v>
      </c>
      <c r="E9" t="s">
        <v>11</v>
      </c>
      <c r="F9" s="15" t="s">
        <v>20</v>
      </c>
      <c r="G9" s="24" t="s">
        <v>34</v>
      </c>
      <c r="H9" s="5">
        <v>0.25</v>
      </c>
      <c r="I9" s="6" t="s">
        <v>22</v>
      </c>
    </row>
    <row r="10" spans="1:12">
      <c r="A10" s="10" t="s">
        <v>17</v>
      </c>
      <c r="B10" s="16" t="s">
        <v>35</v>
      </c>
      <c r="C10" s="4" t="s">
        <v>10</v>
      </c>
      <c r="D10" s="4" t="s">
        <v>19</v>
      </c>
      <c r="E10" t="s">
        <v>11</v>
      </c>
      <c r="F10" s="15" t="s">
        <v>20</v>
      </c>
      <c r="G10" s="24" t="s">
        <v>36</v>
      </c>
      <c r="H10" s="5">
        <v>0.20833333333333334</v>
      </c>
      <c r="I10" s="6" t="s">
        <v>22</v>
      </c>
      <c r="J10" s="6" t="s">
        <v>37</v>
      </c>
      <c r="K10" t="s">
        <v>24</v>
      </c>
      <c r="L10" t="str">
        <f>_xlfn.CONCAT(I10,J10,K10,G10)</f>
        <v>- var_name_prc_06: prc_load_as400_mcfh781</v>
      </c>
    </row>
    <row r="11" spans="1:12">
      <c r="A11" s="10" t="s">
        <v>17</v>
      </c>
      <c r="B11" s="16" t="s">
        <v>38</v>
      </c>
      <c r="C11" s="4" t="s">
        <v>10</v>
      </c>
      <c r="D11" s="4" t="s">
        <v>19</v>
      </c>
      <c r="E11" t="s">
        <v>11</v>
      </c>
      <c r="F11" s="15" t="s">
        <v>20</v>
      </c>
      <c r="G11" s="24" t="s">
        <v>39</v>
      </c>
      <c r="H11" s="5">
        <v>0.20833333333333334</v>
      </c>
      <c r="I11" s="6" t="s">
        <v>22</v>
      </c>
      <c r="J11" s="6" t="s">
        <v>40</v>
      </c>
      <c r="K11" t="s">
        <v>24</v>
      </c>
      <c r="L11" t="str">
        <f>_xlfn.CONCAT(I11,J11,K11,G11)</f>
        <v>- var_name_prc_07: prc_load_as400_mcft782</v>
      </c>
    </row>
    <row r="12" spans="1:12">
      <c r="A12" s="10" t="s">
        <v>17</v>
      </c>
      <c r="B12" s="16" t="s">
        <v>41</v>
      </c>
      <c r="C12" s="4" t="s">
        <v>10</v>
      </c>
      <c r="D12" s="4" t="s">
        <v>19</v>
      </c>
      <c r="E12" t="s">
        <v>11</v>
      </c>
      <c r="F12" s="15" t="s">
        <v>20</v>
      </c>
      <c r="G12" s="24" t="s">
        <v>42</v>
      </c>
      <c r="H12" s="5">
        <v>0.25</v>
      </c>
      <c r="I12" s="6" t="s">
        <v>22</v>
      </c>
    </row>
    <row r="13" spans="1:12">
      <c r="A13" s="9" t="s">
        <v>43</v>
      </c>
      <c r="B13" s="16" t="s">
        <v>44</v>
      </c>
      <c r="C13" s="4" t="s">
        <v>45</v>
      </c>
      <c r="D13" s="4" t="s">
        <v>46</v>
      </c>
      <c r="E13" t="s">
        <v>11</v>
      </c>
      <c r="F13" s="13" t="s">
        <v>47</v>
      </c>
      <c r="G13" s="13" t="s">
        <v>48</v>
      </c>
    </row>
    <row r="14" spans="1:12">
      <c r="A14" s="9" t="s">
        <v>43</v>
      </c>
      <c r="B14" s="16" t="s">
        <v>49</v>
      </c>
      <c r="C14" s="4" t="s">
        <v>45</v>
      </c>
      <c r="D14" s="4" t="s">
        <v>50</v>
      </c>
      <c r="E14" t="s">
        <v>11</v>
      </c>
      <c r="F14" s="13" t="s">
        <v>47</v>
      </c>
      <c r="G14" s="13" t="s">
        <v>51</v>
      </c>
    </row>
    <row r="15" spans="1:12">
      <c r="A15" s="9" t="s">
        <v>43</v>
      </c>
      <c r="B15" s="16" t="s">
        <v>52</v>
      </c>
      <c r="C15" s="4" t="s">
        <v>45</v>
      </c>
      <c r="D15" s="4" t="s">
        <v>53</v>
      </c>
      <c r="E15" t="s">
        <v>11</v>
      </c>
      <c r="F15" s="13" t="s">
        <v>47</v>
      </c>
      <c r="G15" s="13" t="s">
        <v>54</v>
      </c>
    </row>
    <row r="16" spans="1:12">
      <c r="A16" s="9" t="s">
        <v>43</v>
      </c>
      <c r="B16" s="16" t="s">
        <v>55</v>
      </c>
      <c r="C16" s="4" t="s">
        <v>45</v>
      </c>
      <c r="D16" s="4" t="s">
        <v>56</v>
      </c>
      <c r="E16" t="s">
        <v>11</v>
      </c>
      <c r="F16" s="13" t="s">
        <v>47</v>
      </c>
      <c r="G16" s="13" t="s">
        <v>57</v>
      </c>
    </row>
    <row r="17" spans="1:13">
      <c r="A17" s="10" t="s">
        <v>58</v>
      </c>
      <c r="B17" s="16" t="s">
        <v>59</v>
      </c>
      <c r="C17" s="4" t="s">
        <v>10</v>
      </c>
      <c r="D17" s="4" t="s">
        <v>60</v>
      </c>
      <c r="E17" t="s">
        <v>11</v>
      </c>
      <c r="F17" s="13" t="s">
        <v>61</v>
      </c>
      <c r="G17" s="11" t="s">
        <v>62</v>
      </c>
      <c r="H17" s="5">
        <v>0.20833333333333334</v>
      </c>
      <c r="I17" s="6" t="s">
        <v>22</v>
      </c>
      <c r="J17" s="6" t="s">
        <v>30</v>
      </c>
      <c r="K17" t="s">
        <v>24</v>
      </c>
      <c r="L17" t="str">
        <f>_xlfn.CONCAT(I17,J17,K17,G17)</f>
        <v>- var_name_prc_02: prc_load_mccenter_adq_tafloorlimit</v>
      </c>
    </row>
    <row r="18" spans="1:13">
      <c r="A18" s="10" t="s">
        <v>58</v>
      </c>
      <c r="B18" s="17" t="s">
        <v>63</v>
      </c>
      <c r="C18" s="4" t="s">
        <v>10</v>
      </c>
      <c r="D18" s="4" t="s">
        <v>60</v>
      </c>
      <c r="E18" t="s">
        <v>11</v>
      </c>
      <c r="F18" s="13" t="s">
        <v>61</v>
      </c>
      <c r="G18" s="11" t="s">
        <v>64</v>
      </c>
      <c r="H18" s="5">
        <v>0.20833333333333334</v>
      </c>
      <c r="I18" s="6" t="s">
        <v>22</v>
      </c>
      <c r="J18" s="6" t="s">
        <v>65</v>
      </c>
      <c r="K18" t="s">
        <v>24</v>
      </c>
      <c r="L18" t="str">
        <f>_xlfn.CONCAT(I18,J18,K18,G18)</f>
        <v>- var_name_prc_03: prc_load_mccenter_adq_tamerchantprofileapplication</v>
      </c>
    </row>
    <row r="19" spans="1:13">
      <c r="A19" s="10" t="s">
        <v>58</v>
      </c>
      <c r="B19" s="16" t="s">
        <v>66</v>
      </c>
      <c r="C19" s="4" t="s">
        <v>10</v>
      </c>
      <c r="D19" s="4" t="s">
        <v>60</v>
      </c>
      <c r="E19" t="s">
        <v>11</v>
      </c>
      <c r="F19" s="13" t="s">
        <v>61</v>
      </c>
      <c r="G19" s="11" t="s">
        <v>67</v>
      </c>
      <c r="H19" s="5">
        <v>0.20833333333333334</v>
      </c>
      <c r="I19" s="6" t="s">
        <v>22</v>
      </c>
      <c r="J19" s="6" t="s">
        <v>68</v>
      </c>
      <c r="K19" t="s">
        <v>24</v>
      </c>
      <c r="L19" t="str">
        <f>_xlfn.CONCAT(I19,J19,K19,G19)</f>
        <v>- var_name_prc_04: prc_load_mccenter_adq_tatariffgroup</v>
      </c>
    </row>
    <row r="20" spans="1:13">
      <c r="A20" s="10" t="s">
        <v>58</v>
      </c>
      <c r="B20" s="16" t="s">
        <v>69</v>
      </c>
      <c r="C20" s="4" t="s">
        <v>10</v>
      </c>
      <c r="D20" s="4" t="s">
        <v>60</v>
      </c>
      <c r="E20" t="s">
        <v>11</v>
      </c>
      <c r="F20" s="13" t="s">
        <v>61</v>
      </c>
      <c r="G20" s="11" t="s">
        <v>70</v>
      </c>
      <c r="H20" s="5">
        <v>0.20833333333333334</v>
      </c>
      <c r="I20" s="6" t="s">
        <v>22</v>
      </c>
      <c r="J20" s="6" t="s">
        <v>23</v>
      </c>
      <c r="K20" t="s">
        <v>24</v>
      </c>
      <c r="L20" t="str">
        <f>_xlfn.CONCAT(I20,J20,K20,G20)</f>
        <v>- var_name_prc_01: prc_load_mccenter_adq_taterminalapplication</v>
      </c>
    </row>
    <row r="21" spans="1:13">
      <c r="A21" s="10" t="s">
        <v>58</v>
      </c>
      <c r="B21" s="16" t="s">
        <v>71</v>
      </c>
      <c r="C21" s="4" t="s">
        <v>10</v>
      </c>
      <c r="D21" s="4" t="s">
        <v>60</v>
      </c>
      <c r="E21" t="s">
        <v>11</v>
      </c>
      <c r="F21" s="13" t="s">
        <v>61</v>
      </c>
      <c r="G21" s="11" t="s">
        <v>72</v>
      </c>
      <c r="H21" s="5">
        <v>0.20833333333333334</v>
      </c>
      <c r="I21" s="6" t="s">
        <v>22</v>
      </c>
      <c r="J21" s="6" t="s">
        <v>30</v>
      </c>
      <c r="K21" t="s">
        <v>24</v>
      </c>
      <c r="L21" t="str">
        <f>_xlfn.CONCAT(I21,J21,K21,G21)</f>
        <v>- var_name_prc_02: prc_load_mccenter_adq_taterminalappltransaction</v>
      </c>
    </row>
    <row r="22" spans="1:13">
      <c r="A22" s="10" t="s">
        <v>58</v>
      </c>
      <c r="B22" s="16" t="s">
        <v>73</v>
      </c>
      <c r="C22" s="4" t="s">
        <v>10</v>
      </c>
      <c r="D22" s="4" t="s">
        <v>60</v>
      </c>
      <c r="E22" t="s">
        <v>11</v>
      </c>
      <c r="F22" s="13" t="s">
        <v>61</v>
      </c>
      <c r="G22" s="11" t="s">
        <v>74</v>
      </c>
      <c r="H22" s="5">
        <v>0.20833333333333334</v>
      </c>
      <c r="I22" s="6" t="s">
        <v>22</v>
      </c>
      <c r="J22" s="6" t="s">
        <v>68</v>
      </c>
      <c r="K22" t="s">
        <v>24</v>
      </c>
      <c r="L22" t="str">
        <f>_xlfn.CONCAT(I22,J22,K22,G22)</f>
        <v>- var_name_prc_04: prc_load_mccenter_adq_tmchipsgprs</v>
      </c>
    </row>
    <row r="23" spans="1:13">
      <c r="A23" s="10" t="s">
        <v>58</v>
      </c>
      <c r="B23" s="16" t="s">
        <v>75</v>
      </c>
      <c r="C23" s="4" t="s">
        <v>10</v>
      </c>
      <c r="D23" s="4" t="s">
        <v>60</v>
      </c>
      <c r="E23" t="s">
        <v>11</v>
      </c>
      <c r="F23" s="13" t="s">
        <v>61</v>
      </c>
      <c r="G23" s="11" t="s">
        <v>76</v>
      </c>
      <c r="H23" s="5">
        <v>0.20833333333333334</v>
      </c>
      <c r="I23" s="6" t="s">
        <v>22</v>
      </c>
      <c r="J23" s="6" t="s">
        <v>23</v>
      </c>
      <c r="K23" t="s">
        <v>24</v>
      </c>
      <c r="L23" t="str">
        <f>_xlfn.CONCAT(I23,J23,K23,G23)</f>
        <v>- var_name_prc_01: prc_load_mccenter_adq_tmdownloadprofile</v>
      </c>
    </row>
    <row r="24" spans="1:13">
      <c r="A24" s="10" t="s">
        <v>58</v>
      </c>
      <c r="B24" s="16" t="s">
        <v>77</v>
      </c>
      <c r="C24" s="4" t="s">
        <v>10</v>
      </c>
      <c r="D24" s="4" t="s">
        <v>60</v>
      </c>
      <c r="E24" t="s">
        <v>11</v>
      </c>
      <c r="F24" s="13" t="s">
        <v>61</v>
      </c>
      <c r="G24" s="11" t="s">
        <v>78</v>
      </c>
      <c r="H24" s="5">
        <v>0.20833333333333334</v>
      </c>
      <c r="I24" s="6" t="s">
        <v>22</v>
      </c>
      <c r="J24" s="6" t="s">
        <v>23</v>
      </c>
      <c r="K24" t="s">
        <v>24</v>
      </c>
      <c r="L24" t="str">
        <f>_xlfn.CONCAT(I24,J24,K24,G24)</f>
        <v>- var_name_prc_01: prc_load_mccenter_adq_tmmerchant</v>
      </c>
    </row>
    <row r="25" spans="1:13">
      <c r="A25" s="10" t="s">
        <v>58</v>
      </c>
      <c r="B25" s="18" t="s">
        <v>79</v>
      </c>
      <c r="C25" s="4" t="s">
        <v>10</v>
      </c>
      <c r="D25" s="4" t="s">
        <v>60</v>
      </c>
      <c r="E25" t="s">
        <v>11</v>
      </c>
      <c r="F25" s="13" t="s">
        <v>61</v>
      </c>
      <c r="G25" s="11" t="s">
        <v>80</v>
      </c>
      <c r="H25" s="5">
        <v>0.20833333333333334</v>
      </c>
      <c r="I25" s="6" t="s">
        <v>22</v>
      </c>
      <c r="J25" s="6" t="s">
        <v>68</v>
      </c>
      <c r="K25" t="s">
        <v>24</v>
      </c>
      <c r="L25" t="str">
        <f>_xlfn.CONCAT(I25,J25,K25,G25)</f>
        <v>- var_name_prc_04: prc_load_mccenter_adq_tmtariff</v>
      </c>
    </row>
    <row r="26" spans="1:13">
      <c r="A26" s="10" t="s">
        <v>58</v>
      </c>
      <c r="B26" s="16" t="s">
        <v>81</v>
      </c>
      <c r="C26" s="4" t="s">
        <v>10</v>
      </c>
      <c r="D26" s="4" t="s">
        <v>60</v>
      </c>
      <c r="E26" t="s">
        <v>11</v>
      </c>
      <c r="F26" s="13" t="s">
        <v>61</v>
      </c>
      <c r="G26" s="11" t="s">
        <v>82</v>
      </c>
      <c r="H26" s="5">
        <v>0.20833333333333334</v>
      </c>
      <c r="I26" s="6" t="s">
        <v>22</v>
      </c>
      <c r="J26" s="6" t="s">
        <v>65</v>
      </c>
      <c r="K26" t="s">
        <v>24</v>
      </c>
      <c r="L26" t="str">
        <f>_xlfn.CONCAT(I26,J26,K26,G26)</f>
        <v>- var_name_prc_03: prc_load_mccenter_adq_tmterminal</v>
      </c>
    </row>
    <row r="27" spans="1:13">
      <c r="A27" s="10" t="s">
        <v>58</v>
      </c>
      <c r="B27" s="18" t="s">
        <v>83</v>
      </c>
      <c r="C27" s="4" t="s">
        <v>10</v>
      </c>
      <c r="D27" s="4" t="s">
        <v>60</v>
      </c>
      <c r="E27" t="s">
        <v>11</v>
      </c>
      <c r="F27" s="13" t="s">
        <v>61</v>
      </c>
      <c r="G27" s="11" t="s">
        <v>84</v>
      </c>
      <c r="H27" s="5">
        <v>0.20833333333333334</v>
      </c>
      <c r="I27" s="6" t="s">
        <v>22</v>
      </c>
      <c r="J27" s="6" t="s">
        <v>85</v>
      </c>
      <c r="K27" t="s">
        <v>24</v>
      </c>
      <c r="L27" t="str">
        <f>_xlfn.CONCAT(I27,J27,K27,G27)</f>
        <v>- var_name_prc_05: prc_load_mccenter_adq_tmtransactiontype</v>
      </c>
    </row>
    <row r="28" spans="1:13">
      <c r="A28" s="10" t="s">
        <v>58</v>
      </c>
      <c r="B28" s="17" t="s">
        <v>86</v>
      </c>
      <c r="C28" s="4" t="s">
        <v>10</v>
      </c>
      <c r="D28" s="4" t="s">
        <v>60</v>
      </c>
      <c r="E28" t="s">
        <v>11</v>
      </c>
      <c r="F28" s="13" t="s">
        <v>61</v>
      </c>
      <c r="G28" s="11" t="s">
        <v>87</v>
      </c>
      <c r="H28" s="5">
        <v>0.20833333333333334</v>
      </c>
      <c r="I28" s="6" t="s">
        <v>22</v>
      </c>
      <c r="J28" s="6" t="s">
        <v>65</v>
      </c>
      <c r="K28" t="s">
        <v>24</v>
      </c>
      <c r="L28" t="str">
        <f>_xlfn.CONCAT(I28,J28,K28,G28)</f>
        <v>- var_name_prc_03: prc_load_mccenter_adq_tmversion</v>
      </c>
    </row>
    <row r="29" spans="1:13">
      <c r="A29" s="10" t="s">
        <v>58</v>
      </c>
      <c r="B29" s="18" t="s">
        <v>88</v>
      </c>
      <c r="C29" s="4" t="s">
        <v>10</v>
      </c>
      <c r="D29" s="4" t="s">
        <v>60</v>
      </c>
      <c r="E29" t="s">
        <v>11</v>
      </c>
      <c r="F29" s="13" t="s">
        <v>61</v>
      </c>
      <c r="G29" s="11" t="s">
        <v>89</v>
      </c>
      <c r="H29" s="5">
        <v>0.20833333333333334</v>
      </c>
      <c r="I29" s="6" t="s">
        <v>22</v>
      </c>
      <c r="J29" s="6" t="s">
        <v>85</v>
      </c>
      <c r="K29" t="s">
        <v>24</v>
      </c>
      <c r="L29" t="str">
        <f>_xlfn.CONCAT(I29,J29,K29,G29)</f>
        <v>- var_name_prc_05: prc_load_mccenter_adq_txlistfield</v>
      </c>
    </row>
    <row r="30" spans="1:13">
      <c r="A30" s="10" t="s">
        <v>90</v>
      </c>
      <c r="B30" s="16" t="s">
        <v>59</v>
      </c>
      <c r="C30" s="4" t="s">
        <v>10</v>
      </c>
      <c r="D30" s="4" t="s">
        <v>91</v>
      </c>
      <c r="E30" t="s">
        <v>11</v>
      </c>
      <c r="F30" s="12" t="s">
        <v>92</v>
      </c>
      <c r="G30" s="11" t="s">
        <v>93</v>
      </c>
      <c r="I30" s="6" t="s">
        <v>22</v>
      </c>
      <c r="J30" s="6"/>
      <c r="M30" s="5"/>
    </row>
    <row r="31" spans="1:13">
      <c r="A31" s="10" t="s">
        <v>90</v>
      </c>
      <c r="B31" s="17" t="s">
        <v>63</v>
      </c>
      <c r="C31" s="4" t="s">
        <v>10</v>
      </c>
      <c r="D31" s="4" t="s">
        <v>91</v>
      </c>
      <c r="E31" t="s">
        <v>11</v>
      </c>
      <c r="F31" s="12" t="s">
        <v>92</v>
      </c>
      <c r="G31" s="11" t="s">
        <v>94</v>
      </c>
      <c r="H31" s="5">
        <v>0.45833333333333331</v>
      </c>
      <c r="I31" s="6" t="s">
        <v>22</v>
      </c>
      <c r="J31" s="6" t="s">
        <v>23</v>
      </c>
      <c r="K31" t="s">
        <v>24</v>
      </c>
      <c r="L31" s="7" t="str">
        <f>_xlfn.CONCAT(I31,J31,K31,G31)</f>
        <v>- var_name_prc_01: prc_load_mccenter_caco_tamerchantprofileapplication</v>
      </c>
      <c r="M31" s="5"/>
    </row>
    <row r="32" spans="1:13">
      <c r="A32" s="10" t="s">
        <v>90</v>
      </c>
      <c r="B32" s="16" t="s">
        <v>66</v>
      </c>
      <c r="C32" s="4" t="s">
        <v>10</v>
      </c>
      <c r="D32" s="4" t="s">
        <v>91</v>
      </c>
      <c r="E32" t="s">
        <v>11</v>
      </c>
      <c r="F32" s="12" t="s">
        <v>92</v>
      </c>
      <c r="G32" s="11" t="s">
        <v>95</v>
      </c>
      <c r="H32" s="5">
        <v>0.29166666666666669</v>
      </c>
      <c r="I32" s="6" t="s">
        <v>22</v>
      </c>
      <c r="J32" s="6" t="s">
        <v>65</v>
      </c>
      <c r="K32" t="s">
        <v>24</v>
      </c>
      <c r="L32" t="str">
        <f>_xlfn.CONCAT(I32,J32,K32,G32)</f>
        <v>- var_name_prc_03: prc_load_mccenter_caco_tatariffgroup</v>
      </c>
      <c r="M32" s="5"/>
    </row>
    <row r="33" spans="1:13">
      <c r="A33" s="10" t="s">
        <v>90</v>
      </c>
      <c r="B33" s="16" t="s">
        <v>69</v>
      </c>
      <c r="C33" s="4" t="s">
        <v>10</v>
      </c>
      <c r="D33" s="4" t="s">
        <v>91</v>
      </c>
      <c r="E33" t="s">
        <v>11</v>
      </c>
      <c r="F33" s="12" t="s">
        <v>92</v>
      </c>
      <c r="G33" s="11" t="s">
        <v>96</v>
      </c>
      <c r="H33" s="5">
        <v>0.25</v>
      </c>
      <c r="I33" s="6" t="s">
        <v>22</v>
      </c>
      <c r="J33" s="6" t="s">
        <v>37</v>
      </c>
      <c r="K33" t="s">
        <v>24</v>
      </c>
      <c r="L33" t="str">
        <f>_xlfn.CONCAT(I33,J33,K33,G33)</f>
        <v>- var_name_prc_06: prc_load_mccenter_caco_taterminalapplication</v>
      </c>
      <c r="M33" s="5"/>
    </row>
    <row r="34" spans="1:13">
      <c r="A34" s="10" t="s">
        <v>90</v>
      </c>
      <c r="B34" s="16" t="s">
        <v>71</v>
      </c>
      <c r="C34" s="4" t="s">
        <v>10</v>
      </c>
      <c r="D34" s="4" t="s">
        <v>91</v>
      </c>
      <c r="E34" t="s">
        <v>11</v>
      </c>
      <c r="F34" s="12" t="s">
        <v>92</v>
      </c>
      <c r="G34" s="11" t="s">
        <v>97</v>
      </c>
      <c r="I34" s="6" t="s">
        <v>22</v>
      </c>
      <c r="M34" s="5"/>
    </row>
    <row r="35" spans="1:13">
      <c r="A35" s="10" t="s">
        <v>90</v>
      </c>
      <c r="B35" s="16" t="s">
        <v>73</v>
      </c>
      <c r="C35" s="4" t="s">
        <v>10</v>
      </c>
      <c r="D35" s="4" t="s">
        <v>91</v>
      </c>
      <c r="E35" t="s">
        <v>11</v>
      </c>
      <c r="F35" s="12" t="s">
        <v>92</v>
      </c>
      <c r="G35" s="11" t="s">
        <v>98</v>
      </c>
      <c r="H35" s="5">
        <v>0.25</v>
      </c>
      <c r="I35" s="6" t="s">
        <v>22</v>
      </c>
      <c r="J35" s="6" t="s">
        <v>85</v>
      </c>
      <c r="K35" t="s">
        <v>24</v>
      </c>
      <c r="L35" t="str">
        <f>_xlfn.CONCAT(I35,J35,K35,G35)</f>
        <v>- var_name_prc_05: prc_load_mccenter_caco_tmchipsgprs</v>
      </c>
    </row>
    <row r="36" spans="1:13">
      <c r="A36" s="10" t="s">
        <v>90</v>
      </c>
      <c r="B36" s="19" t="s">
        <v>75</v>
      </c>
      <c r="C36" s="4" t="s">
        <v>10</v>
      </c>
      <c r="D36" s="4" t="s">
        <v>91</v>
      </c>
      <c r="E36" t="s">
        <v>11</v>
      </c>
      <c r="F36" s="12" t="s">
        <v>92</v>
      </c>
      <c r="G36" s="11" t="s">
        <v>99</v>
      </c>
      <c r="H36" s="5">
        <v>0.25</v>
      </c>
      <c r="I36" s="6" t="s">
        <v>22</v>
      </c>
      <c r="J36" s="6" t="s">
        <v>40</v>
      </c>
      <c r="K36" t="s">
        <v>24</v>
      </c>
      <c r="L36" t="str">
        <f>_xlfn.CONCAT(I36,J36,K36,G36)</f>
        <v>- var_name_prc_07: prc_load_mccenter_caco_tmdownloadprofile</v>
      </c>
    </row>
    <row r="37" spans="1:13">
      <c r="A37" s="10" t="s">
        <v>90</v>
      </c>
      <c r="B37" s="19" t="s">
        <v>77</v>
      </c>
      <c r="C37" s="4" t="s">
        <v>10</v>
      </c>
      <c r="D37" s="4" t="s">
        <v>91</v>
      </c>
      <c r="E37" t="s">
        <v>11</v>
      </c>
      <c r="F37" s="12" t="s">
        <v>92</v>
      </c>
      <c r="G37" s="11" t="s">
        <v>100</v>
      </c>
      <c r="H37" s="5">
        <v>0.25</v>
      </c>
      <c r="I37" s="6" t="s">
        <v>22</v>
      </c>
    </row>
    <row r="38" spans="1:13">
      <c r="A38" s="10" t="s">
        <v>90</v>
      </c>
      <c r="B38" s="20" t="s">
        <v>79</v>
      </c>
      <c r="C38" s="4" t="s">
        <v>10</v>
      </c>
      <c r="D38" s="4" t="s">
        <v>91</v>
      </c>
      <c r="E38" t="s">
        <v>11</v>
      </c>
      <c r="F38" s="12" t="s">
        <v>92</v>
      </c>
      <c r="G38" s="11" t="s">
        <v>101</v>
      </c>
      <c r="H38" s="5">
        <v>0.29166666666666669</v>
      </c>
      <c r="I38" s="6" t="s">
        <v>22</v>
      </c>
      <c r="J38" s="6" t="s">
        <v>68</v>
      </c>
      <c r="K38" t="s">
        <v>24</v>
      </c>
      <c r="L38" t="str">
        <f>_xlfn.CONCAT(I38,J38,K38,G38)</f>
        <v>- var_name_prc_04: prc_load_mccenter_caco_tmtariff</v>
      </c>
    </row>
    <row r="39" spans="1:13">
      <c r="A39" s="10" t="s">
        <v>90</v>
      </c>
      <c r="B39" s="19" t="s">
        <v>81</v>
      </c>
      <c r="C39" s="4" t="s">
        <v>10</v>
      </c>
      <c r="D39" s="4" t="s">
        <v>91</v>
      </c>
      <c r="E39" t="s">
        <v>11</v>
      </c>
      <c r="F39" s="12" t="s">
        <v>92</v>
      </c>
      <c r="G39" s="11" t="s">
        <v>102</v>
      </c>
      <c r="H39" s="5">
        <v>0.25</v>
      </c>
      <c r="I39" s="6" t="s">
        <v>22</v>
      </c>
      <c r="J39" s="6" t="s">
        <v>68</v>
      </c>
      <c r="K39" t="s">
        <v>24</v>
      </c>
      <c r="L39" t="str">
        <f>_xlfn.CONCAT(I39,J39,K39,G39)</f>
        <v>- var_name_prc_04: prc_load_mccenter_caco_tmterminal</v>
      </c>
    </row>
    <row r="40" spans="1:13">
      <c r="A40" s="10" t="s">
        <v>90</v>
      </c>
      <c r="B40" s="21" t="s">
        <v>83</v>
      </c>
      <c r="C40" s="4" t="s">
        <v>10</v>
      </c>
      <c r="D40" s="4" t="s">
        <v>91</v>
      </c>
      <c r="E40" t="s">
        <v>11</v>
      </c>
      <c r="F40" s="12" t="s">
        <v>92</v>
      </c>
      <c r="G40" s="11" t="s">
        <v>103</v>
      </c>
      <c r="H40" s="5">
        <v>0.29166666666666669</v>
      </c>
      <c r="I40" s="6" t="s">
        <v>22</v>
      </c>
      <c r="J40" s="6" t="s">
        <v>85</v>
      </c>
      <c r="K40" t="s">
        <v>24</v>
      </c>
      <c r="L40" t="str">
        <f>_xlfn.CONCAT(I40,J40,K40,G40)</f>
        <v>- var_name_prc_05: prc_load_mccenter_caco_tmtransactiontype</v>
      </c>
    </row>
    <row r="41" spans="1:13">
      <c r="A41" s="10" t="s">
        <v>90</v>
      </c>
      <c r="B41" s="22" t="s">
        <v>86</v>
      </c>
      <c r="C41" s="4" t="s">
        <v>10</v>
      </c>
      <c r="D41" s="4" t="s">
        <v>91</v>
      </c>
      <c r="E41" t="s">
        <v>11</v>
      </c>
      <c r="F41" s="12" t="s">
        <v>92</v>
      </c>
      <c r="G41" s="11" t="s">
        <v>104</v>
      </c>
      <c r="H41" s="5">
        <v>0.45833333333333331</v>
      </c>
      <c r="I41" s="6" t="s">
        <v>22</v>
      </c>
      <c r="J41" s="6" t="s">
        <v>30</v>
      </c>
      <c r="K41" t="s">
        <v>24</v>
      </c>
      <c r="L41" s="7" t="str">
        <f>_xlfn.CONCAT(I41,J41,K41,G41)</f>
        <v>- var_name_prc_02: prc_load_mccenter_caco_tmversion</v>
      </c>
    </row>
    <row r="42" spans="1:13">
      <c r="A42" s="10" t="s">
        <v>90</v>
      </c>
      <c r="B42" s="21" t="s">
        <v>88</v>
      </c>
      <c r="C42" s="4" t="s">
        <v>10</v>
      </c>
      <c r="D42" s="4" t="s">
        <v>91</v>
      </c>
      <c r="E42" t="s">
        <v>11</v>
      </c>
      <c r="F42" s="12" t="s">
        <v>92</v>
      </c>
      <c r="G42" s="11" t="s">
        <v>105</v>
      </c>
    </row>
  </sheetData>
  <autoFilter ref="A1:L42" xr:uid="{00000000-0001-0000-0000-000000000000}">
    <sortState xmlns:xlrd2="http://schemas.microsoft.com/office/spreadsheetml/2017/richdata2" ref="A2:L42">
      <sortCondition ref="A2:A42"/>
      <sortCondition ref="B2:B42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DB9E7368290418064F68BD9FE06A8" ma:contentTypeVersion="16" ma:contentTypeDescription="Create a new document." ma:contentTypeScope="" ma:versionID="01f16da48a6c059b2148f345ccc5e939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ee98914011b67ba2747d83d875269810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CCD631-B86C-4B18-B1B1-FDD9E34D823C}"/>
</file>

<file path=customXml/itemProps2.xml><?xml version="1.0" encoding="utf-8"?>
<ds:datastoreItem xmlns:ds="http://schemas.openxmlformats.org/officeDocument/2006/customXml" ds:itemID="{2634861F-4E4D-447E-A6A6-DD277D488828}"/>
</file>

<file path=customXml/itemProps3.xml><?xml version="1.0" encoding="utf-8"?>
<ds:datastoreItem xmlns:ds="http://schemas.openxmlformats.org/officeDocument/2006/customXml" ds:itemID="{EBD93F66-1F17-4CE3-8031-053F0CC96E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Arturo Quispe Humpiri</cp:lastModifiedBy>
  <cp:revision/>
  <dcterms:created xsi:type="dcterms:W3CDTF">2025-11-17T16:47:50Z</dcterms:created>
  <dcterms:modified xsi:type="dcterms:W3CDTF">2025-11-19T00:14:53Z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