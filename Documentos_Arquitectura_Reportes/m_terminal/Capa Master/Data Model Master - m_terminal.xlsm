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GCP/Tablas Core/m_terminal/Capa Master/"/>
    </mc:Choice>
  </mc:AlternateContent>
  <xr:revisionPtr revIDLastSave="0" documentId="8_{DFC1F4C2-30C5-4EF7-B331-99273E8E7175}" xr6:coauthVersionLast="47" xr6:coauthVersionMax="47" xr10:uidLastSave="{00000000-0000-0000-0000-000000000000}"/>
  <bookViews>
    <workbookView xWindow="-108" yWindow="-108" windowWidth="23256" windowHeight="12456" firstSheet="2" activeTab="7" xr2:uid="{00000000-000D-0000-FFFF-FFFF00000000}"/>
  </bookViews>
  <sheets>
    <sheet name="Consideraciones" sheetId="2" state="hidden" r:id="rId1"/>
    <sheet name="Estructuras del Modelo" sheetId="3" r:id="rId2"/>
    <sheet name="Datos Sensibles" sheetId="4" r:id="rId3"/>
    <sheet name="m_terminal (mapeo)" sheetId="5" state="hidden" r:id="rId4"/>
    <sheet name="m_terminal" sheetId="6" r:id="rId5"/>
    <sheet name="m_terminal_m" sheetId="7" r:id="rId6"/>
    <sheet name="m_terminal_h" sheetId="8" r:id="rId7"/>
    <sheet name="m_terminales_redpos - m_termina" sheetId="9" r:id="rId8"/>
  </sheets>
  <functionGroups builtInGroupCount="19"/>
  <definedNames>
    <definedName name="_xlnm._FilterDatabase" localSheetId="2" hidden="1">'Datos Sensibles'!$B$5:$I$16</definedName>
    <definedName name="_xlnm._FilterDatabase" localSheetId="1" hidden="1">'Estructuras del Modelo'!$H$1:$I$976</definedName>
    <definedName name="_xlnm._FilterDatabase" localSheetId="4" hidden="1">m_terminal!$A$2:$M$72</definedName>
    <definedName name="_xlnm._FilterDatabase" localSheetId="3" hidden="1">'m_terminal (mapeo)'!$A$2:$N$94</definedName>
    <definedName name="_xlnm._FilterDatabase" localSheetId="6" hidden="1">m_terminal_h!$A$2:$M$70</definedName>
    <definedName name="_xlnm._FilterDatabase" localSheetId="5" hidden="1">m_terminal_m!$A$2:$M$70</definedName>
    <definedName name="_xlnm._FilterDatabase" localSheetId="7" hidden="1">'m_terminales_redpos - m_termina'!$A$3:$F$95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5" i="9" l="1"/>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E14" i="8"/>
  <c r="E13" i="8"/>
  <c r="E12" i="8"/>
  <c r="E11" i="8"/>
  <c r="E10" i="8"/>
  <c r="E9" i="8"/>
  <c r="E8" i="8"/>
  <c r="E7" i="8"/>
  <c r="E6" i="8"/>
  <c r="E5" i="8"/>
  <c r="E4" i="8"/>
  <c r="E3" i="8"/>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F94" i="5"/>
  <c r="F93" i="5"/>
  <c r="F92" i="5"/>
  <c r="F91" i="5"/>
  <c r="F90" i="5"/>
  <c r="F89" i="5"/>
  <c r="F88" i="5"/>
  <c r="F87" i="5"/>
  <c r="F86" i="5"/>
  <c r="F85" i="5"/>
  <c r="F84" i="5"/>
  <c r="F83" i="5"/>
  <c r="F82" i="5"/>
  <c r="F81" i="5"/>
  <c r="F80" i="5"/>
  <c r="F79" i="5"/>
  <c r="F78" i="5"/>
  <c r="F77" i="5"/>
  <c r="F76" i="5"/>
  <c r="F75" i="5"/>
  <c r="F74" i="5"/>
  <c r="F73" i="5"/>
  <c r="F72" i="5"/>
  <c r="F71" i="5"/>
  <c r="F70" i="5"/>
  <c r="F69" i="5"/>
  <c r="F68" i="5"/>
  <c r="F67" i="5"/>
  <c r="F66" i="5"/>
  <c r="F65" i="5"/>
  <c r="F64" i="5"/>
  <c r="F63" i="5"/>
  <c r="F62" i="5"/>
  <c r="F61" i="5"/>
  <c r="F60" i="5"/>
  <c r="F59" i="5"/>
  <c r="F58" i="5"/>
  <c r="F57" i="5"/>
  <c r="F56" i="5"/>
  <c r="F55" i="5"/>
  <c r="F54" i="5"/>
  <c r="F53" i="5"/>
  <c r="F52" i="5"/>
  <c r="F51" i="5"/>
  <c r="F50" i="5"/>
  <c r="F49" i="5"/>
  <c r="F48" i="5"/>
  <c r="F47" i="5"/>
  <c r="F46" i="5"/>
  <c r="F45" i="5"/>
  <c r="F44" i="5"/>
  <c r="F43" i="5"/>
  <c r="F42" i="5"/>
  <c r="F41" i="5"/>
  <c r="F40" i="5"/>
  <c r="F39" i="5"/>
  <c r="F38" i="5"/>
  <c r="F37" i="5"/>
  <c r="F36" i="5"/>
  <c r="F35" i="5"/>
  <c r="F34" i="5"/>
  <c r="F33" i="5"/>
  <c r="F32" i="5"/>
  <c r="F31" i="5"/>
  <c r="F30" i="5"/>
  <c r="F29" i="5"/>
  <c r="F28" i="5"/>
  <c r="F27" i="5"/>
  <c r="F26" i="5"/>
  <c r="F25" i="5"/>
  <c r="F24" i="5"/>
  <c r="F23" i="5"/>
  <c r="F22" i="5"/>
  <c r="F21" i="5"/>
  <c r="F20" i="5"/>
  <c r="F19" i="5"/>
  <c r="F18" i="5"/>
  <c r="F17" i="5"/>
  <c r="F16" i="5"/>
  <c r="F15" i="5"/>
  <c r="F14" i="5"/>
  <c r="F13" i="5"/>
  <c r="F12" i="5"/>
  <c r="F11" i="5"/>
  <c r="F10" i="5"/>
  <c r="F9" i="5"/>
  <c r="F8" i="5"/>
  <c r="F7" i="5"/>
  <c r="F6" i="5"/>
  <c r="F5" i="5"/>
  <c r="F4" i="5"/>
  <c r="F3" i="5"/>
  <c r="C27" i="2"/>
  <c r="C28" i="2" s="1"/>
  <c r="C29" i="2" s="1"/>
  <c r="C30" i="2" s="1"/>
  <c r="C31" i="2" s="1"/>
  <c r="C32" i="2" s="1"/>
  <c r="C33" i="2" s="1"/>
  <c r="C34" i="2" s="1"/>
  <c r="C26" i="2"/>
</calcChain>
</file>

<file path=xl/sharedStrings.xml><?xml version="1.0" encoding="utf-8"?>
<sst xmlns="http://schemas.openxmlformats.org/spreadsheetml/2006/main" count="4527" uniqueCount="489">
  <si>
    <t>IZIPAY</t>
  </si>
  <si>
    <t>Descripción</t>
  </si>
  <si>
    <t>Nomenclatura de base de datos</t>
  </si>
  <si>
    <t>#</t>
  </si>
  <si>
    <t>Prefijo</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</si>
  <si>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</si>
  <si>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</si>
  <si>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</si>
  <si>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</si>
  <si>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</si>
  <si>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</si>
  <si>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</si>
  <si>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</si>
  <si>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</si>
  <si>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</si>
  <si>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</si>
  <si>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</si>
  <si>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</si>
  <si>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</si>
  <si>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</si>
  <si>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</si>
  <si>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</si>
  <si>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</si>
  <si>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</si>
  <si>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</si>
  <si>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</si>
  <si>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rPr>
        <sz val="11"/>
        <color theme="1"/>
        <rFont val="Calibri"/>
      </rPr>
      <t>Estructura que contiene los identificadores del modelo de datos que serán compartidos a nivel de "Grupo Intercorp".</t>
    </r>
    <r>
      <rPr>
        <b/>
        <sz val="11"/>
        <color theme="1"/>
        <rFont val="Calibri"/>
      </rPr>
      <t xml:space="preserve"> </t>
    </r>
    <r>
      <rPr>
        <sz val="11"/>
        <color theme="1"/>
        <rFont val="Calibri"/>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</si>
  <si>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</si>
  <si>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</si>
  <si>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</si>
  <si>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</si>
  <si>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</si>
  <si>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</si>
  <si>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</si>
  <si>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</si>
  <si>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</si>
  <si>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 xml:space="preserve">Estas tablas almacenan los inputs y outputs necesarios para el trabajo de los modelos analíticos de nuestra organización. Por ejemplo, prospección de cliente, loyalty, churn, entre otros. </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</si>
  <si>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</si>
  <si>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</si>
  <si>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</si>
  <si>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</si>
  <si>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</si>
  <si>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</si>
  <si>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</si>
  <si>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</si>
  <si>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</si>
  <si>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</si>
  <si>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</si>
  <si>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</si>
  <si>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</si>
  <si>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</si>
  <si>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</si>
  <si>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</si>
  <si>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</si>
  <si>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</si>
  <si>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</si>
  <si>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</si>
  <si>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</si>
  <si>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</si>
  <si>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</si>
  <si>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</si>
  <si>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</si>
  <si>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</si>
  <si>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</si>
  <si>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</si>
  <si>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</si>
  <si>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rPr>
        <sz val="11"/>
        <color theme="1"/>
        <rFont val="Calibri"/>
      </rPr>
      <t xml:space="preserve">Debe crearse el campo </t>
    </r>
    <r>
      <rPr>
        <b/>
        <sz val="11"/>
        <color rgb="FF000000"/>
        <rFont val="Calibri"/>
      </rPr>
      <t>process_date</t>
    </r>
    <r>
      <rPr>
        <sz val="11"/>
        <color theme="1"/>
        <rFont val="Calibri"/>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</si>
  <si>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</si>
  <si>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</si>
  <si>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</si>
  <si>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</si>
  <si>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</si>
  <si>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rPr>
        <sz val="11"/>
        <color theme="1"/>
        <rFont val="Calibri"/>
      </rPr>
      <t xml:space="preserve">Todas las tablas finales del modelo de datos deben tener los siguientes campos de calidad.
</t>
    </r>
    <r>
      <rPr>
        <b/>
        <sz val="11"/>
        <color theme="1"/>
        <rFont val="Calibri"/>
      </rPr>
      <t xml:space="preserve">-dq_flag_ind: </t>
    </r>
    <r>
      <rPr>
        <sz val="11"/>
        <color theme="1"/>
        <rFont val="Calibri"/>
      </rPr>
      <t xml:space="preserve">Indica si el registro cumplió las validaciones de calidad de datos de manera satisfactoria. (True = SI, False = NO).
</t>
    </r>
    <r>
      <rPr>
        <b/>
        <sz val="11"/>
        <color theme="1"/>
        <rFont val="Calibri"/>
      </rPr>
      <t>-dq_control_msg:</t>
    </r>
    <r>
      <rPr>
        <sz val="11"/>
        <color theme="1"/>
        <rFont val="Calibri"/>
      </rPr>
      <t xml:space="preserve"> Mensaje con el detalle de los registros que no cumplieron los controles o reglas de calidad de datos. Se específican las columnas y/o reglas que no cumplieron con estas validaciones
</t>
    </r>
    <r>
      <rPr>
        <b/>
        <sz val="11"/>
        <color theme="1"/>
        <rFont val="Calibri"/>
      </rPr>
      <t xml:space="preserve">-dq_config_id: </t>
    </r>
    <r>
      <rPr>
        <sz val="11"/>
        <color theme="1"/>
        <rFont val="Calibri"/>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</si>
  <si>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</si>
  <si>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</si>
  <si>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rPr>
        <sz val="11"/>
        <color theme="1"/>
        <rFont val="Calibri"/>
      </rPr>
      <t xml:space="preserve">Todas las tablas finales del modelo de datos deben tener los siguientes campos de versionamiento.
</t>
    </r>
    <r>
      <rPr>
        <b/>
        <sz val="11"/>
        <color theme="1"/>
        <rFont val="Calibri"/>
      </rPr>
      <t xml:space="preserve">-start_date: </t>
    </r>
    <r>
      <rPr>
        <sz val="11"/>
        <color theme="1"/>
        <rFont val="Calibri"/>
      </rPr>
      <t xml:space="preserve">Fecha de inicio de vigencia del registro en el modelo
</t>
    </r>
    <r>
      <rPr>
        <b/>
        <sz val="11"/>
        <color theme="1"/>
        <rFont val="Calibri"/>
      </rPr>
      <t xml:space="preserve">-end_date: </t>
    </r>
    <r>
      <rPr>
        <sz val="11"/>
        <color theme="1"/>
        <rFont val="Calibri"/>
      </rPr>
      <t xml:space="preserve">Fecha de fin de vigencia del registro en el modelo. Cuando es registro vigencia por defecto se debe asignar 2099-12-31
</t>
    </r>
    <r>
      <rPr>
        <b/>
        <sz val="11"/>
        <color theme="1"/>
        <rFont val="Calibri"/>
      </rPr>
      <t xml:space="preserve">-flag_active: </t>
    </r>
    <r>
      <rPr>
        <sz val="11"/>
        <color theme="1"/>
        <rFont val="Calibri"/>
      </rPr>
      <t xml:space="preserve">Indica si el registro es vigente o no. (True =ACTIVO, False = INACTIVO)
</t>
    </r>
    <r>
      <rPr>
        <b/>
        <sz val="11"/>
        <color theme="1"/>
        <rFont val="Calibri"/>
      </rPr>
      <t xml:space="preserve">-hk_dif: </t>
    </r>
    <r>
      <rPr>
        <sz val="11"/>
        <color theme="1"/>
        <rFont val="Calibri"/>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</si>
  <si>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</si>
  <si>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</si>
  <si>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</si>
  <si>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</si>
  <si>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</si>
  <si>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</si>
  <si>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</si>
  <si>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</si>
  <si>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</si>
  <si>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</si>
  <si>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Ejemplo lógica de versionamiento</t>
  </si>
  <si>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</si>
  <si>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</si>
  <si>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</si>
  <si>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</si>
  <si>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</si>
  <si>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</si>
  <si>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</si>
  <si>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</si>
  <si>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</si>
  <si>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</si>
  <si>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</si>
  <si>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</si>
  <si>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</si>
  <si>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</si>
  <si>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</si>
  <si>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</si>
  <si>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</si>
  <si>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</si>
  <si>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</si>
  <si>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</si>
  <si>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</si>
  <si>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</si>
  <si>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</si>
  <si>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</si>
  <si>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 xml:space="preserve">Subdominio del modelo de datos al cual la tabla </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</si>
  <si>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</si>
  <si>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</si>
  <si>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</si>
  <si>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</si>
  <si>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</si>
  <si>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</si>
  <si>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</si>
  <si>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</si>
  <si>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</si>
  <si>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</si>
  <si>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</si>
  <si>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</si>
  <si>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</si>
  <si>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</si>
  <si>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Productos</t>
  </si>
  <si>
    <t>Terminales</t>
  </si>
  <si>
    <t>prd-izipay-data-storage-pv</t>
  </si>
  <si>
    <t>master_product</t>
  </si>
  <si>
    <t>m_terminal</t>
  </si>
  <si>
    <t>Maestro de terminales. Contiene todos los equipos asociados a cada comercio afiliado con su configuración, corresponde a la última foto con data del cierre del día anterior</t>
  </si>
  <si>
    <t>Última foto</t>
  </si>
  <si>
    <t>Diario</t>
  </si>
  <si>
    <t>mc2103@izipay.pe</t>
  </si>
  <si>
    <t>N</t>
  </si>
  <si>
    <t>prod</t>
  </si>
  <si>
    <t>Operaciones y Riesgos</t>
  </si>
  <si>
    <t>m_terminal_m</t>
  </si>
  <si>
    <t>Maestro de terminales. Contiene todos los equipos asociados a cada comercio afiliado con su configuración, corresponde a la última foto de cada mes</t>
  </si>
  <si>
    <t>Incremental, última foto</t>
  </si>
  <si>
    <t>Mensual</t>
  </si>
  <si>
    <t>m_terminal_h</t>
  </si>
  <si>
    <t>Maestro de terminales. Contiene todos los equipos asociados a cada comercio afiliado con su configuración, corresponde a fotos diarias</t>
  </si>
  <si>
    <t>Incremental</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</si>
  <si>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</si>
  <si>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</si>
  <si>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</si>
  <si>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</si>
  <si>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</si>
  <si>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Configuración de Datos Sensibles</t>
  </si>
  <si>
    <r>
      <rPr>
        <sz val="11"/>
        <color theme="1"/>
        <rFont val="Calibri"/>
      </rPr>
      <t xml:space="preserve">El catálogo </t>
    </r>
    <r>
      <rPr>
        <b/>
        <sz val="11"/>
        <color theme="1"/>
        <rFont val="Calibri"/>
      </rPr>
      <t>config_protected_data</t>
    </r>
    <r>
      <rPr>
        <sz val="11"/>
        <color theme="1"/>
        <rFont val="Calibri"/>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</si>
  <si>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</si>
  <si>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</si>
  <si>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</si>
  <si>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</si>
  <si>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Column</t>
  </si>
  <si>
    <t>Key</t>
  </si>
  <si>
    <t>Original</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</si>
  <si>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</si>
  <si>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</si>
  <si>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</si>
  <si>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</si>
  <si>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</si>
  <si>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</si>
  <si>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</si>
  <si>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</si>
  <si>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</si>
  <si>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</si>
  <si>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</si>
  <si>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</si>
  <si>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</si>
  <si>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</si>
  <si>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</si>
  <si>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</si>
  <si>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</si>
  <si>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</si>
  <si>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</si>
  <si>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</si>
  <si>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la foto del día anterior (D-1)</t>
  </si>
  <si>
    <t>DATE</t>
  </si>
  <si>
    <t>YYYY-MM-DD</t>
  </si>
  <si>
    <t>Y</t>
  </si>
  <si>
    <t>cod_comercio</t>
  </si>
  <si>
    <t>COMERCIO</t>
  </si>
  <si>
    <t>Código del comercio</t>
  </si>
  <si>
    <t>STRING</t>
  </si>
  <si>
    <t>adq_cajero_corr</t>
  </si>
  <si>
    <t>ADQ/C.COR</t>
  </si>
  <si>
    <t>Tipo de adquirente/cajero corresponsal</t>
  </si>
  <si>
    <t>ADQ-IZIPAY</t>
  </si>
  <si>
    <t>NOMBRE</t>
  </si>
  <si>
    <t>Nombre del comercio</t>
  </si>
  <si>
    <t>IZI*JOYERIA CRISPIN</t>
  </si>
  <si>
    <t>RUBRO</t>
  </si>
  <si>
    <t>Código del giro del comercio</t>
  </si>
  <si>
    <t>Código de la situación del comercio</t>
  </si>
  <si>
    <t>SITUACION</t>
  </si>
  <si>
    <t>Descripción del estado o situación del comercio</t>
  </si>
  <si>
    <t>CÓDIGO BLOQUEADO PERMANENTEMENTE</t>
  </si>
  <si>
    <t>categoria_comercio</t>
  </si>
  <si>
    <t>CATEGORIA</t>
  </si>
  <si>
    <t>Categoría del comercio según clasificación</t>
  </si>
  <si>
    <t>3. NEGOCIOS</t>
  </si>
  <si>
    <t>RAZON_SOCIAL</t>
  </si>
  <si>
    <t>Razón social (Origen: MCCenter)</t>
  </si>
  <si>
    <t>CRISPIN LOVATON DANTE BECKER</t>
  </si>
  <si>
    <t>party_id_izi</t>
  </si>
  <si>
    <t>RUC</t>
  </si>
  <si>
    <t>Número de identificación del comercio (RUC, DNI, Carnet de extranjería)</t>
  </si>
  <si>
    <t>DIRECCION</t>
  </si>
  <si>
    <t>Dirección del comercio</t>
  </si>
  <si>
    <t>JR HUALLAGA 154</t>
  </si>
  <si>
    <t>DEPARTAMENTO</t>
  </si>
  <si>
    <t>Departamento del comercio</t>
  </si>
  <si>
    <t>LIMA</t>
  </si>
  <si>
    <t>PROVINCIA</t>
  </si>
  <si>
    <t>Provincia del comercio</t>
  </si>
  <si>
    <t>DISTRITO</t>
  </si>
  <si>
    <t>Distrito del comercio</t>
  </si>
  <si>
    <t>MULTICOMERCIO</t>
  </si>
  <si>
    <t>Flag que indica si el POS está asignado a más de 1 código de comercio</t>
  </si>
  <si>
    <t>BOOLEAN</t>
  </si>
  <si>
    <t>true, false</t>
  </si>
  <si>
    <t>telefono_comercio</t>
  </si>
  <si>
    <t>TELEFONO_COMERCIO</t>
  </si>
  <si>
    <t>Teléfono del comercio</t>
  </si>
  <si>
    <t>BYTES</t>
  </si>
  <si>
    <t>contacto_comercio</t>
  </si>
  <si>
    <t>CONTACTO</t>
  </si>
  <si>
    <t>Indica el nombre del contacto del comercio</t>
  </si>
  <si>
    <t>perfil_comercio</t>
  </si>
  <si>
    <t>PERFIL_COMERCIO</t>
  </si>
  <si>
    <t>Indica las opciones que tiene habilitado el comercio</t>
  </si>
  <si>
    <t>SUPERMER_PERUAN, IZIPAY_TIP, POS_UNICO_QR, IZIPAY, POS_UNICO, IZIPAY, ETC</t>
  </si>
  <si>
    <t>perfil_descarga</t>
  </si>
  <si>
    <t>PERFIL_DESCARGA</t>
  </si>
  <si>
    <t>Indica la actualización del POS del comercio</t>
  </si>
  <si>
    <t>ADQUIRIENTE_DINERSUNIONPAY, IZIPAY_TEMP_F25, ADQUI_DCCCTLS_MULTINCLPOHRIPL, IZIPAY, TELE_ADQPR80_MASIVO, ETC</t>
  </si>
  <si>
    <t>cod_terminal</t>
  </si>
  <si>
    <t>TERMINAL</t>
  </si>
  <si>
    <t>Código de terminal</t>
  </si>
  <si>
    <t>num_serie_sistema</t>
  </si>
  <si>
    <t>SERIE</t>
  </si>
  <si>
    <t>Número de serie del POS (inicial, solo los 8 últimos dígitos). Es la que figura en el sistema MCCenter, puede ser la serie corta, últimos 8 ó la serie autogenerada del mpos</t>
  </si>
  <si>
    <t>CD805726</t>
  </si>
  <si>
    <t>tipo_conexion_mcc</t>
  </si>
  <si>
    <t>MEDIO_MCC</t>
  </si>
  <si>
    <t>Tipo de conexión del POS específico</t>
  </si>
  <si>
    <t>GPRS</t>
  </si>
  <si>
    <t>tipo_conexion</t>
  </si>
  <si>
    <t>MEDIO</t>
  </si>
  <si>
    <t>Tipo de conexión del POS</t>
  </si>
  <si>
    <t>GPRS MOVIL</t>
  </si>
  <si>
    <t>descripcion_terminal</t>
  </si>
  <si>
    <t>DESCRIPCION_TERMINAL</t>
  </si>
  <si>
    <t>Nombre del tipo de terminal/equipo del comercio</t>
  </si>
  <si>
    <t>IZI ANDROID MAX IZIPLUS</t>
  </si>
  <si>
    <t>fecha_ult_conex_mccenter</t>
  </si>
  <si>
    <t>FECHA_ULTIMO_ECO</t>
  </si>
  <si>
    <t>Fecha de última conexión con Mccenter</t>
  </si>
  <si>
    <t>fecha_ult_trx_financiera</t>
  </si>
  <si>
    <t>FECHA_ULTIMA_TRANSACCION_FINANCIERA</t>
  </si>
  <si>
    <t>Fecha de última transacción financiera</t>
  </si>
  <si>
    <t>fecha_ult_trx_administrativa</t>
  </si>
  <si>
    <t>FECHA_ULTIMA_TRANSACCION_ADMINISTRATIVA</t>
  </si>
  <si>
    <t>Fecha de última transacción administrativa</t>
  </si>
  <si>
    <t>situacion_terminal</t>
  </si>
  <si>
    <t>SITUACION_TERMINAL</t>
  </si>
  <si>
    <t>Situación de terminal según la última transacción de POS</t>
  </si>
  <si>
    <t>1 - CON MOVIMIENTO EN LOS ULTIMOS 3 MESES. ETC</t>
  </si>
  <si>
    <t>modelo_terminal_general</t>
  </si>
  <si>
    <t>MODELO</t>
  </si>
  <si>
    <t>Modelo del equipo (general)</t>
  </si>
  <si>
    <t>VX680</t>
  </si>
  <si>
    <t>modelo_terminal_mcc</t>
  </si>
  <si>
    <t>MODELO_MCC</t>
  </si>
  <si>
    <t>Modelo del equipo (código del modelo)</t>
  </si>
  <si>
    <t>VX680_PCI</t>
  </si>
  <si>
    <t>version_software</t>
  </si>
  <si>
    <t>VERSION_SWB</t>
  </si>
  <si>
    <t>Versión del Software base (origen: Mccenter)</t>
  </si>
  <si>
    <t>A8.20010</t>
  </si>
  <si>
    <t>version_firmware_contactless</t>
  </si>
  <si>
    <t>OS_VERSION</t>
  </si>
  <si>
    <t>Indica la versión de Firmware contactless que posee el terminal</t>
  </si>
  <si>
    <t>4.01.00003</t>
  </si>
  <si>
    <t>nro_chip</t>
  </si>
  <si>
    <t>CHIP</t>
  </si>
  <si>
    <t>Número del chip que se encuentra en el equipo.</t>
  </si>
  <si>
    <t>89511500025635524863</t>
  </si>
  <si>
    <t>nro_telefono_chip</t>
  </si>
  <si>
    <t>TELEFONO_CHIP</t>
  </si>
  <si>
    <t>Número de teléfono del chip del equipo</t>
  </si>
  <si>
    <t>operador_chip</t>
  </si>
  <si>
    <t>OPERADOR</t>
  </si>
  <si>
    <t>Operador del chip del equipo (si aplica). Nombre comercial de la compañía telefónica a la cuál pertenece el chip del equipo</t>
  </si>
  <si>
    <t>CLARO, BITEL, ENTEL, ETC.</t>
  </si>
  <si>
    <t>estado_comercio</t>
  </si>
  <si>
    <t>ESTADO_COMERCIO</t>
  </si>
  <si>
    <t>Estado del comercio</t>
  </si>
  <si>
    <t>HABILITADO</t>
  </si>
  <si>
    <t>estado_logico_comercio</t>
  </si>
  <si>
    <t>ESTADO_LOGICO_COMERCIO</t>
  </si>
  <si>
    <t>Estado lógico del comercio</t>
  </si>
  <si>
    <t>ACTIVO</t>
  </si>
  <si>
    <t>estado_terminal</t>
  </si>
  <si>
    <t>ESTADO_TERMINAL</t>
  </si>
  <si>
    <t>Estado del terminal</t>
  </si>
  <si>
    <t>estado_logico_terminal</t>
  </si>
  <si>
    <t>ESTADO_LOGICO_TERMINAL</t>
  </si>
  <si>
    <t>Estado lógico del terminal</t>
  </si>
  <si>
    <t>tipo_aplicacion</t>
  </si>
  <si>
    <t>APLICACION</t>
  </si>
  <si>
    <t>Tipo de aplicación de los terminales</t>
  </si>
  <si>
    <t>POS</t>
  </si>
  <si>
    <t>desc_aplicacion</t>
  </si>
  <si>
    <t>APL_DESC</t>
  </si>
  <si>
    <t>Descripción de la aplicación de los terminales</t>
  </si>
  <si>
    <t>ADQUIRIENTE</t>
  </si>
  <si>
    <t>flag_facturacion</t>
  </si>
  <si>
    <t>FACTURACION</t>
  </si>
  <si>
    <t>Flag que indica si el comercio admite facturación. true = sí, false, no</t>
  </si>
  <si>
    <t>num_serie_mpos</t>
  </si>
  <si>
    <t>dTrE105SN</t>
  </si>
  <si>
    <t>Número de serie del terminal POS. Autogenerado de los MPOS</t>
  </si>
  <si>
    <t>cod_version_flujo</t>
  </si>
  <si>
    <t>VERSION_FLUJO</t>
  </si>
  <si>
    <t>ID correspondiente a la versión de flujo (Permite identificar si está actualizado)</t>
  </si>
  <si>
    <t>cod_version_main</t>
  </si>
  <si>
    <t>VERSION_MAIN</t>
  </si>
  <si>
    <t>ID correspondiente a la versión de carga base (Permite identificar si está actualizado)</t>
  </si>
  <si>
    <t>num_serie_real</t>
  </si>
  <si>
    <t>SERIE_COMPLETA</t>
  </si>
  <si>
    <t>Número de serie completa del POS, la que se aprecia visualmente en el terminal y al cuál se le puede aplicar las actualizaciones respectivas.</t>
  </si>
  <si>
    <t>214QCD805726</t>
  </si>
  <si>
    <t>marca</t>
  </si>
  <si>
    <t>MARCA</t>
  </si>
  <si>
    <t>Marca del equipo</t>
  </si>
  <si>
    <t>INGENICO</t>
  </si>
  <si>
    <t>FLG_PCI</t>
  </si>
  <si>
    <t>Indica si aplica PCI</t>
  </si>
  <si>
    <t>NO PCI, PCI, NO APLICA, PRE PCI</t>
  </si>
  <si>
    <t>flag_software_contactless</t>
  </si>
  <si>
    <t>SW_CTLS</t>
  </si>
  <si>
    <t>Flag que indica si el POS tiene Software contactless</t>
  </si>
  <si>
    <t>flag_hardware_contactless</t>
  </si>
  <si>
    <t>HW_CTLS</t>
  </si>
  <si>
    <t>Flag que Indica si el POS tiene Hardware contactless</t>
  </si>
  <si>
    <t>flag_pre_autorizacion_comercio</t>
  </si>
  <si>
    <t>PRE_AUTORIZACION_NIVEL_COMERCIO</t>
  </si>
  <si>
    <t>Flag que indica si aplica la pre autorización a nivel del comercio</t>
  </si>
  <si>
    <t>flag_pre_autorizacion_terminal</t>
  </si>
  <si>
    <t>PRE_AUTORIZACION_NIVEL_TERMINAL</t>
  </si>
  <si>
    <t>Flag que indica si aplica la pre autorización a nivel del terminal</t>
  </si>
  <si>
    <t>flag_dig_manual_comercio</t>
  </si>
  <si>
    <t>DIGITACION_MANUAL_NIVEL_COMERCIO</t>
  </si>
  <si>
    <t>Flag que indica si aplica la digitación manual a nivel del comercio</t>
  </si>
  <si>
    <t>flag_dig_manual_terminal</t>
  </si>
  <si>
    <t>DIGITACION_MANUAL_NIVEL_TERMINAL</t>
  </si>
  <si>
    <t>Flag que indica si aplica la digitación manual a nivel del terminal</t>
  </si>
  <si>
    <t>ind_propina</t>
  </si>
  <si>
    <t>PROPINA</t>
  </si>
  <si>
    <t>Indica el tipo de opción de recibimiento de propina</t>
  </si>
  <si>
    <t>NINGUNO, ONLINE, AMBAS, OFFLINE</t>
  </si>
  <si>
    <t>fecha_actualizacion_app</t>
  </si>
  <si>
    <t>FECHA_ACTUALIZACION_APP</t>
  </si>
  <si>
    <t>Fecha de actualización de la aplicación</t>
  </si>
  <si>
    <t>hora_actualizacion_app</t>
  </si>
  <si>
    <t>HORA_ACTUALIZACION_APP</t>
  </si>
  <si>
    <t>Hora de actualización de la aplicación en formato 24h</t>
  </si>
  <si>
    <t>fecha_hora_actualizacion_app</t>
  </si>
  <si>
    <t>Fecha y hora de actualización de la aplicación</t>
  </si>
  <si>
    <t>TIMESTAMP</t>
  </si>
  <si>
    <t>cant_intento</t>
  </si>
  <si>
    <t>NUM_INTENTOS</t>
  </si>
  <si>
    <t>Cantidad de intentos que realizó el terminal para actualizarse</t>
  </si>
  <si>
    <t>INT64</t>
  </si>
  <si>
    <t>fecha_ult_actualizacion</t>
  </si>
  <si>
    <t>FECHA_ULTIMA_ACTUALIZACION</t>
  </si>
  <si>
    <t>Fecha de última actualización de App</t>
  </si>
  <si>
    <t>hora_ult_actualizacion</t>
  </si>
  <si>
    <t>HORA_ULTIMA_ACTUALIZACION</t>
  </si>
  <si>
    <t>Hora de última actualización de la aplicación</t>
  </si>
  <si>
    <t>fecha_hora_ult_actualizacion</t>
  </si>
  <si>
    <t>Fecha y hora de última actualización de la aplicación</t>
  </si>
  <si>
    <t>flag_version_actualizada</t>
  </si>
  <si>
    <t>VERSION_ACTUALIZADO</t>
  </si>
  <si>
    <t>Flag que indica si la versión se ha actualizado</t>
  </si>
  <si>
    <t>cTAFilesVersion</t>
  </si>
  <si>
    <t>ID correspondiente a la versión del flujo</t>
  </si>
  <si>
    <t>cod_version_app</t>
  </si>
  <si>
    <t>cVrVersionId</t>
  </si>
  <si>
    <t>ID correspondiente a la versión de la aplicación</t>
  </si>
  <si>
    <t>version_app</t>
  </si>
  <si>
    <t>cTAVersionApl</t>
  </si>
  <si>
    <t>Versión de la aplicación</t>
  </si>
  <si>
    <t>V2.0.11</t>
  </si>
  <si>
    <t>version_flujo</t>
  </si>
  <si>
    <t>dVrFile</t>
  </si>
  <si>
    <t>Versión del flujo</t>
  </si>
  <si>
    <t>V2.4.32.0</t>
  </si>
  <si>
    <t>cod_marguesi</t>
  </si>
  <si>
    <t>Marguesi</t>
  </si>
  <si>
    <t>Código del activo fijo. Marquesi del equipo</t>
  </si>
  <si>
    <t>00000000000001465525</t>
  </si>
  <si>
    <t>fecha_compra</t>
  </si>
  <si>
    <t>FEC_COMPRA</t>
  </si>
  <si>
    <t>Fecha de compra</t>
  </si>
  <si>
    <t>situacion_as400</t>
  </si>
  <si>
    <t>SITUACION_AS400</t>
  </si>
  <si>
    <t>Estado según cruce de la información del terminal con la del AS400. (BAJA, ALQUILER, VENTA, ACTIVO)</t>
  </si>
  <si>
    <t>BAJA, ALQUILER, VENTA, ACTIVO</t>
  </si>
  <si>
    <t>flag_pos_emv_diners</t>
  </si>
  <si>
    <t>EMV_DINERS</t>
  </si>
  <si>
    <t>Flag que indica si el comercio tiene POS EMV DINERS</t>
  </si>
  <si>
    <t>cant_terminal</t>
  </si>
  <si>
    <t>CANT_TERM</t>
  </si>
  <si>
    <t>Cantidad de terminales del comercio</t>
  </si>
  <si>
    <t>cant_terminal_actual</t>
  </si>
  <si>
    <t>CANT_TERM_ACT</t>
  </si>
  <si>
    <t>Cantidad de terminales actuales</t>
  </si>
  <si>
    <t>flag_pinpad</t>
  </si>
  <si>
    <t>FLG_PINPAD</t>
  </si>
  <si>
    <t>Flag que indica si el terminal tiene pinpad o no</t>
  </si>
  <si>
    <t>true,false</t>
  </si>
  <si>
    <t>flag_multicomercio</t>
  </si>
  <si>
    <t>FLG_MULTICOMERCIO</t>
  </si>
  <si>
    <t>Flag que indica si el terminal es multicomercio</t>
  </si>
  <si>
    <t>GIRO</t>
  </si>
  <si>
    <t>Giro del negocio</t>
  </si>
  <si>
    <t>JOYERIA, RELOJERIA</t>
  </si>
  <si>
    <t>flag_ult_comercio_trx</t>
  </si>
  <si>
    <t>SERIE_UNICA</t>
  </si>
  <si>
    <t>Flag que identificada al último comercio que ha transaccionado</t>
  </si>
  <si>
    <t>GRUPO_ECONOMICO</t>
  </si>
  <si>
    <t>Grupo económico al que pertenece el comercio (si aplica).</t>
  </si>
  <si>
    <t>fecha_apertura</t>
  </si>
  <si>
    <t>FECAPE</t>
  </si>
  <si>
    <t>Fecha de apertura</t>
  </si>
  <si>
    <t>cosecha</t>
  </si>
  <si>
    <t>COSECHA</t>
  </si>
  <si>
    <t>Campo calculado que permite identificar la antigüedad de un comercio afiliado de acuerdo a su fecha de apertura y la fecha actual</t>
  </si>
  <si>
    <t>COSECHA 1 ANIO A MAS, COSECHA DE 6 A 12 MESES, COSECHA DE 3 A 6 MESES, ETC</t>
  </si>
  <si>
    <t>oficina_comercio</t>
  </si>
  <si>
    <t>OFICINA</t>
  </si>
  <si>
    <t>Ubicación de oficina asociada al comercio</t>
  </si>
  <si>
    <t>OF. TRUJILLO, OF. IQUITOS, OF. CHICLAYO, OF.HUANCAYO, LIMA, OF. , IURA, OF. ICA, OF. HUANCAYO, OF. CUSCO, OF. AREQUIPA</t>
  </si>
  <si>
    <t>modelo_terminal_especifico</t>
  </si>
  <si>
    <t>MODELO_TERMINAL</t>
  </si>
  <si>
    <t>Modelo del equipo (específico)</t>
  </si>
  <si>
    <t>VERIFONE - VX820, DSPREAD - QPOS MINI, SUNMI - P2SE, ETC</t>
  </si>
  <si>
    <t>VERSION_BASE</t>
  </si>
  <si>
    <t>Versión del Software base con la versión</t>
  </si>
  <si>
    <t>fecha_instalacion</t>
  </si>
  <si>
    <t>FEC_INST</t>
  </si>
  <si>
    <t>Fecha de instalación</t>
  </si>
  <si>
    <t>COD_MADRE</t>
  </si>
  <si>
    <t>COD_DOL</t>
  </si>
  <si>
    <t>FEC_PROC</t>
  </si>
  <si>
    <t>ROW_NUM</t>
  </si>
  <si>
    <t>SEGMENTO</t>
  </si>
  <si>
    <t>03. RETAIL</t>
  </si>
  <si>
    <t>record_source</t>
  </si>
  <si>
    <t>Dato de Auditoría: Descripción del aplicativo origen de los datos.</t>
  </si>
  <si>
    <t>load_date</t>
  </si>
  <si>
    <t>Fecha y hora de inserción del registro en el modelo</t>
  </si>
  <si>
    <t>YYYY-MM-DD HH:MM:SS</t>
  </si>
  <si>
    <t>creation_user</t>
  </si>
  <si>
    <t>Usuario que crea el registro en la BD</t>
  </si>
  <si>
    <t>Fecha de procesamiento de la tabla (día actual) que contiene data al cierre del día anterior</t>
  </si>
  <si>
    <t>Código del comercio adaptado a los 7 primeros dígitos</t>
  </si>
  <si>
    <t>cod_comercio_mccenter</t>
  </si>
  <si>
    <t>Código del comercio original proveniente del mccenter</t>
  </si>
  <si>
    <t>Modelo del equipo (general) proveniente del AS400</t>
  </si>
  <si>
    <t>Modelo del equipo (código del modelo) proveniente del MCCENTER</t>
  </si>
  <si>
    <t>DATETIME</t>
  </si>
  <si>
    <t>COSECHA 1 AÑO A MÁS, COSECHA DE 6 A 12 MESES, COSECHA DE 3 A 6 MESES, ETC</t>
  </si>
  <si>
    <t>Modelo del equipo (específico), se detalla el modelo específico del terminal según una lista estática de modelos antiguos, caso contrario es el modelo proveniente del MCCENTER</t>
  </si>
  <si>
    <t>flag_terminal_activo</t>
  </si>
  <si>
    <t>Flag que indica si el terminal ha transaccionado en los últimos 3 meses</t>
  </si>
  <si>
    <t>Flag que indica si el terminal es multicomercio. Ocurre cuando el POS está asignado a más de 1 código de comercio</t>
  </si>
  <si>
    <t>Azure</t>
  </si>
  <si>
    <t>GCP</t>
  </si>
  <si>
    <t>Column Azure</t>
  </si>
  <si>
    <t>Column GCP</t>
  </si>
  <si>
    <t>DWH</t>
  </si>
  <si>
    <t>BI_MaestroTerminales_RedPOS</t>
  </si>
  <si>
    <t>process_date-1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</si>
</sst>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mm:ss"/>
  </numFmts>
  <fonts count="21">
    <font>
      <sz val="11"/>
      <color theme="1"/>
      <name val="Calibri"/>
      <scheme val="minor"/>
    </font>
    <font>
      <sz val="11"/>
      <color theme="1"/>
      <name val="Calibri"/>
    </font>
    <font>
      <sz val="11"/>
      <name val="Calibri"/>
    </font>
    <font>
      <sz val="11"/>
      <color rgb="FFFFFFFF"/>
      <name val="Calibri"/>
    </font>
    <font>
      <b/>
      <sz val="24"/>
      <color theme="1"/>
      <name val="Calibri"/>
    </font>
    <font>
      <sz val="11"/>
      <color theme="0"/>
      <name val="Calibri"/>
    </font>
    <font>
      <sz val="11"/>
      <color theme="1"/>
      <name val="Calibri"/>
      <scheme val="minor"/>
    </font>
    <font>
      <b/>
      <sz val="22"/>
      <color theme="1"/>
      <name val="Calibri"/>
    </font>
    <font>
      <b/>
      <sz val="11"/>
      <color rgb="FFFFFFFF"/>
      <name val="Calibri"/>
    </font>
    <font>
      <sz val="11"/>
      <color theme="1"/>
      <name val="Exo"/>
    </font>
    <font>
      <sz val="11"/>
      <color rgb="FF000000"/>
      <name val="Calibri"/>
    </font>
    <font>
      <b/>
      <sz val="11"/>
      <color theme="1"/>
      <name val="Calibri"/>
    </font>
    <font>
      <b/>
      <sz val="23"/>
      <color theme="1"/>
      <name val="Calibri"/>
    </font>
    <font>
      <sz val="10"/>
      <color rgb="FF000000"/>
      <name val="Inherit"/>
    </font>
    <font>
      <b/>
      <sz val="12"/>
      <color theme="0"/>
      <name val="Calibri"/>
    </font>
    <font>
      <sz val="12"/>
      <color theme="0"/>
      <name val="Calibri"/>
    </font>
    <font>
      <sz val="12"/>
      <color rgb="FFFFFFFF"/>
      <name val="Calibri"/>
    </font>
    <font>
      <sz val="12"/>
      <color theme="1"/>
      <name val="Calibri"/>
    </font>
    <font>
      <b/>
      <sz val="11"/>
      <color rgb="FF000000"/>
      <name val="Calibri"/>
    </font>
    <font>
      <sz val="11"/>
      <color rgb="FF222222"/>
      <name val="Calibri"/>
    </font>
    <font>
      <sz val="23"/>
      <color rgb="FF000000"/>
      <name val="Calibri"/>
    </font>
  </fonts>
  <fills count="17">
    <fill>
      <patternFill patternType="none"/>
    </fill>
    <fill>
      <patternFill patternType="gray125"/>
    </fill>
    <fill>
      <patternFill patternType="solid">
        <fgColor rgb="FF333399"/>
        <bgColor rgb="FF333399"/>
      </patternFill>
    </fill>
    <fill>
      <patternFill patternType="solid">
        <fgColor rgb="FFFFE599"/>
        <bgColor rgb="FFFFE599"/>
      </patternFill>
    </fill>
    <fill>
      <patternFill patternType="solid">
        <fgColor theme="0"/>
        <bgColor theme="0"/>
      </patternFill>
    </fill>
    <fill>
      <patternFill patternType="solid">
        <fgColor rgb="FFFFFF00"/>
        <bgColor rgb="FFFFFF00"/>
      </patternFill>
    </fill>
    <fill>
      <patternFill patternType="solid">
        <fgColor rgb="FFFFF2CC"/>
        <bgColor rgb="FFFFF2CC"/>
      </patternFill>
    </fill>
    <fill>
      <patternFill patternType="solid">
        <fgColor rgb="FFF9CB9C"/>
        <bgColor rgb="FFF9CB9C"/>
      </patternFill>
    </fill>
    <fill>
      <patternFill patternType="solid">
        <fgColor rgb="FF99CCFF"/>
        <bgColor rgb="FF99CCFF"/>
      </patternFill>
    </fill>
    <fill>
      <patternFill patternType="solid">
        <fgColor rgb="FF99CC00"/>
        <bgColor rgb="FF99CC00"/>
      </patternFill>
    </fill>
    <fill>
      <patternFill patternType="solid">
        <fgColor rgb="FFFFFFFF"/>
        <bgColor rgb="FFFFFFFF"/>
      </patternFill>
    </fill>
    <fill>
      <patternFill patternType="solid">
        <fgColor rgb="FFC9DAF8"/>
        <bgColor rgb="FFC9DAF8"/>
      </patternFill>
    </fill>
    <fill>
      <patternFill patternType="solid">
        <fgColor rgb="FF980000"/>
        <bgColor rgb="FF980000"/>
      </patternFill>
    </fill>
    <fill>
      <patternFill patternType="solid">
        <fgColor rgb="FFFF00FF"/>
        <bgColor rgb="FFFF00FF"/>
      </patternFill>
    </fill>
    <fill>
      <patternFill patternType="solid">
        <fgColor rgb="FFFF0000"/>
        <bgColor rgb="FFFF0000"/>
      </patternFill>
    </fill>
    <fill>
      <patternFill patternType="solid">
        <fgColor rgb="FF6D9EEB"/>
        <bgColor rgb="FF6D9EEB"/>
      </patternFill>
    </fill>
    <fill>
      <patternFill patternType="solid">
        <fgColor rgb="FFE06666"/>
        <bgColor rgb="FFE06666"/>
      </patternFill>
    </fill>
  </fills>
  <borders count="8">
    <border>
      <left/>
      <right/>
      <top/>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112">
    <xf numFmtId="0" fontId="0" fillId="0" borderId="0" xfId="0"/>
    <xf numFmtId="0" fontId="1" fillId="0" borderId="0" xfId="0" applyFont="1"/>
    <xf numFmtId="0" fontId="1" fillId="0" borderId="1" xfId="0" applyFont="1" applyBorder="1" applyAlignment="1">
      <alignment horizontal="center"/>
    </xf>
    <xf numFmtId="0" fontId="1" fillId="0" borderId="1" xfId="0" applyFont="1" applyBorder="1" applyAlignment="1">
      <alignment horizontal="center" wrapText="1"/>
    </xf>
    <xf numFmtId="0" fontId="5" fillId="2" borderId="2" xfId="0" applyFont="1" applyFill="1" applyBorder="1" applyAlignment="1">
      <alignment horizontal="center" vertical="center" wrapText="1"/>
    </xf>
    <xf numFmtId="0" fontId="1" fillId="0" borderId="2" xfId="0" applyFont="1" applyBorder="1" applyAlignment="1">
      <alignment horizontal="center" vertical="center"/>
    </xf>
    <xf numFmtId="0" fontId="1" fillId="3" borderId="2" xfId="0" applyFont="1" applyFill="1" applyBorder="1" applyAlignment="1">
      <alignment horizontal="center" vertical="center"/>
    </xf>
    <xf numFmtId="0" fontId="1" fillId="0" borderId="3" xfId="0" applyFont="1" applyBorder="1" applyAlignment="1">
      <alignment vertical="center" wrapText="1"/>
    </xf>
    <xf numFmtId="0" fontId="1" fillId="0" borderId="2" xfId="0" applyFont="1" applyBorder="1" applyAlignment="1">
      <alignment horizontal="center" vertical="center" wrapText="1"/>
    </xf>
    <xf numFmtId="0" fontId="1" fillId="0" borderId="0" xfId="0" applyFont="1" applyAlignment="1">
      <alignment vertical="center" wrapText="1"/>
    </xf>
    <xf numFmtId="0" fontId="1" fillId="0" borderId="3" xfId="0" applyFont="1" applyBorder="1" applyAlignment="1">
      <alignment horizontal="left" vertical="center" wrapText="1"/>
    </xf>
    <xf numFmtId="0" fontId="1" fillId="4" borderId="2" xfId="0" applyFont="1" applyFill="1" applyBorder="1" applyAlignment="1">
      <alignment horizontal="center" vertical="center"/>
    </xf>
    <xf numFmtId="0" fontId="1" fillId="0" borderId="2" xfId="0" applyFont="1" applyBorder="1" applyAlignment="1">
      <alignment wrapText="1"/>
    </xf>
    <xf numFmtId="0" fontId="1" fillId="5" borderId="2" xfId="0" applyFont="1" applyFill="1" applyBorder="1" applyAlignment="1">
      <alignment horizontal="center" vertical="center"/>
    </xf>
    <xf numFmtId="0" fontId="1" fillId="6" borderId="2" xfId="0" applyFont="1" applyFill="1" applyBorder="1" applyAlignment="1">
      <alignment horizontal="center" vertical="center"/>
    </xf>
    <xf numFmtId="0" fontId="1" fillId="7" borderId="2" xfId="0" applyFont="1" applyFill="1" applyBorder="1" applyAlignment="1">
      <alignment horizontal="center" vertical="center"/>
    </xf>
    <xf numFmtId="0" fontId="1" fillId="0" borderId="2" xfId="0" applyFont="1" applyBorder="1" applyAlignment="1">
      <alignment horizontal="center"/>
    </xf>
    <xf numFmtId="0" fontId="1" fillId="0" borderId="0" xfId="0" applyFont="1" applyAlignment="1">
      <alignment horizontal="center" vertical="center"/>
    </xf>
    <xf numFmtId="0" fontId="1" fillId="0" borderId="2" xfId="0" applyFont="1" applyBorder="1" applyAlignment="1">
      <alignment vertical="center" wrapText="1"/>
    </xf>
    <xf numFmtId="0" fontId="1" fillId="7" borderId="2" xfId="0" applyFont="1" applyFill="1" applyBorder="1" applyAlignment="1">
      <alignment horizontal="center" vertical="center" wrapText="1"/>
    </xf>
    <xf numFmtId="0" fontId="1" fillId="0" borderId="2" xfId="0" applyFont="1" applyBorder="1" applyAlignment="1">
      <alignment vertical="center"/>
    </xf>
    <xf numFmtId="0" fontId="8" fillId="2" borderId="2" xfId="0" applyFont="1" applyFill="1" applyBorder="1" applyAlignment="1">
      <alignment horizontal="center" wrapText="1"/>
    </xf>
    <xf numFmtId="0" fontId="8" fillId="2" borderId="5" xfId="0" applyFont="1" applyFill="1" applyBorder="1" applyAlignment="1">
      <alignment horizontal="center" wrapText="1"/>
    </xf>
    <xf numFmtId="0" fontId="3" fillId="2" borderId="5" xfId="0" applyFont="1" applyFill="1" applyBorder="1" applyAlignment="1">
      <alignment horizontal="center" wrapText="1"/>
    </xf>
    <xf numFmtId="0" fontId="9" fillId="8" borderId="6" xfId="0" applyFont="1" applyFill="1" applyBorder="1" applyAlignment="1">
      <alignment horizontal="center" vertical="center" wrapText="1"/>
    </xf>
    <xf numFmtId="0" fontId="9" fillId="8" borderId="1" xfId="0" applyFont="1" applyFill="1" applyBorder="1" applyAlignment="1">
      <alignment horizontal="center" vertical="center" wrapText="1"/>
    </xf>
    <xf numFmtId="0" fontId="9" fillId="8"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1" xfId="0" applyFont="1" applyFill="1" applyBorder="1" applyAlignment="1">
      <alignment horizontal="center" vertical="center" wrapText="1"/>
    </xf>
    <xf numFmtId="0" fontId="1" fillId="0" borderId="6" xfId="0" applyFont="1" applyBorder="1" applyAlignment="1">
      <alignment horizontal="center"/>
    </xf>
    <xf numFmtId="0" fontId="10" fillId="0" borderId="1" xfId="0" applyFont="1" applyBorder="1" applyAlignment="1">
      <alignment wrapText="1"/>
    </xf>
    <xf numFmtId="0" fontId="1" fillId="0" borderId="1" xfId="0" applyFont="1" applyBorder="1"/>
    <xf numFmtId="0" fontId="11" fillId="0" borderId="0" xfId="0" applyFont="1"/>
    <xf numFmtId="0" fontId="1" fillId="0" borderId="0" xfId="0" applyFont="1" applyAlignment="1">
      <alignment horizontal="left" vertical="center" wrapText="1"/>
    </xf>
    <xf numFmtId="0" fontId="1" fillId="0" borderId="0" xfId="0" applyFont="1" applyAlignment="1">
      <alignment horizontal="center" vertical="center" wrapText="1"/>
    </xf>
    <xf numFmtId="0" fontId="1" fillId="0" borderId="0" xfId="0" applyFont="1" applyAlignment="1">
      <alignment horizontal="left"/>
    </xf>
    <xf numFmtId="0" fontId="1" fillId="0" borderId="0" xfId="0" applyFont="1" applyAlignment="1">
      <alignment horizontal="center"/>
    </xf>
    <xf numFmtId="0" fontId="12" fillId="0" borderId="0" xfId="0" applyFont="1" applyAlignment="1">
      <alignment vertical="top"/>
    </xf>
    <xf numFmtId="0" fontId="6" fillId="0" borderId="0" xfId="0" applyFont="1"/>
    <xf numFmtId="0" fontId="3" fillId="2" borderId="2" xfId="0" applyFont="1" applyFill="1" applyBorder="1" applyAlignment="1">
      <alignment horizontal="center" vertical="center" wrapText="1"/>
    </xf>
    <xf numFmtId="0" fontId="5" fillId="9" borderId="2" xfId="0" applyFont="1" applyFill="1" applyBorder="1" applyAlignment="1">
      <alignment horizontal="center" vertical="center" wrapText="1"/>
    </xf>
    <xf numFmtId="0" fontId="1" fillId="0" borderId="2" xfId="0" applyFont="1" applyBorder="1"/>
    <xf numFmtId="0" fontId="10" fillId="0" borderId="2" xfId="0" applyFont="1" applyBorder="1" applyAlignment="1">
      <alignment horizontal="left"/>
    </xf>
    <xf numFmtId="0" fontId="10" fillId="10" borderId="2" xfId="0" applyFont="1" applyFill="1" applyBorder="1" applyAlignment="1">
      <alignment vertical="top"/>
    </xf>
    <xf numFmtId="0" fontId="13" fillId="10" borderId="2" xfId="0" applyFont="1" applyFill="1" applyBorder="1" applyAlignment="1">
      <alignment horizontal="center" vertical="center" wrapText="1"/>
    </xf>
    <xf numFmtId="0" fontId="1" fillId="9" borderId="2" xfId="0" applyFont="1" applyFill="1" applyBorder="1" applyAlignment="1">
      <alignment horizontal="center"/>
    </xf>
    <xf numFmtId="0" fontId="10" fillId="10" borderId="2" xfId="0" applyFont="1" applyFill="1" applyBorder="1"/>
    <xf numFmtId="0" fontId="14" fillId="2"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0" fontId="15" fillId="11" borderId="2" xfId="0" applyFont="1" applyFill="1" applyBorder="1" applyAlignment="1">
      <alignment horizontal="center" vertical="center" wrapText="1"/>
    </xf>
    <xf numFmtId="0" fontId="16" fillId="2" borderId="2" xfId="0" applyFont="1" applyFill="1" applyBorder="1" applyAlignment="1">
      <alignment horizontal="center" vertical="center" wrapText="1"/>
    </xf>
    <xf numFmtId="0" fontId="17" fillId="0" borderId="0" xfId="0" applyFont="1" applyAlignment="1">
      <alignment vertical="center"/>
    </xf>
    <xf numFmtId="0" fontId="17" fillId="8" borderId="7" xfId="0" applyFont="1" applyFill="1" applyBorder="1" applyAlignment="1">
      <alignment horizontal="center" vertical="center" wrapText="1"/>
    </xf>
    <xf numFmtId="0" fontId="17" fillId="8" borderId="2" xfId="0" applyFont="1" applyFill="1" applyBorder="1" applyAlignment="1">
      <alignment horizontal="center" vertical="center" wrapText="1"/>
    </xf>
    <xf numFmtId="0" fontId="17" fillId="11" borderId="2" xfId="0" applyFont="1" applyFill="1" applyBorder="1" applyAlignment="1">
      <alignment horizontal="center" vertical="center" wrapText="1"/>
    </xf>
    <xf numFmtId="0" fontId="18" fillId="0" borderId="2" xfId="0" applyFont="1" applyBorder="1" applyAlignment="1">
      <alignment horizontal="center" vertical="center"/>
    </xf>
    <xf numFmtId="0" fontId="10" fillId="0" borderId="4" xfId="0" applyFont="1" applyBorder="1" applyAlignment="1">
      <alignment horizontal="center" vertical="center"/>
    </xf>
    <xf numFmtId="0" fontId="19" fillId="0" borderId="2" xfId="0" applyFont="1" applyBorder="1" applyAlignment="1">
      <alignment horizontal="center" vertical="center"/>
    </xf>
    <xf numFmtId="0" fontId="10" fillId="0" borderId="5" xfId="0" applyFont="1" applyBorder="1" applyAlignment="1">
      <alignment horizontal="left" vertical="center"/>
    </xf>
    <xf numFmtId="0" fontId="10" fillId="11" borderId="5" xfId="0" applyFont="1" applyFill="1" applyBorder="1" applyAlignment="1">
      <alignment horizontal="left" vertical="center"/>
    </xf>
    <xf numFmtId="0" fontId="10" fillId="0" borderId="5" xfId="0" applyFont="1" applyBorder="1" applyAlignment="1">
      <alignment horizontal="center" vertic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Border="1" applyAlignment="1">
      <alignment horizontal="left" vertical="center"/>
    </xf>
    <xf numFmtId="0" fontId="10" fillId="11" borderId="1" xfId="0" applyFont="1" applyFill="1" applyBorder="1" applyAlignment="1">
      <alignment horizontal="left" vertical="center"/>
    </xf>
    <xf numFmtId="0" fontId="10" fillId="0" borderId="6" xfId="0" applyFont="1" applyBorder="1" applyAlignment="1">
      <alignment horizontal="center" vertical="center"/>
    </xf>
    <xf numFmtId="0" fontId="10" fillId="7" borderId="1" xfId="0" applyFont="1" applyFill="1" applyBorder="1" applyAlignment="1">
      <alignment horizontal="left" vertical="center"/>
    </xf>
    <xf numFmtId="0" fontId="10" fillId="0" borderId="6" xfId="0" applyFont="1" applyBorder="1" applyAlignment="1">
      <alignment horizontal="left" vertical="center"/>
    </xf>
    <xf numFmtId="0" fontId="10" fillId="5" borderId="1" xfId="0" applyFont="1" applyFill="1" applyBorder="1" applyAlignment="1">
      <alignment horizontal="left" vertical="center"/>
    </xf>
    <xf numFmtId="0" fontId="10" fillId="12" borderId="6" xfId="0" applyFont="1" applyFill="1" applyBorder="1" applyAlignment="1">
      <alignment horizontal="center" vertical="center"/>
    </xf>
    <xf numFmtId="0" fontId="10" fillId="12" borderId="4" xfId="0" applyFont="1" applyFill="1" applyBorder="1" applyAlignment="1">
      <alignment horizontal="center" vertical="center"/>
    </xf>
    <xf numFmtId="0" fontId="19" fillId="12" borderId="2" xfId="0" applyFont="1" applyFill="1" applyBorder="1" applyAlignment="1">
      <alignment horizontal="center" vertical="center"/>
    </xf>
    <xf numFmtId="0" fontId="10" fillId="12" borderId="1" xfId="0" applyFont="1" applyFill="1" applyBorder="1" applyAlignment="1">
      <alignment horizontal="left" vertical="center"/>
    </xf>
    <xf numFmtId="0" fontId="10" fillId="12" borderId="5" xfId="0" applyFont="1" applyFill="1" applyBorder="1" applyAlignment="1">
      <alignment horizontal="left" vertical="center"/>
    </xf>
    <xf numFmtId="0" fontId="10" fillId="12" borderId="1" xfId="0" applyFont="1" applyFill="1" applyBorder="1" applyAlignment="1">
      <alignment horizontal="center" vertical="center"/>
    </xf>
    <xf numFmtId="0" fontId="17" fillId="12" borderId="0" xfId="0" applyFont="1" applyFill="1" applyAlignment="1">
      <alignment vertical="center"/>
    </xf>
    <xf numFmtId="164" fontId="10" fillId="0" borderId="1" xfId="0" applyNumberFormat="1" applyFont="1" applyBorder="1" applyAlignment="1">
      <alignment horizontal="left" vertical="center"/>
    </xf>
    <xf numFmtId="11" fontId="10" fillId="0" borderId="1" xfId="0" applyNumberFormat="1" applyFont="1" applyBorder="1" applyAlignment="1">
      <alignment horizontal="left" vertical="center"/>
    </xf>
    <xf numFmtId="0" fontId="10" fillId="13" borderId="1" xfId="0" applyFont="1" applyFill="1" applyBorder="1" applyAlignment="1">
      <alignment horizontal="left" vertical="center"/>
    </xf>
    <xf numFmtId="21" fontId="10" fillId="0" borderId="1" xfId="0" applyNumberFormat="1" applyFont="1" applyBorder="1" applyAlignment="1">
      <alignment horizontal="left" vertical="center"/>
    </xf>
    <xf numFmtId="165" fontId="10" fillId="0" borderId="1" xfId="0" applyNumberFormat="1" applyFont="1" applyBorder="1" applyAlignment="1">
      <alignment horizontal="left" vertical="center"/>
    </xf>
    <xf numFmtId="49" fontId="10" fillId="0" borderId="1" xfId="0" applyNumberFormat="1" applyFont="1" applyBorder="1" applyAlignment="1">
      <alignment horizontal="left" vertical="center"/>
    </xf>
    <xf numFmtId="0" fontId="10" fillId="14" borderId="6" xfId="0" applyFont="1" applyFill="1" applyBorder="1" applyAlignment="1">
      <alignment horizontal="center" vertical="center"/>
    </xf>
    <xf numFmtId="0" fontId="10" fillId="14" borderId="4" xfId="0" applyFont="1" applyFill="1" applyBorder="1" applyAlignment="1">
      <alignment horizontal="center" vertical="center"/>
    </xf>
    <xf numFmtId="0" fontId="19" fillId="14" borderId="2" xfId="0" applyFont="1" applyFill="1" applyBorder="1" applyAlignment="1">
      <alignment horizontal="center" vertical="center"/>
    </xf>
    <xf numFmtId="0" fontId="10" fillId="14" borderId="1" xfId="0" applyFont="1" applyFill="1" applyBorder="1" applyAlignment="1">
      <alignment horizontal="left" vertical="center"/>
    </xf>
    <xf numFmtId="0" fontId="10" fillId="14" borderId="5" xfId="0" applyFont="1" applyFill="1" applyBorder="1" applyAlignment="1">
      <alignment horizontal="left" vertical="center"/>
    </xf>
    <xf numFmtId="0" fontId="10" fillId="14" borderId="1" xfId="0" applyFont="1" applyFill="1" applyBorder="1" applyAlignment="1">
      <alignment horizontal="center" vertical="center"/>
    </xf>
    <xf numFmtId="0" fontId="10" fillId="14" borderId="2" xfId="0" applyFont="1" applyFill="1" applyBorder="1" applyAlignment="1">
      <alignment horizontal="center" vertical="center"/>
    </xf>
    <xf numFmtId="0" fontId="1" fillId="0" borderId="4" xfId="0" applyFont="1" applyBorder="1" applyAlignment="1">
      <alignment horizontal="center"/>
    </xf>
    <xf numFmtId="0" fontId="19" fillId="0" borderId="2" xfId="0" applyFont="1" applyBorder="1" applyAlignment="1">
      <alignment horizontal="center"/>
    </xf>
    <xf numFmtId="0" fontId="1" fillId="0" borderId="5" xfId="0" applyFont="1" applyBorder="1"/>
    <xf numFmtId="0" fontId="10" fillId="0" borderId="2" xfId="0" applyFont="1" applyBorder="1" applyAlignment="1">
      <alignment horizontal="center"/>
    </xf>
    <xf numFmtId="0" fontId="10" fillId="0" borderId="2" xfId="0" applyFont="1" applyBorder="1" applyAlignment="1">
      <alignment horizontal="left" vertical="center"/>
    </xf>
    <xf numFmtId="0" fontId="17" fillId="0" borderId="2" xfId="0" applyFont="1" applyBorder="1" applyAlignment="1">
      <alignment horizontal="center" vertical="center"/>
    </xf>
    <xf numFmtId="0" fontId="17" fillId="12" borderId="2" xfId="0" applyFont="1" applyFill="1" applyBorder="1" applyAlignment="1">
      <alignment horizontal="center" vertical="center"/>
    </xf>
    <xf numFmtId="0" fontId="10" fillId="12" borderId="2" xfId="0" applyFont="1" applyFill="1" applyBorder="1" applyAlignment="1">
      <alignment horizontal="left" vertical="center"/>
    </xf>
    <xf numFmtId="0" fontId="10" fillId="12" borderId="2" xfId="0" applyFont="1" applyFill="1" applyBorder="1" applyAlignment="1">
      <alignment horizontal="center"/>
    </xf>
    <xf numFmtId="0" fontId="18" fillId="0" borderId="2" xfId="0" applyFont="1" applyBorder="1" applyAlignment="1">
      <alignment horizontal="left" vertical="center"/>
    </xf>
    <xf numFmtId="0" fontId="17" fillId="12" borderId="2" xfId="0" applyFont="1" applyFill="1" applyBorder="1" applyAlignment="1">
      <alignment vertical="center"/>
    </xf>
    <xf numFmtId="0" fontId="17" fillId="0" borderId="2" xfId="0" applyFont="1" applyBorder="1" applyAlignment="1">
      <alignment vertical="center"/>
    </xf>
    <xf numFmtId="0" fontId="1" fillId="0" borderId="3" xfId="0" applyFont="1" applyBorder="1" applyAlignment="1">
      <alignment horizontal="center" vertical="center" wrapText="1"/>
    </xf>
    <xf numFmtId="0" fontId="2" fillId="0" borderId="4" xfId="0" applyFont="1" applyBorder="1"/>
    <xf numFmtId="0" fontId="2" fillId="0" borderId="5" xfId="0" applyFont="1" applyBorder="1"/>
    <xf numFmtId="0" fontId="4" fillId="0" borderId="0" xfId="0" applyFont="1" applyAlignment="1">
      <alignment horizontal="center" vertical="top"/>
    </xf>
    <xf numFmtId="0" fontId="0" fillId="0" borderId="0" xfId="0"/>
    <xf numFmtId="0" fontId="7" fillId="0" borderId="0" xfId="0" applyFont="1" applyAlignment="1">
      <alignment horizontal="center" vertical="top"/>
    </xf>
    <xf numFmtId="0" fontId="5" fillId="2" borderId="3" xfId="0" applyFont="1" applyFill="1" applyBorder="1" applyAlignment="1">
      <alignment horizontal="center" vertical="center" wrapText="1"/>
    </xf>
    <xf numFmtId="0" fontId="1" fillId="0" borderId="3" xfId="0" applyFont="1" applyBorder="1" applyAlignment="1">
      <alignment horizontal="center" vertical="center"/>
    </xf>
    <xf numFmtId="0" fontId="1" fillId="0" borderId="0" xfId="0" applyFont="1" applyAlignment="1">
      <alignment horizontal="left" vertical="center" wrapText="1"/>
    </xf>
    <xf numFmtId="0" fontId="20" fillId="15" borderId="3" xfId="0" applyFont="1" applyFill="1" applyBorder="1" applyAlignment="1">
      <alignment horizontal="center" vertical="center" wrapText="1"/>
    </xf>
    <xf numFmtId="0" fontId="20" fillId="16" borderId="3"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123825</xdr:colOff>
      <xdr:row>39</xdr:row>
      <xdr:rowOff>-57150</xdr:rowOff>
    </xdr:from>
    <xdr:ext cx="11010900" cy="4667250"/>
    <xdr:pic>
      <xdr:nvPicPr>
        <xdr:cNvPr id="2" name="image1.png" title="Imagen">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B3:H36"/>
  <sheetViews>
    <sheetView showGridLines="0" workbookViewId="0"/>
  </sheetViews>
  <sheetFormatPr baseColWidth="10" defaultColWidth="14.44140625" defaultRowHeight="15" customHeight="1"/>
  <cols>
    <col min="1" max="1" width="4.33203125" customWidth="1"/>
    <col min="2" max="2" width="4.88671875" customWidth="1"/>
    <col min="3" max="3" width="14.44140625" customWidth="1"/>
    <col min="4" max="4" width="19" customWidth="1"/>
    <col min="5" max="5" width="70.88671875" customWidth="1"/>
    <col min="6" max="7" width="11" customWidth="1"/>
    <col min="8" max="8" width="29" customWidth="1"/>
    <col min="9" max="26" width="8.88671875" customWidth="1"/>
  </cols>
  <sheetData>
    <row r="3" spans="3:8" ht="46.5" customHeight="1">
      <c r="C3" s="104" t="s">
        <v>2</v>
      </c>
      <c r="D3" s="105"/>
      <c r="E3" s="105"/>
      <c r="F3" s="105"/>
      <c r="G3" s="105"/>
      <c r="H3" s="105"/>
    </row>
    <row r="4" spans="3:8" ht="14.25" customHeight="1">
      <c r="C4" s="4" t="s">
        <v>3</v>
      </c>
      <c r="D4" s="4" t="s">
        <v>4</v>
      </c>
      <c r="E4" s="4" t="s">
        <v>1</v>
      </c>
      <c r="F4" s="4" t="s">
        <v>5</v>
      </c>
      <c r="G4" s="4" t="s">
        <v>6</v>
      </c>
      <c r="H4" s="4" t="s">
        <v>7</v>
      </c>
    </row>
    <row r="5" spans="3:8" ht="46.5" customHeight="1">
      <c r="C5" s="5">
        <v>1</v>
      </c>
      <c r="D5" s="6" t="s">
        <v>8</v>
      </c>
      <c r="E5" s="7" t="s">
        <v>9</v>
      </c>
      <c r="F5" s="5" t="s">
        <v>10</v>
      </c>
      <c r="G5" s="5" t="s">
        <v>11</v>
      </c>
      <c r="H5" s="8" t="s">
        <v>12</v>
      </c>
    </row>
    <row r="6" spans="3:8" ht="46.5" customHeight="1">
      <c r="C6" s="5">
        <v>2</v>
      </c>
      <c r="D6" s="6" t="s">
        <v>13</v>
      </c>
      <c r="E6" s="9" t="s">
        <v>14</v>
      </c>
      <c r="F6" s="5" t="s">
        <v>10</v>
      </c>
      <c r="G6" s="5" t="s">
        <v>11</v>
      </c>
      <c r="H6" s="8" t="s">
        <v>15</v>
      </c>
    </row>
    <row r="7" spans="3:8" ht="14.4">
      <c r="C7" s="5">
        <v>3</v>
      </c>
      <c r="D7" s="6" t="s">
        <v>16</v>
      </c>
      <c r="E7" s="10" t="s">
        <v>17</v>
      </c>
      <c r="F7" s="5" t="s">
        <v>10</v>
      </c>
      <c r="G7" s="5" t="s">
        <v>11</v>
      </c>
      <c r="H7" s="5" t="s">
        <v>18</v>
      </c>
    </row>
    <row r="8" spans="3:8" ht="14.25" customHeight="1">
      <c r="C8" s="5">
        <v>4</v>
      </c>
      <c r="D8" s="11" t="s">
        <v>19</v>
      </c>
      <c r="E8" s="7" t="s">
        <v>20</v>
      </c>
      <c r="F8" s="5" t="s">
        <v>10</v>
      </c>
      <c r="G8" s="5" t="s">
        <v>11</v>
      </c>
      <c r="H8" s="8" t="s">
        <v>21</v>
      </c>
    </row>
    <row r="9" spans="3:8" ht="31.5" customHeight="1">
      <c r="C9" s="5">
        <v>5</v>
      </c>
      <c r="D9" s="11" t="s">
        <v>22</v>
      </c>
      <c r="E9" s="7" t="s">
        <v>23</v>
      </c>
      <c r="F9" s="5" t="s">
        <v>10</v>
      </c>
      <c r="G9" s="5" t="s">
        <v>11</v>
      </c>
      <c r="H9" s="8" t="s">
        <v>24</v>
      </c>
    </row>
    <row r="10" spans="3:8" ht="39.75" customHeight="1">
      <c r="C10" s="5">
        <v>6</v>
      </c>
      <c r="D10" s="6" t="s">
        <v>25</v>
      </c>
      <c r="E10" s="7" t="s">
        <v>26</v>
      </c>
      <c r="F10" s="5" t="s">
        <v>10</v>
      </c>
      <c r="G10" s="5" t="s">
        <v>11</v>
      </c>
      <c r="H10" s="8" t="s">
        <v>27</v>
      </c>
    </row>
    <row r="11" spans="3:8" ht="76.5" customHeight="1">
      <c r="C11" s="5">
        <v>7</v>
      </c>
      <c r="D11" s="11" t="s">
        <v>28</v>
      </c>
      <c r="E11" s="7" t="s">
        <v>29</v>
      </c>
      <c r="F11" s="5" t="s">
        <v>10</v>
      </c>
      <c r="G11" s="5" t="s">
        <v>11</v>
      </c>
      <c r="H11" s="8" t="s">
        <v>30</v>
      </c>
    </row>
    <row r="12" spans="3:8" ht="25.5" customHeight="1">
      <c r="C12" s="5">
        <v>8</v>
      </c>
      <c r="D12" s="11" t="s">
        <v>31</v>
      </c>
      <c r="E12" s="12" t="s">
        <v>32</v>
      </c>
      <c r="F12" s="13" t="s">
        <v>33</v>
      </c>
      <c r="G12" s="5" t="s">
        <v>11</v>
      </c>
      <c r="H12" s="5" t="s">
        <v>34</v>
      </c>
    </row>
    <row r="13" spans="3:8" ht="45" customHeight="1">
      <c r="C13" s="5">
        <v>9</v>
      </c>
      <c r="D13" s="14" t="s">
        <v>35</v>
      </c>
      <c r="E13" s="7" t="s">
        <v>36</v>
      </c>
      <c r="F13" s="13" t="s">
        <v>33</v>
      </c>
      <c r="G13" s="5" t="s">
        <v>11</v>
      </c>
      <c r="H13" s="8" t="s">
        <v>37</v>
      </c>
    </row>
    <row r="14" spans="3:8" ht="39" customHeight="1">
      <c r="C14" s="5">
        <v>10</v>
      </c>
      <c r="D14" s="15" t="s">
        <v>38</v>
      </c>
      <c r="E14" s="12" t="s">
        <v>39</v>
      </c>
      <c r="F14" s="13" t="s">
        <v>33</v>
      </c>
      <c r="G14" s="5" t="s">
        <v>11</v>
      </c>
      <c r="H14" s="5" t="s">
        <v>38</v>
      </c>
    </row>
    <row r="15" spans="3:8" ht="14.4">
      <c r="C15" s="5">
        <v>11</v>
      </c>
      <c r="D15" s="11" t="s">
        <v>40</v>
      </c>
      <c r="E15" s="12" t="s">
        <v>41</v>
      </c>
      <c r="F15" s="5" t="s">
        <v>33</v>
      </c>
      <c r="G15" s="16" t="s">
        <v>42</v>
      </c>
      <c r="H15" s="5" t="s">
        <v>43</v>
      </c>
    </row>
    <row r="16" spans="3:8" ht="14.4">
      <c r="C16" s="5">
        <v>12</v>
      </c>
      <c r="D16" s="11" t="s">
        <v>44</v>
      </c>
      <c r="E16" s="7" t="s">
        <v>45</v>
      </c>
      <c r="F16" s="16" t="s">
        <v>46</v>
      </c>
      <c r="G16" s="16" t="s">
        <v>11</v>
      </c>
      <c r="H16" s="8" t="s">
        <v>47</v>
      </c>
    </row>
    <row r="17" spans="3:8" ht="14.25" customHeight="1">
      <c r="C17" s="5">
        <v>13</v>
      </c>
      <c r="D17" s="15" t="s">
        <v>48</v>
      </c>
      <c r="E17" s="12" t="s">
        <v>49</v>
      </c>
      <c r="F17" s="16" t="s">
        <v>50</v>
      </c>
      <c r="G17" s="16" t="s">
        <v>42</v>
      </c>
      <c r="H17" s="5" t="s">
        <v>51</v>
      </c>
    </row>
    <row r="18" spans="3:8" ht="14.25" customHeight="1">
      <c r="D18" s="17"/>
    </row>
    <row r="19" spans="3:8" ht="14.25" customHeight="1">
      <c r="D19" s="17"/>
    </row>
    <row r="20" spans="3:8" ht="14.25" customHeight="1">
      <c r="D20" s="17"/>
    </row>
    <row r="21" spans="3:8" ht="14.25" customHeight="1">
      <c r="D21" s="17"/>
    </row>
    <row r="22" spans="3:8" ht="30" customHeight="1">
      <c r="C22" s="106" t="s">
        <v>52</v>
      </c>
      <c r="D22" s="105"/>
      <c r="E22" s="105"/>
      <c r="F22" s="105"/>
      <c r="G22" s="105"/>
      <c r="H22" s="105"/>
    </row>
    <row r="23" spans="3:8" ht="14.25" customHeight="1"/>
    <row r="24" spans="3:8" ht="14.25" customHeight="1">
      <c r="C24" s="4" t="s">
        <v>3</v>
      </c>
      <c r="D24" s="4" t="s">
        <v>53</v>
      </c>
      <c r="E24" s="4" t="s">
        <v>54</v>
      </c>
      <c r="F24" s="107" t="s">
        <v>55</v>
      </c>
      <c r="G24" s="102"/>
      <c r="H24" s="103"/>
    </row>
    <row r="25" spans="3:8" ht="111.75" customHeight="1">
      <c r="C25" s="5">
        <v>1</v>
      </c>
      <c r="D25" s="8" t="s">
        <v>56</v>
      </c>
      <c r="E25" s="18" t="s">
        <v>57</v>
      </c>
      <c r="F25" s="101" t="s">
        <v>58</v>
      </c>
      <c r="G25" s="102"/>
      <c r="H25" s="103"/>
    </row>
    <row r="26" spans="3:8" ht="57.6">
      <c r="C26" s="5">
        <f t="shared" ref="C26:C34" si="0">1+C25</f>
        <v>2</v>
      </c>
      <c r="D26" s="8" t="s">
        <v>59</v>
      </c>
      <c r="E26" s="18" t="s">
        <v>60</v>
      </c>
      <c r="F26" s="101" t="s">
        <v>61</v>
      </c>
      <c r="G26" s="102"/>
      <c r="H26" s="103"/>
    </row>
    <row r="27" spans="3:8" ht="72" customHeight="1">
      <c r="C27" s="5">
        <f t="shared" si="0"/>
        <v>3</v>
      </c>
      <c r="D27" s="8" t="s">
        <v>62</v>
      </c>
      <c r="E27" s="18" t="s">
        <v>63</v>
      </c>
      <c r="F27" s="101" t="s">
        <v>64</v>
      </c>
      <c r="G27" s="102"/>
      <c r="H27" s="103"/>
    </row>
    <row r="28" spans="3:8" ht="42" customHeight="1">
      <c r="C28" s="5">
        <f t="shared" si="0"/>
        <v>4</v>
      </c>
      <c r="D28" s="8" t="s">
        <v>65</v>
      </c>
      <c r="E28" s="18" t="s">
        <v>66</v>
      </c>
      <c r="F28" s="101" t="s">
        <v>67</v>
      </c>
      <c r="G28" s="102"/>
      <c r="H28" s="103"/>
    </row>
    <row r="29" spans="3:8" ht="95.25" customHeight="1">
      <c r="C29" s="5">
        <f t="shared" si="0"/>
        <v>5</v>
      </c>
      <c r="D29" s="19" t="s">
        <v>68</v>
      </c>
      <c r="E29" s="18" t="s">
        <v>69</v>
      </c>
      <c r="F29" s="101" t="s">
        <v>70</v>
      </c>
      <c r="G29" s="102"/>
      <c r="H29" s="103"/>
    </row>
    <row r="30" spans="3:8" ht="127.5" customHeight="1">
      <c r="C30" s="5">
        <f t="shared" si="0"/>
        <v>6</v>
      </c>
      <c r="D30" s="8" t="s">
        <v>71</v>
      </c>
      <c r="E30" s="18" t="s">
        <v>72</v>
      </c>
      <c r="F30" s="101" t="s">
        <v>73</v>
      </c>
      <c r="G30" s="102"/>
      <c r="H30" s="103"/>
    </row>
    <row r="31" spans="3:8" ht="118.5" customHeight="1">
      <c r="C31" s="5">
        <f t="shared" si="0"/>
        <v>7</v>
      </c>
      <c r="D31" s="8" t="s">
        <v>74</v>
      </c>
      <c r="E31" s="18" t="s">
        <v>75</v>
      </c>
      <c r="F31" s="101" t="s">
        <v>76</v>
      </c>
      <c r="G31" s="102"/>
      <c r="H31" s="103"/>
    </row>
    <row r="32" spans="3:8" ht="14.4">
      <c r="C32" s="5">
        <f t="shared" si="0"/>
        <v>8</v>
      </c>
      <c r="D32" s="5" t="s">
        <v>77</v>
      </c>
      <c r="E32" s="18" t="s">
        <v>78</v>
      </c>
      <c r="F32" s="101" t="s">
        <v>79</v>
      </c>
      <c r="G32" s="102"/>
      <c r="H32" s="103"/>
    </row>
    <row r="33" spans="2:8" ht="25.5" customHeight="1">
      <c r="C33" s="5">
        <f t="shared" si="0"/>
        <v>9</v>
      </c>
      <c r="D33" s="8" t="s">
        <v>80</v>
      </c>
      <c r="E33" s="20" t="s">
        <v>81</v>
      </c>
      <c r="F33" s="108" t="s">
        <v>82</v>
      </c>
      <c r="G33" s="102"/>
      <c r="H33" s="103"/>
    </row>
    <row r="34" spans="2:8" ht="31.5" customHeight="1">
      <c r="C34" s="5">
        <f t="shared" si="0"/>
        <v>10</v>
      </c>
      <c r="D34" s="8" t="s">
        <v>83</v>
      </c>
      <c r="E34" s="18" t="s">
        <v>84</v>
      </c>
      <c r="F34" s="101" t="s">
        <v>85</v>
      </c>
      <c r="G34" s="102"/>
      <c r="H34" s="103"/>
    </row>
    <row r="35" spans="2:8" ht="14.25" customHeight="1"/>
    <row r="36" spans="2:8" ht="14.25" customHeight="1">
      <c r="B36" s="1" t="s">
        <v>86</v>
      </c>
      <c r="C36" s="1"/>
      <c r="D36" s="1"/>
      <c r="E36" s="1"/>
      <c r="F36" s="1"/>
      <c r="G36" s="1"/>
      <c r="H36" s="1"/>
    </row>
  </sheetData>
  <mergeCells count="13">
    <mergeCell ref="F34:H34"/>
    <mergeCell ref="C3:H3"/>
    <mergeCell ref="C22:H22"/>
    <mergeCell ref="F24:H24"/>
    <mergeCell ref="F25:H25"/>
    <mergeCell ref="F26:H26"/>
    <mergeCell ref="F27:H27"/>
    <mergeCell ref="F28:H28"/>
    <mergeCell ref="F29:H29"/>
    <mergeCell ref="F30:H30"/>
    <mergeCell ref="F31:H31"/>
    <mergeCell ref="F32:H32"/>
    <mergeCell ref="F33:H33"/>
  </mergeCells>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T11"/>
  <sheetViews>
    <sheetView showGridLines="0" workbookViewId="0">
      <selection activeCell="D18" sqref="D18"/>
    </sheetView>
  </sheetViews>
  <sheetFormatPr baseColWidth="10" defaultColWidth="14.44140625" defaultRowHeight="15" customHeight="1"/>
  <cols>
    <col min="1" max="1" width="23" customWidth="1"/>
    <col min="2" max="2" width="21" customWidth="1"/>
    <col min="3" max="3" width="17.109375" customWidth="1"/>
    <col min="4" max="4" width="25.44140625" customWidth="1"/>
    <col min="5" max="5" width="28.44140625" customWidth="1"/>
    <col min="6" max="6" width="34.6640625" customWidth="1"/>
    <col min="7" max="7" width="36.33203125" customWidth="1"/>
    <col min="8" max="8" width="35.88671875" customWidth="1"/>
    <col min="9" max="9" width="73.88671875" customWidth="1"/>
    <col min="10" max="10" width="32.6640625" customWidth="1"/>
    <col min="11" max="11" width="17.6640625" customWidth="1"/>
    <col min="12" max="12" width="17.88671875" customWidth="1"/>
    <col min="13" max="13" width="21.109375" customWidth="1"/>
    <col min="14" max="14" width="19.88671875" customWidth="1"/>
    <col min="15" max="15" width="16.33203125" customWidth="1"/>
    <col min="16" max="16" width="18.44140625" customWidth="1"/>
    <col min="17" max="17" width="20.6640625" customWidth="1"/>
    <col min="18" max="18" width="27.109375" customWidth="1"/>
    <col min="19" max="19" width="22" customWidth="1"/>
    <col min="20" max="20" width="24.109375" customWidth="1"/>
    <col min="21" max="25" width="10.88671875" customWidth="1"/>
  </cols>
  <sheetData>
    <row r="1" spans="1:20" ht="14.25" customHeight="1">
      <c r="A1" s="21" t="s">
        <v>87</v>
      </c>
      <c r="B1" s="22" t="s">
        <v>88</v>
      </c>
      <c r="C1" s="22" t="s">
        <v>89</v>
      </c>
      <c r="D1" s="22" t="s">
        <v>90</v>
      </c>
      <c r="E1" s="22" t="s">
        <v>91</v>
      </c>
      <c r="F1" s="23" t="s">
        <v>92</v>
      </c>
      <c r="G1" s="22" t="s">
        <v>93</v>
      </c>
      <c r="H1" s="22" t="s">
        <v>94</v>
      </c>
      <c r="I1" s="22" t="s">
        <v>95</v>
      </c>
      <c r="J1" s="22" t="s">
        <v>96</v>
      </c>
      <c r="K1" s="22" t="s">
        <v>97</v>
      </c>
      <c r="L1" s="22" t="s">
        <v>98</v>
      </c>
      <c r="M1" s="22" t="s">
        <v>99</v>
      </c>
      <c r="N1" s="22" t="s">
        <v>100</v>
      </c>
      <c r="O1" s="22" t="s">
        <v>101</v>
      </c>
      <c r="P1" s="22" t="s">
        <v>102</v>
      </c>
      <c r="Q1" s="22" t="s">
        <v>103</v>
      </c>
      <c r="R1" s="22" t="s">
        <v>104</v>
      </c>
      <c r="S1" s="22" t="s">
        <v>105</v>
      </c>
      <c r="T1" s="22" t="s">
        <v>106</v>
      </c>
    </row>
    <row r="2" spans="1:20" ht="69">
      <c r="A2" s="24" t="s">
        <v>107</v>
      </c>
      <c r="B2" s="25" t="s">
        <v>108</v>
      </c>
      <c r="C2" s="25" t="s">
        <v>109</v>
      </c>
      <c r="D2" s="25" t="s">
        <v>110</v>
      </c>
      <c r="E2" s="25" t="s">
        <v>111</v>
      </c>
      <c r="F2" s="25" t="s">
        <v>112</v>
      </c>
      <c r="G2" s="25" t="s">
        <v>113</v>
      </c>
      <c r="H2" s="25" t="s">
        <v>114</v>
      </c>
      <c r="I2" s="26" t="s">
        <v>115</v>
      </c>
      <c r="J2" s="27" t="s">
        <v>116</v>
      </c>
      <c r="K2" s="28" t="s">
        <v>117</v>
      </c>
      <c r="L2" s="27"/>
      <c r="M2" s="25" t="s">
        <v>118</v>
      </c>
      <c r="N2" s="25" t="s">
        <v>119</v>
      </c>
      <c r="O2" s="25" t="s">
        <v>120</v>
      </c>
      <c r="P2" s="25" t="s">
        <v>121</v>
      </c>
      <c r="Q2" s="25" t="s">
        <v>122</v>
      </c>
      <c r="R2" s="25" t="s">
        <v>123</v>
      </c>
      <c r="S2" s="25" t="s">
        <v>124</v>
      </c>
      <c r="T2" s="25" t="s">
        <v>125</v>
      </c>
    </row>
    <row r="3" spans="1:20" ht="14.25" customHeight="1">
      <c r="A3" s="29" t="s">
        <v>0</v>
      </c>
      <c r="B3" s="2" t="s">
        <v>126</v>
      </c>
      <c r="C3" s="2" t="s">
        <v>127</v>
      </c>
      <c r="D3" s="2" t="s">
        <v>126</v>
      </c>
      <c r="E3" s="2" t="s">
        <v>127</v>
      </c>
      <c r="F3" s="3" t="s">
        <v>128</v>
      </c>
      <c r="G3" s="3" t="s">
        <v>129</v>
      </c>
      <c r="H3" s="30" t="s">
        <v>130</v>
      </c>
      <c r="I3" s="31" t="s">
        <v>131</v>
      </c>
      <c r="J3" s="2" t="s">
        <v>132</v>
      </c>
      <c r="K3" s="2" t="s">
        <v>133</v>
      </c>
      <c r="L3" s="31"/>
      <c r="M3" s="31" t="s">
        <v>134</v>
      </c>
      <c r="N3" s="31" t="s">
        <v>135</v>
      </c>
      <c r="O3" s="31" t="s">
        <v>136</v>
      </c>
      <c r="P3" s="31" t="s">
        <v>10</v>
      </c>
      <c r="Q3" s="31" t="s">
        <v>137</v>
      </c>
      <c r="R3" s="31"/>
      <c r="S3" s="31"/>
      <c r="T3" s="31"/>
    </row>
    <row r="4" spans="1:20" ht="14.25" customHeight="1">
      <c r="A4" s="29" t="s">
        <v>0</v>
      </c>
      <c r="B4" s="2" t="s">
        <v>126</v>
      </c>
      <c r="C4" s="2" t="s">
        <v>127</v>
      </c>
      <c r="D4" s="2" t="s">
        <v>126</v>
      </c>
      <c r="E4" s="2" t="s">
        <v>127</v>
      </c>
      <c r="F4" s="3" t="s">
        <v>128</v>
      </c>
      <c r="G4" s="3" t="s">
        <v>129</v>
      </c>
      <c r="H4" s="30" t="s">
        <v>138</v>
      </c>
      <c r="I4" s="31" t="s">
        <v>139</v>
      </c>
      <c r="J4" s="2" t="s">
        <v>140</v>
      </c>
      <c r="K4" s="2" t="s">
        <v>141</v>
      </c>
      <c r="L4" s="31"/>
      <c r="M4" s="31" t="s">
        <v>134</v>
      </c>
      <c r="N4" s="31" t="s">
        <v>135</v>
      </c>
      <c r="O4" s="31" t="s">
        <v>136</v>
      </c>
      <c r="P4" s="31" t="s">
        <v>10</v>
      </c>
      <c r="Q4" s="31" t="s">
        <v>137</v>
      </c>
      <c r="R4" s="31"/>
      <c r="S4" s="31"/>
      <c r="T4" s="31"/>
    </row>
    <row r="5" spans="1:20" ht="14.25" customHeight="1">
      <c r="A5" s="29" t="s">
        <v>0</v>
      </c>
      <c r="B5" s="2" t="s">
        <v>126</v>
      </c>
      <c r="C5" s="2" t="s">
        <v>127</v>
      </c>
      <c r="D5" s="2" t="s">
        <v>126</v>
      </c>
      <c r="E5" s="2" t="s">
        <v>127</v>
      </c>
      <c r="F5" s="3" t="s">
        <v>128</v>
      </c>
      <c r="G5" s="3" t="s">
        <v>129</v>
      </c>
      <c r="H5" s="30" t="s">
        <v>142</v>
      </c>
      <c r="I5" s="31" t="s">
        <v>143</v>
      </c>
      <c r="J5" s="2" t="s">
        <v>144</v>
      </c>
      <c r="K5" s="2" t="s">
        <v>133</v>
      </c>
      <c r="L5" s="31"/>
      <c r="M5" s="31" t="s">
        <v>134</v>
      </c>
      <c r="N5" s="31" t="s">
        <v>135</v>
      </c>
      <c r="O5" s="31" t="s">
        <v>136</v>
      </c>
      <c r="P5" s="31" t="s">
        <v>10</v>
      </c>
      <c r="Q5" s="31" t="s">
        <v>137</v>
      </c>
      <c r="R5" s="31"/>
      <c r="S5" s="31"/>
      <c r="T5" s="31"/>
    </row>
    <row r="6" spans="1:20" ht="14.25" customHeight="1">
      <c r="A6" s="32"/>
      <c r="B6" s="1"/>
      <c r="C6" s="1"/>
      <c r="D6" s="1"/>
      <c r="E6" s="1"/>
      <c r="F6" s="1"/>
      <c r="G6" s="1"/>
      <c r="H6" s="1"/>
      <c r="I6" s="1"/>
      <c r="J6" s="1"/>
      <c r="K6" s="1"/>
      <c r="L6" s="1"/>
      <c r="M6" s="1"/>
      <c r="N6" s="1"/>
      <c r="O6" s="1"/>
      <c r="P6" s="1"/>
      <c r="Q6" s="1"/>
      <c r="R6" s="1"/>
      <c r="S6" s="1"/>
      <c r="T6" s="1"/>
    </row>
    <row r="7" spans="1:20" ht="14.25" customHeight="1">
      <c r="A7" s="32" t="s">
        <v>145</v>
      </c>
      <c r="B7" s="1"/>
      <c r="C7" s="1"/>
      <c r="D7" s="1"/>
      <c r="E7" s="1"/>
      <c r="F7" s="1"/>
      <c r="G7" s="1"/>
      <c r="H7" s="1"/>
      <c r="I7" s="1"/>
      <c r="J7" s="1"/>
      <c r="K7" s="1"/>
      <c r="L7" s="1"/>
      <c r="M7" s="1"/>
      <c r="N7" s="1"/>
      <c r="O7" s="1"/>
      <c r="P7" s="1"/>
      <c r="Q7" s="1"/>
      <c r="R7" s="1"/>
      <c r="S7" s="1"/>
      <c r="T7" s="1"/>
    </row>
    <row r="8" spans="1:20" ht="14.25" customHeight="1">
      <c r="A8" s="1" t="s">
        <v>146</v>
      </c>
      <c r="B8" s="1"/>
      <c r="C8" s="1"/>
      <c r="D8" s="33"/>
      <c r="E8" s="34"/>
      <c r="F8" s="33"/>
      <c r="G8" s="34"/>
      <c r="H8" s="35"/>
      <c r="I8" s="35"/>
      <c r="J8" s="36"/>
      <c r="K8" s="36"/>
    </row>
    <row r="9" spans="1:20" ht="14.25" customHeight="1">
      <c r="A9" s="1" t="s">
        <v>147</v>
      </c>
      <c r="B9" s="1"/>
      <c r="C9" s="1"/>
      <c r="D9" s="33"/>
      <c r="E9" s="34"/>
      <c r="F9" s="33"/>
      <c r="G9" s="34"/>
      <c r="H9" s="35"/>
      <c r="I9" s="35"/>
      <c r="J9" s="36"/>
      <c r="K9" s="36"/>
    </row>
    <row r="10" spans="1:20" ht="14.25" customHeight="1">
      <c r="A10" s="1" t="s">
        <v>148</v>
      </c>
      <c r="B10" s="1"/>
      <c r="C10" s="1"/>
      <c r="D10" s="1"/>
      <c r="E10" s="36"/>
      <c r="F10" s="1"/>
      <c r="G10" s="36"/>
      <c r="H10" s="35"/>
      <c r="I10" s="35"/>
      <c r="J10" s="36"/>
      <c r="K10" s="36"/>
    </row>
    <row r="11" spans="1:20" ht="14.25" customHeight="1">
      <c r="A11" s="1" t="s">
        <v>149</v>
      </c>
      <c r="B11" s="1"/>
      <c r="C11" s="1"/>
      <c r="D11" s="1"/>
      <c r="E11" s="36"/>
      <c r="F11" s="1"/>
      <c r="G11" s="36"/>
      <c r="H11" s="35"/>
      <c r="I11" s="35"/>
      <c r="J11" s="36"/>
      <c r="K11" s="36"/>
    </row>
  </sheetData>
  <autoFilter ref="H1:I976" xr:uid="{00000000-0009-0000-0000-000002000000}"/>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2:I16"/>
  <sheetViews>
    <sheetView showGridLines="0" workbookViewId="0">
      <selection activeCell="E21" sqref="E21"/>
    </sheetView>
  </sheetViews>
  <sheetFormatPr baseColWidth="10" defaultColWidth="14.44140625" defaultRowHeight="15" customHeight="1"/>
  <cols>
    <col min="1" max="2" width="3.109375" customWidth="1"/>
    <col min="3" max="3" width="18.109375" customWidth="1"/>
    <col min="4" max="4" width="23.44140625" customWidth="1"/>
    <col min="5" max="5" width="20.88671875" customWidth="1"/>
    <col min="6" max="7" width="27.5546875" customWidth="1"/>
    <col min="8" max="8" width="52.6640625" customWidth="1"/>
    <col min="9" max="9" width="18.44140625" customWidth="1"/>
    <col min="10" max="12" width="8.88671875" customWidth="1"/>
    <col min="13" max="13" width="20.44140625" customWidth="1"/>
    <col min="14" max="27" width="8.88671875" customWidth="1"/>
  </cols>
  <sheetData>
    <row r="2" spans="2:9" ht="40.5" customHeight="1">
      <c r="B2" s="37" t="s">
        <v>150</v>
      </c>
      <c r="H2" s="38"/>
    </row>
    <row r="3" spans="2:9" ht="60" customHeight="1">
      <c r="B3" s="109" t="s">
        <v>151</v>
      </c>
      <c r="C3" s="105"/>
      <c r="D3" s="105"/>
      <c r="E3" s="105"/>
      <c r="F3" s="105"/>
      <c r="G3" s="105"/>
      <c r="H3" s="105"/>
      <c r="I3" s="105"/>
    </row>
    <row r="4" spans="2:9" ht="8.25" customHeight="1">
      <c r="B4" s="1"/>
      <c r="C4" s="1"/>
      <c r="D4" s="1"/>
      <c r="E4" s="1"/>
      <c r="F4" s="1"/>
      <c r="G4" s="1"/>
      <c r="H4" s="1"/>
      <c r="I4" s="1"/>
    </row>
    <row r="5" spans="2:9" ht="14.25" customHeight="1">
      <c r="B5" s="4" t="s">
        <v>152</v>
      </c>
      <c r="C5" s="4" t="s">
        <v>153</v>
      </c>
      <c r="D5" s="4" t="s">
        <v>154</v>
      </c>
      <c r="E5" s="4" t="s">
        <v>155</v>
      </c>
      <c r="F5" s="39" t="s">
        <v>94</v>
      </c>
      <c r="G5" s="4" t="s">
        <v>156</v>
      </c>
      <c r="H5" s="4" t="s">
        <v>95</v>
      </c>
      <c r="I5" s="40" t="s">
        <v>157</v>
      </c>
    </row>
    <row r="6" spans="2:9" ht="14.25" customHeight="1">
      <c r="B6" s="41"/>
      <c r="C6" s="41"/>
      <c r="D6" s="41"/>
      <c r="E6" s="41"/>
      <c r="F6" s="42"/>
      <c r="G6" s="43"/>
      <c r="H6" s="44"/>
      <c r="I6" s="45"/>
    </row>
    <row r="7" spans="2:9" ht="14.25" customHeight="1">
      <c r="B7" s="41">
        <v>2</v>
      </c>
      <c r="C7" s="41"/>
      <c r="D7" s="41"/>
      <c r="E7" s="41"/>
      <c r="F7" s="42"/>
      <c r="G7" s="43"/>
      <c r="H7" s="44"/>
      <c r="I7" s="45"/>
    </row>
    <row r="8" spans="2:9" ht="14.25" customHeight="1">
      <c r="B8" s="41">
        <v>3</v>
      </c>
      <c r="C8" s="41"/>
      <c r="D8" s="41"/>
      <c r="E8" s="41"/>
      <c r="F8" s="42"/>
      <c r="G8" s="43"/>
      <c r="H8" s="44"/>
      <c r="I8" s="45"/>
    </row>
    <row r="9" spans="2:9" ht="14.25" customHeight="1">
      <c r="B9" s="41">
        <v>4</v>
      </c>
      <c r="C9" s="41"/>
      <c r="D9" s="41"/>
      <c r="E9" s="41"/>
      <c r="F9" s="42"/>
      <c r="G9" s="43"/>
      <c r="H9" s="44"/>
      <c r="I9" s="45"/>
    </row>
    <row r="10" spans="2:9" ht="14.25" customHeight="1">
      <c r="B10" s="41">
        <v>5</v>
      </c>
      <c r="C10" s="41"/>
      <c r="D10" s="41"/>
      <c r="E10" s="41"/>
      <c r="F10" s="42"/>
      <c r="G10" s="43"/>
      <c r="H10" s="44"/>
      <c r="I10" s="45"/>
    </row>
    <row r="11" spans="2:9" ht="14.25" customHeight="1">
      <c r="B11" s="41">
        <v>6</v>
      </c>
      <c r="C11" s="41"/>
      <c r="D11" s="41"/>
      <c r="E11" s="41"/>
      <c r="F11" s="42"/>
      <c r="G11" s="43"/>
      <c r="H11" s="44"/>
      <c r="I11" s="45"/>
    </row>
    <row r="12" spans="2:9" ht="14.25" customHeight="1">
      <c r="B12" s="41">
        <v>7</v>
      </c>
      <c r="C12" s="41"/>
      <c r="D12" s="41"/>
      <c r="E12" s="41"/>
      <c r="F12" s="42"/>
      <c r="G12" s="46"/>
      <c r="H12" s="44"/>
      <c r="I12" s="45"/>
    </row>
    <row r="13" spans="2:9" ht="14.25" customHeight="1">
      <c r="B13" s="41">
        <v>8</v>
      </c>
      <c r="C13" s="41"/>
      <c r="D13" s="41"/>
      <c r="E13" s="41"/>
      <c r="F13" s="42"/>
      <c r="G13" s="46"/>
      <c r="H13" s="44"/>
      <c r="I13" s="45"/>
    </row>
    <row r="14" spans="2:9" ht="14.25" customHeight="1">
      <c r="B14" s="41">
        <v>10</v>
      </c>
      <c r="C14" s="41"/>
      <c r="D14" s="41"/>
      <c r="E14" s="41"/>
      <c r="F14" s="42"/>
      <c r="G14" s="46"/>
      <c r="H14" s="44"/>
      <c r="I14" s="45"/>
    </row>
    <row r="15" spans="2:9" ht="14.25" customHeight="1">
      <c r="B15" s="41">
        <v>11</v>
      </c>
      <c r="C15" s="41"/>
      <c r="D15" s="41"/>
      <c r="E15" s="41"/>
      <c r="F15" s="42"/>
      <c r="G15" s="46"/>
      <c r="H15" s="44"/>
      <c r="I15" s="45"/>
    </row>
    <row r="16" spans="2:9" ht="14.25" customHeight="1">
      <c r="B16" s="41">
        <v>12</v>
      </c>
      <c r="C16" s="41"/>
      <c r="D16" s="41"/>
      <c r="E16" s="41"/>
      <c r="F16" s="42"/>
      <c r="G16" s="46"/>
      <c r="H16" s="44"/>
      <c r="I16" s="45"/>
    </row>
  </sheetData>
  <autoFilter ref="B5:I16" xr:uid="{00000000-0009-0000-0000-000003000000}"/>
  <mergeCells count="1">
    <mergeCell ref="B3:I3"/>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N1226"/>
  <sheetViews>
    <sheetView workbookViewId="0">
      <pane ySplit="2" topLeftCell="A3" activePane="bottomLeft" state="frozen"/>
      <selection pane="bottomLeft" activeCell="B4" sqref="B4"/>
    </sheetView>
  </sheetViews>
  <sheetFormatPr baseColWidth="10" defaultColWidth="14.44140625" defaultRowHeight="15" customHeight="1"/>
  <cols>
    <col min="1" max="1" width="31.33203125" customWidth="1"/>
    <col min="2" max="2" width="18.5546875" customWidth="1"/>
    <col min="3" max="3" width="22.5546875" customWidth="1"/>
    <col min="4" max="4" width="32.88671875" customWidth="1"/>
    <col min="5" max="5" width="40.5546875" customWidth="1"/>
    <col min="6" max="6" width="66.6640625" hidden="1" customWidth="1"/>
    <col min="7" max="7" width="74.109375" customWidth="1"/>
    <col min="8" max="8" width="13.5546875" customWidth="1"/>
    <col min="9" max="9" width="24.44140625" customWidth="1"/>
    <col min="10" max="10" width="60.6640625" customWidth="1"/>
    <col min="11" max="11" width="32.109375" customWidth="1"/>
    <col min="12" max="12" width="28.109375" customWidth="1"/>
    <col min="13" max="13" width="30.44140625" customWidth="1"/>
    <col min="14" max="14" width="27" customWidth="1"/>
    <col min="15" max="15" width="23.88671875" customWidth="1"/>
    <col min="16" max="19" width="47.6640625" customWidth="1"/>
  </cols>
  <sheetData>
    <row r="1" spans="1:14">
      <c r="A1" s="47" t="s">
        <v>92</v>
      </c>
      <c r="B1" s="48" t="s">
        <v>93</v>
      </c>
      <c r="C1" s="48" t="s">
        <v>94</v>
      </c>
      <c r="D1" s="48" t="s">
        <v>156</v>
      </c>
      <c r="E1" s="49" t="s">
        <v>158</v>
      </c>
      <c r="F1" s="48" t="s">
        <v>159</v>
      </c>
      <c r="G1" s="48" t="s">
        <v>160</v>
      </c>
      <c r="H1" s="48" t="s">
        <v>161</v>
      </c>
      <c r="I1" s="48" t="s">
        <v>162</v>
      </c>
      <c r="J1" s="48" t="s">
        <v>163</v>
      </c>
      <c r="K1" s="48" t="s">
        <v>164</v>
      </c>
      <c r="L1" s="48" t="s">
        <v>165</v>
      </c>
      <c r="M1" s="50" t="s">
        <v>166</v>
      </c>
      <c r="N1" s="50" t="s">
        <v>167</v>
      </c>
    </row>
    <row r="2" spans="1:14">
      <c r="A2" s="52" t="s">
        <v>112</v>
      </c>
      <c r="B2" s="52" t="s">
        <v>113</v>
      </c>
      <c r="C2" s="52" t="s">
        <v>168</v>
      </c>
      <c r="D2" s="53" t="s">
        <v>169</v>
      </c>
      <c r="E2" s="54" t="s">
        <v>158</v>
      </c>
      <c r="F2" s="53" t="s">
        <v>170</v>
      </c>
      <c r="G2" s="53" t="s">
        <v>171</v>
      </c>
      <c r="H2" s="53" t="s">
        <v>172</v>
      </c>
      <c r="I2" s="53" t="s">
        <v>173</v>
      </c>
      <c r="J2" s="53" t="s">
        <v>174</v>
      </c>
      <c r="K2" s="53" t="s">
        <v>175</v>
      </c>
      <c r="L2" s="53" t="s">
        <v>176</v>
      </c>
      <c r="M2" s="53" t="s">
        <v>177</v>
      </c>
      <c r="N2" s="53" t="s">
        <v>176</v>
      </c>
    </row>
    <row r="3" spans="1:14">
      <c r="A3" s="55" t="s">
        <v>128</v>
      </c>
      <c r="B3" s="56" t="s">
        <v>129</v>
      </c>
      <c r="C3" s="57" t="s">
        <v>130</v>
      </c>
      <c r="D3" s="58" t="s">
        <v>178</v>
      </c>
      <c r="E3" s="59" t="s">
        <v>178</v>
      </c>
      <c r="F3" s="58" t="str">
        <f t="shared" ref="F3:F94" si="0">UPPER(G3)</f>
        <v>FECHA DE FOTO/DATOS CONFIGURADA EN EL ETL PARA LA EXTRACCIÓN DE DATOS, CORRESPONDE A LA FOTO DEL DÍA ANTERIOR (D-1)</v>
      </c>
      <c r="G3" s="58" t="s">
        <v>179</v>
      </c>
      <c r="H3" s="60" t="s">
        <v>135</v>
      </c>
      <c r="I3" s="60" t="s">
        <v>180</v>
      </c>
      <c r="J3" s="58" t="s">
        <v>181</v>
      </c>
      <c r="K3" s="61" t="s">
        <v>135</v>
      </c>
      <c r="L3" s="60" t="s">
        <v>135</v>
      </c>
      <c r="M3" s="60" t="s">
        <v>182</v>
      </c>
      <c r="N3" s="62" t="s">
        <v>135</v>
      </c>
    </row>
    <row r="4" spans="1:14">
      <c r="A4" s="61" t="s">
        <v>128</v>
      </c>
      <c r="B4" s="56" t="s">
        <v>129</v>
      </c>
      <c r="C4" s="57" t="s">
        <v>130</v>
      </c>
      <c r="D4" s="63" t="s">
        <v>183</v>
      </c>
      <c r="E4" s="64" t="s">
        <v>184</v>
      </c>
      <c r="F4" s="58" t="str">
        <f t="shared" si="0"/>
        <v>CÓDIGO DEL COMERCIO</v>
      </c>
      <c r="G4" s="63" t="s">
        <v>185</v>
      </c>
      <c r="H4" s="62" t="s">
        <v>135</v>
      </c>
      <c r="I4" s="65" t="s">
        <v>186</v>
      </c>
      <c r="J4" s="63">
        <v>568079190000</v>
      </c>
      <c r="K4" s="65" t="s">
        <v>135</v>
      </c>
      <c r="L4" s="62" t="s">
        <v>182</v>
      </c>
      <c r="M4" s="62" t="s">
        <v>135</v>
      </c>
      <c r="N4" s="62" t="s">
        <v>135</v>
      </c>
    </row>
    <row r="5" spans="1:14">
      <c r="A5" s="65" t="s">
        <v>128</v>
      </c>
      <c r="B5" s="56" t="s">
        <v>129</v>
      </c>
      <c r="C5" s="57" t="s">
        <v>130</v>
      </c>
      <c r="D5" s="63" t="s">
        <v>187</v>
      </c>
      <c r="E5" s="64" t="s">
        <v>188</v>
      </c>
      <c r="F5" s="58" t="str">
        <f t="shared" si="0"/>
        <v>TIPO DE ADQUIRENTE/CAJERO CORRESPONSAL</v>
      </c>
      <c r="G5" s="63" t="s">
        <v>189</v>
      </c>
      <c r="H5" s="62" t="s">
        <v>135</v>
      </c>
      <c r="I5" s="65" t="s">
        <v>186</v>
      </c>
      <c r="J5" s="63" t="s">
        <v>190</v>
      </c>
      <c r="K5" s="65" t="s">
        <v>135</v>
      </c>
      <c r="L5" s="62" t="s">
        <v>182</v>
      </c>
      <c r="M5" s="62" t="s">
        <v>135</v>
      </c>
      <c r="N5" s="62" t="s">
        <v>135</v>
      </c>
    </row>
    <row r="6" spans="1:14">
      <c r="A6" s="61" t="s">
        <v>128</v>
      </c>
      <c r="B6" s="56" t="s">
        <v>129</v>
      </c>
      <c r="C6" s="57" t="s">
        <v>130</v>
      </c>
      <c r="D6" s="66"/>
      <c r="E6" s="64" t="s">
        <v>191</v>
      </c>
      <c r="F6" s="58" t="str">
        <f t="shared" si="0"/>
        <v>NOMBRE DEL COMERCIO</v>
      </c>
      <c r="G6" s="63" t="s">
        <v>192</v>
      </c>
      <c r="H6" s="62" t="s">
        <v>135</v>
      </c>
      <c r="I6" s="65" t="s">
        <v>186</v>
      </c>
      <c r="J6" s="63" t="s">
        <v>193</v>
      </c>
      <c r="K6" s="65" t="s">
        <v>135</v>
      </c>
      <c r="L6" s="62" t="s">
        <v>182</v>
      </c>
      <c r="M6" s="62" t="s">
        <v>135</v>
      </c>
      <c r="N6" s="62" t="s">
        <v>135</v>
      </c>
    </row>
    <row r="7" spans="1:14">
      <c r="A7" s="61" t="s">
        <v>128</v>
      </c>
      <c r="B7" s="56" t="s">
        <v>129</v>
      </c>
      <c r="C7" s="57" t="s">
        <v>130</v>
      </c>
      <c r="D7" s="66"/>
      <c r="E7" s="64" t="s">
        <v>194</v>
      </c>
      <c r="F7" s="58" t="str">
        <f t="shared" si="0"/>
        <v>CÓDIGO DEL GIRO DEL COMERCIO</v>
      </c>
      <c r="G7" s="63" t="s">
        <v>195</v>
      </c>
      <c r="H7" s="62" t="s">
        <v>135</v>
      </c>
      <c r="I7" s="65" t="s">
        <v>186</v>
      </c>
      <c r="J7" s="63">
        <v>5944</v>
      </c>
      <c r="K7" s="65" t="s">
        <v>135</v>
      </c>
      <c r="L7" s="62" t="s">
        <v>182</v>
      </c>
      <c r="M7" s="62" t="s">
        <v>135</v>
      </c>
      <c r="N7" s="62" t="s">
        <v>135</v>
      </c>
    </row>
    <row r="8" spans="1:14">
      <c r="A8" s="65" t="s">
        <v>128</v>
      </c>
      <c r="B8" s="56" t="s">
        <v>129</v>
      </c>
      <c r="C8" s="57" t="s">
        <v>130</v>
      </c>
      <c r="D8" s="66"/>
      <c r="E8" s="64">
        <v>1</v>
      </c>
      <c r="F8" s="58" t="str">
        <f t="shared" si="0"/>
        <v>CÓDIGO DE LA SITUACIÓN DEL COMERCIO</v>
      </c>
      <c r="G8" s="63" t="s">
        <v>196</v>
      </c>
      <c r="H8" s="62" t="s">
        <v>135</v>
      </c>
      <c r="I8" s="62" t="s">
        <v>186</v>
      </c>
      <c r="J8" s="67">
        <v>3</v>
      </c>
      <c r="K8" s="62" t="s">
        <v>135</v>
      </c>
      <c r="L8" s="65" t="s">
        <v>182</v>
      </c>
      <c r="M8" s="62" t="s">
        <v>135</v>
      </c>
      <c r="N8" s="62" t="s">
        <v>182</v>
      </c>
    </row>
    <row r="9" spans="1:14">
      <c r="A9" s="65" t="s">
        <v>128</v>
      </c>
      <c r="B9" s="56" t="s">
        <v>129</v>
      </c>
      <c r="C9" s="57" t="s">
        <v>130</v>
      </c>
      <c r="D9" s="66"/>
      <c r="E9" s="64" t="s">
        <v>197</v>
      </c>
      <c r="F9" s="58" t="str">
        <f t="shared" si="0"/>
        <v>DESCRIPCIÓN DEL ESTADO O SITUACIÓN DEL COMERCIO</v>
      </c>
      <c r="G9" s="63" t="s">
        <v>198</v>
      </c>
      <c r="H9" s="62" t="s">
        <v>135</v>
      </c>
      <c r="I9" s="65" t="s">
        <v>186</v>
      </c>
      <c r="J9" s="63" t="s">
        <v>199</v>
      </c>
      <c r="K9" s="65" t="s">
        <v>135</v>
      </c>
      <c r="L9" s="62" t="s">
        <v>182</v>
      </c>
      <c r="M9" s="62" t="s">
        <v>135</v>
      </c>
      <c r="N9" s="62" t="s">
        <v>135</v>
      </c>
    </row>
    <row r="10" spans="1:14">
      <c r="A10" s="65" t="s">
        <v>128</v>
      </c>
      <c r="B10" s="56" t="s">
        <v>129</v>
      </c>
      <c r="C10" s="57" t="s">
        <v>130</v>
      </c>
      <c r="D10" s="63" t="s">
        <v>200</v>
      </c>
      <c r="E10" s="64" t="s">
        <v>201</v>
      </c>
      <c r="F10" s="58" t="str">
        <f t="shared" si="0"/>
        <v>CATEGORÍA DEL COMERCIO SEGÚN CLASIFICACIÓN</v>
      </c>
      <c r="G10" s="63" t="s">
        <v>202</v>
      </c>
      <c r="H10" s="62" t="s">
        <v>135</v>
      </c>
      <c r="I10" s="65" t="s">
        <v>186</v>
      </c>
      <c r="J10" s="63" t="s">
        <v>203</v>
      </c>
      <c r="K10" s="65" t="s">
        <v>135</v>
      </c>
      <c r="L10" s="62" t="s">
        <v>182</v>
      </c>
      <c r="M10" s="62" t="s">
        <v>135</v>
      </c>
      <c r="N10" s="62" t="s">
        <v>135</v>
      </c>
    </row>
    <row r="11" spans="1:14">
      <c r="A11" s="61" t="s">
        <v>128</v>
      </c>
      <c r="B11" s="56" t="s">
        <v>129</v>
      </c>
      <c r="C11" s="57" t="s">
        <v>130</v>
      </c>
      <c r="D11" s="66"/>
      <c r="E11" s="64" t="s">
        <v>204</v>
      </c>
      <c r="F11" s="58" t="str">
        <f t="shared" si="0"/>
        <v>RAZÓN SOCIAL (ORIGEN: MCCENTER)</v>
      </c>
      <c r="G11" s="63" t="s">
        <v>205</v>
      </c>
      <c r="H11" s="62" t="s">
        <v>135</v>
      </c>
      <c r="I11" s="65" t="s">
        <v>186</v>
      </c>
      <c r="J11" s="63" t="s">
        <v>206</v>
      </c>
      <c r="K11" s="65" t="s">
        <v>182</v>
      </c>
      <c r="L11" s="62" t="s">
        <v>182</v>
      </c>
      <c r="M11" s="62" t="s">
        <v>135</v>
      </c>
      <c r="N11" s="62" t="s">
        <v>135</v>
      </c>
    </row>
    <row r="12" spans="1:14">
      <c r="A12" s="65" t="s">
        <v>128</v>
      </c>
      <c r="B12" s="56" t="s">
        <v>129</v>
      </c>
      <c r="C12" s="57" t="s">
        <v>130</v>
      </c>
      <c r="D12" s="68" t="s">
        <v>207</v>
      </c>
      <c r="E12" s="64" t="s">
        <v>208</v>
      </c>
      <c r="F12" s="58" t="str">
        <f t="shared" si="0"/>
        <v>NÚMERO DE IDENTIFICACIÓN DEL COMERCIO (RUC, DNI, CARNET DE EXTRANJERÍA)</v>
      </c>
      <c r="G12" s="63" t="s">
        <v>209</v>
      </c>
      <c r="H12" s="62" t="s">
        <v>182</v>
      </c>
      <c r="I12" s="65" t="s">
        <v>186</v>
      </c>
      <c r="J12" s="63">
        <v>10400533488</v>
      </c>
      <c r="K12" s="65" t="s">
        <v>135</v>
      </c>
      <c r="L12" s="62" t="s">
        <v>182</v>
      </c>
      <c r="M12" s="62" t="s">
        <v>135</v>
      </c>
      <c r="N12" s="62" t="s">
        <v>135</v>
      </c>
    </row>
    <row r="13" spans="1:14">
      <c r="A13" s="61" t="s">
        <v>128</v>
      </c>
      <c r="B13" s="56" t="s">
        <v>129</v>
      </c>
      <c r="C13" s="57" t="s">
        <v>130</v>
      </c>
      <c r="D13" s="66"/>
      <c r="E13" s="64" t="s">
        <v>210</v>
      </c>
      <c r="F13" s="58" t="str">
        <f t="shared" si="0"/>
        <v>DIRECCIÓN DEL COMERCIO</v>
      </c>
      <c r="G13" s="63" t="s">
        <v>211</v>
      </c>
      <c r="H13" s="62" t="s">
        <v>135</v>
      </c>
      <c r="I13" s="65" t="s">
        <v>186</v>
      </c>
      <c r="J13" s="63" t="s">
        <v>212</v>
      </c>
      <c r="K13" s="65" t="s">
        <v>135</v>
      </c>
      <c r="L13" s="62" t="s">
        <v>182</v>
      </c>
      <c r="M13" s="62" t="s">
        <v>135</v>
      </c>
      <c r="N13" s="62" t="s">
        <v>135</v>
      </c>
    </row>
    <row r="14" spans="1:14">
      <c r="A14" s="61" t="s">
        <v>128</v>
      </c>
      <c r="B14" s="56" t="s">
        <v>129</v>
      </c>
      <c r="C14" s="57" t="s">
        <v>130</v>
      </c>
      <c r="D14" s="66"/>
      <c r="E14" s="64" t="s">
        <v>213</v>
      </c>
      <c r="F14" s="58" t="str">
        <f t="shared" si="0"/>
        <v>DEPARTAMENTO DEL COMERCIO</v>
      </c>
      <c r="G14" s="63" t="s">
        <v>214</v>
      </c>
      <c r="H14" s="62" t="s">
        <v>135</v>
      </c>
      <c r="I14" s="65" t="s">
        <v>186</v>
      </c>
      <c r="J14" s="63" t="s">
        <v>215</v>
      </c>
      <c r="K14" s="65" t="s">
        <v>135</v>
      </c>
      <c r="L14" s="62" t="s">
        <v>182</v>
      </c>
      <c r="M14" s="62" t="s">
        <v>135</v>
      </c>
      <c r="N14" s="62" t="s">
        <v>135</v>
      </c>
    </row>
    <row r="15" spans="1:14">
      <c r="A15" s="61" t="s">
        <v>128</v>
      </c>
      <c r="B15" s="56" t="s">
        <v>129</v>
      </c>
      <c r="C15" s="57" t="s">
        <v>130</v>
      </c>
      <c r="D15" s="66"/>
      <c r="E15" s="64" t="s">
        <v>216</v>
      </c>
      <c r="F15" s="58" t="str">
        <f t="shared" si="0"/>
        <v>PROVINCIA DEL COMERCIO</v>
      </c>
      <c r="G15" s="63" t="s">
        <v>217</v>
      </c>
      <c r="H15" s="62" t="s">
        <v>135</v>
      </c>
      <c r="I15" s="65" t="s">
        <v>186</v>
      </c>
      <c r="J15" s="63" t="s">
        <v>215</v>
      </c>
      <c r="K15" s="65" t="s">
        <v>135</v>
      </c>
      <c r="L15" s="62" t="s">
        <v>182</v>
      </c>
      <c r="M15" s="62" t="s">
        <v>135</v>
      </c>
      <c r="N15" s="62" t="s">
        <v>135</v>
      </c>
    </row>
    <row r="16" spans="1:14">
      <c r="A16" s="61" t="s">
        <v>128</v>
      </c>
      <c r="B16" s="56" t="s">
        <v>129</v>
      </c>
      <c r="C16" s="57" t="s">
        <v>130</v>
      </c>
      <c r="D16" s="66"/>
      <c r="E16" s="64" t="s">
        <v>218</v>
      </c>
      <c r="F16" s="58" t="str">
        <f t="shared" si="0"/>
        <v>DISTRITO DEL COMERCIO</v>
      </c>
      <c r="G16" s="63" t="s">
        <v>219</v>
      </c>
      <c r="H16" s="62" t="s">
        <v>135</v>
      </c>
      <c r="I16" s="65" t="s">
        <v>186</v>
      </c>
      <c r="J16" s="63" t="s">
        <v>215</v>
      </c>
      <c r="K16" s="65" t="s">
        <v>135</v>
      </c>
      <c r="L16" s="62" t="s">
        <v>182</v>
      </c>
      <c r="M16" s="62" t="s">
        <v>135</v>
      </c>
      <c r="N16" s="62" t="s">
        <v>135</v>
      </c>
    </row>
    <row r="17" spans="1:14">
      <c r="A17" s="69" t="s">
        <v>128</v>
      </c>
      <c r="B17" s="70" t="s">
        <v>129</v>
      </c>
      <c r="C17" s="71" t="s">
        <v>130</v>
      </c>
      <c r="D17" s="72"/>
      <c r="E17" s="72" t="s">
        <v>220</v>
      </c>
      <c r="F17" s="73" t="str">
        <f t="shared" si="0"/>
        <v>FLAG QUE INDICA SI EL POS ESTÁ ASIGNADO A MÁS DE 1 CÓDIGO DE COMERCIO</v>
      </c>
      <c r="G17" s="72" t="s">
        <v>221</v>
      </c>
      <c r="H17" s="74" t="s">
        <v>135</v>
      </c>
      <c r="I17" s="69" t="s">
        <v>222</v>
      </c>
      <c r="J17" s="72" t="s">
        <v>223</v>
      </c>
      <c r="K17" s="69" t="s">
        <v>135</v>
      </c>
      <c r="L17" s="74" t="s">
        <v>182</v>
      </c>
      <c r="M17" s="74" t="s">
        <v>135</v>
      </c>
      <c r="N17" s="74" t="s">
        <v>135</v>
      </c>
    </row>
    <row r="18" spans="1:14">
      <c r="A18" s="61" t="s">
        <v>128</v>
      </c>
      <c r="B18" s="56" t="s">
        <v>129</v>
      </c>
      <c r="C18" s="57" t="s">
        <v>130</v>
      </c>
      <c r="D18" s="68" t="s">
        <v>224</v>
      </c>
      <c r="E18" s="64" t="s">
        <v>225</v>
      </c>
      <c r="F18" s="58" t="str">
        <f t="shared" si="0"/>
        <v>TELÉFONO DEL COMERCIO</v>
      </c>
      <c r="G18" s="63" t="s">
        <v>226</v>
      </c>
      <c r="H18" s="62" t="s">
        <v>182</v>
      </c>
      <c r="I18" s="65" t="s">
        <v>227</v>
      </c>
      <c r="J18" s="63">
        <v>987782071</v>
      </c>
      <c r="K18" s="65" t="s">
        <v>135</v>
      </c>
      <c r="L18" s="62" t="s">
        <v>182</v>
      </c>
      <c r="M18" s="62" t="s">
        <v>135</v>
      </c>
      <c r="N18" s="62" t="s">
        <v>135</v>
      </c>
    </row>
    <row r="19" spans="1:14">
      <c r="A19" s="65" t="s">
        <v>128</v>
      </c>
      <c r="B19" s="56" t="s">
        <v>129</v>
      </c>
      <c r="C19" s="57" t="s">
        <v>130</v>
      </c>
      <c r="D19" s="68" t="s">
        <v>228</v>
      </c>
      <c r="E19" s="64" t="s">
        <v>229</v>
      </c>
      <c r="F19" s="58" t="str">
        <f t="shared" si="0"/>
        <v>INDICA EL NOMBRE DEL CONTACTO DEL COMERCIO</v>
      </c>
      <c r="G19" s="63" t="s">
        <v>230</v>
      </c>
      <c r="H19" s="62" t="s">
        <v>182</v>
      </c>
      <c r="I19" s="65" t="s">
        <v>227</v>
      </c>
      <c r="J19" s="63"/>
      <c r="K19" s="65" t="s">
        <v>135</v>
      </c>
      <c r="L19" s="62" t="s">
        <v>182</v>
      </c>
      <c r="M19" s="62" t="s">
        <v>135</v>
      </c>
      <c r="N19" s="62" t="s">
        <v>182</v>
      </c>
    </row>
    <row r="20" spans="1:14">
      <c r="A20" s="65" t="s">
        <v>128</v>
      </c>
      <c r="B20" s="56" t="s">
        <v>129</v>
      </c>
      <c r="C20" s="57" t="s">
        <v>130</v>
      </c>
      <c r="D20" s="63" t="s">
        <v>231</v>
      </c>
      <c r="E20" s="64" t="s">
        <v>232</v>
      </c>
      <c r="F20" s="58" t="str">
        <f t="shared" si="0"/>
        <v>INDICA LAS OPCIONES QUE TIENE HABILITADO EL COMERCIO</v>
      </c>
      <c r="G20" s="63" t="s">
        <v>233</v>
      </c>
      <c r="H20" s="62" t="s">
        <v>135</v>
      </c>
      <c r="I20" s="65" t="s">
        <v>186</v>
      </c>
      <c r="J20" s="63" t="s">
        <v>234</v>
      </c>
      <c r="K20" s="65" t="s">
        <v>135</v>
      </c>
      <c r="L20" s="62" t="s">
        <v>182</v>
      </c>
      <c r="M20" s="62" t="s">
        <v>135</v>
      </c>
      <c r="N20" s="62" t="s">
        <v>135</v>
      </c>
    </row>
    <row r="21" spans="1:14">
      <c r="A21" s="61" t="s">
        <v>128</v>
      </c>
      <c r="B21" s="56" t="s">
        <v>129</v>
      </c>
      <c r="C21" s="57" t="s">
        <v>130</v>
      </c>
      <c r="D21" s="63" t="s">
        <v>235</v>
      </c>
      <c r="E21" s="64" t="s">
        <v>236</v>
      </c>
      <c r="F21" s="58" t="str">
        <f t="shared" si="0"/>
        <v>INDICA LA ACTUALIZACIÓN DEL POS DEL COMERCIO</v>
      </c>
      <c r="G21" s="63" t="s">
        <v>237</v>
      </c>
      <c r="H21" s="62" t="s">
        <v>135</v>
      </c>
      <c r="I21" s="65" t="s">
        <v>186</v>
      </c>
      <c r="J21" s="63" t="s">
        <v>238</v>
      </c>
      <c r="K21" s="65" t="s">
        <v>135</v>
      </c>
      <c r="L21" s="62" t="s">
        <v>182</v>
      </c>
      <c r="M21" s="62" t="s">
        <v>135</v>
      </c>
      <c r="N21" s="62" t="s">
        <v>135</v>
      </c>
    </row>
    <row r="22" spans="1:14">
      <c r="A22" s="65" t="s">
        <v>128</v>
      </c>
      <c r="B22" s="56" t="s">
        <v>129</v>
      </c>
      <c r="C22" s="57" t="s">
        <v>130</v>
      </c>
      <c r="D22" s="63" t="s">
        <v>239</v>
      </c>
      <c r="E22" s="64" t="s">
        <v>240</v>
      </c>
      <c r="F22" s="58" t="str">
        <f t="shared" si="0"/>
        <v>CÓDIGO DE TERMINAL</v>
      </c>
      <c r="G22" s="63" t="s">
        <v>241</v>
      </c>
      <c r="H22" s="62" t="s">
        <v>135</v>
      </c>
      <c r="I22" s="65" t="s">
        <v>186</v>
      </c>
      <c r="J22" s="63">
        <v>1</v>
      </c>
      <c r="K22" s="65" t="s">
        <v>135</v>
      </c>
      <c r="L22" s="62" t="s">
        <v>182</v>
      </c>
      <c r="M22" s="62" t="s">
        <v>135</v>
      </c>
      <c r="N22" s="62" t="s">
        <v>135</v>
      </c>
    </row>
    <row r="23" spans="1:14">
      <c r="A23" s="61" t="s">
        <v>128</v>
      </c>
      <c r="B23" s="56" t="s">
        <v>129</v>
      </c>
      <c r="C23" s="57" t="s">
        <v>130</v>
      </c>
      <c r="D23" s="63" t="s">
        <v>242</v>
      </c>
      <c r="E23" s="64" t="s">
        <v>243</v>
      </c>
      <c r="F23" s="58" t="str">
        <f t="shared" si="0"/>
        <v>NÚMERO DE SERIE DEL POS (INICIAL, SOLO LOS 8 ÚLTIMOS DÍGITOS). ES LA QUE FIGURA EN EL SISTEMA MCCENTER, PUEDE SER LA SERIE CORTA, ÚLTIMOS 8 Ó LA SERIE AUTOGENERADA DEL MPOS</v>
      </c>
      <c r="G23" s="63" t="s">
        <v>244</v>
      </c>
      <c r="H23" s="62" t="s">
        <v>135</v>
      </c>
      <c r="I23" s="65" t="s">
        <v>186</v>
      </c>
      <c r="J23" s="63" t="s">
        <v>245</v>
      </c>
      <c r="K23" s="65" t="s">
        <v>135</v>
      </c>
      <c r="L23" s="62" t="s">
        <v>182</v>
      </c>
      <c r="M23" s="62" t="s">
        <v>135</v>
      </c>
      <c r="N23" s="62" t="s">
        <v>135</v>
      </c>
    </row>
    <row r="24" spans="1:14">
      <c r="A24" s="65" t="s">
        <v>128</v>
      </c>
      <c r="B24" s="56" t="s">
        <v>129</v>
      </c>
      <c r="C24" s="57" t="s">
        <v>130</v>
      </c>
      <c r="D24" s="63" t="s">
        <v>246</v>
      </c>
      <c r="E24" s="64" t="s">
        <v>247</v>
      </c>
      <c r="F24" s="58" t="str">
        <f t="shared" si="0"/>
        <v>TIPO DE CONEXIÓN DEL POS ESPECÍFICO</v>
      </c>
      <c r="G24" s="63" t="s">
        <v>248</v>
      </c>
      <c r="H24" s="62" t="s">
        <v>135</v>
      </c>
      <c r="I24" s="65" t="s">
        <v>186</v>
      </c>
      <c r="J24" s="63" t="s">
        <v>249</v>
      </c>
      <c r="K24" s="65" t="s">
        <v>135</v>
      </c>
      <c r="L24" s="62" t="s">
        <v>182</v>
      </c>
      <c r="M24" s="62" t="s">
        <v>135</v>
      </c>
      <c r="N24" s="62" t="s">
        <v>135</v>
      </c>
    </row>
    <row r="25" spans="1:14">
      <c r="A25" s="61" t="s">
        <v>128</v>
      </c>
      <c r="B25" s="56" t="s">
        <v>129</v>
      </c>
      <c r="C25" s="57" t="s">
        <v>130</v>
      </c>
      <c r="D25" s="63" t="s">
        <v>250</v>
      </c>
      <c r="E25" s="64" t="s">
        <v>251</v>
      </c>
      <c r="F25" s="58" t="str">
        <f t="shared" si="0"/>
        <v>TIPO DE CONEXIÓN DEL POS</v>
      </c>
      <c r="G25" s="63" t="s">
        <v>252</v>
      </c>
      <c r="H25" s="62" t="s">
        <v>135</v>
      </c>
      <c r="I25" s="65" t="s">
        <v>186</v>
      </c>
      <c r="J25" s="63" t="s">
        <v>253</v>
      </c>
      <c r="K25" s="65" t="s">
        <v>135</v>
      </c>
      <c r="L25" s="62" t="s">
        <v>182</v>
      </c>
      <c r="M25" s="62" t="s">
        <v>135</v>
      </c>
      <c r="N25" s="62" t="s">
        <v>135</v>
      </c>
    </row>
    <row r="26" spans="1:14">
      <c r="A26" s="65" t="s">
        <v>128</v>
      </c>
      <c r="B26" s="56" t="s">
        <v>129</v>
      </c>
      <c r="C26" s="57" t="s">
        <v>130</v>
      </c>
      <c r="D26" s="63" t="s">
        <v>254</v>
      </c>
      <c r="E26" s="64" t="s">
        <v>255</v>
      </c>
      <c r="F26" s="58" t="str">
        <f t="shared" si="0"/>
        <v>NOMBRE DEL TIPO DE TERMINAL/EQUIPO DEL COMERCIO</v>
      </c>
      <c r="G26" s="63" t="s">
        <v>256</v>
      </c>
      <c r="H26" s="62" t="s">
        <v>135</v>
      </c>
      <c r="I26" s="65" t="s">
        <v>186</v>
      </c>
      <c r="J26" s="63" t="s">
        <v>257</v>
      </c>
      <c r="K26" s="65" t="s">
        <v>135</v>
      </c>
      <c r="L26" s="62" t="s">
        <v>182</v>
      </c>
      <c r="M26" s="62" t="s">
        <v>135</v>
      </c>
      <c r="N26" s="62" t="s">
        <v>135</v>
      </c>
    </row>
    <row r="27" spans="1:14">
      <c r="A27" s="65" t="s">
        <v>128</v>
      </c>
      <c r="B27" s="56" t="s">
        <v>129</v>
      </c>
      <c r="C27" s="57" t="s">
        <v>130</v>
      </c>
      <c r="D27" s="63" t="s">
        <v>258</v>
      </c>
      <c r="E27" s="64" t="s">
        <v>259</v>
      </c>
      <c r="F27" s="58" t="str">
        <f t="shared" si="0"/>
        <v>FECHA DE ÚLTIMA CONEXIÓN CON MCCENTER</v>
      </c>
      <c r="G27" s="63" t="s">
        <v>260</v>
      </c>
      <c r="H27" s="62" t="s">
        <v>135</v>
      </c>
      <c r="I27" s="65" t="s">
        <v>180</v>
      </c>
      <c r="J27" s="76">
        <v>45689</v>
      </c>
      <c r="K27" s="65" t="s">
        <v>135</v>
      </c>
      <c r="L27" s="62" t="s">
        <v>182</v>
      </c>
      <c r="M27" s="62" t="s">
        <v>135</v>
      </c>
      <c r="N27" s="62" t="s">
        <v>135</v>
      </c>
    </row>
    <row r="28" spans="1:14">
      <c r="A28" s="61" t="s">
        <v>128</v>
      </c>
      <c r="B28" s="56" t="s">
        <v>129</v>
      </c>
      <c r="C28" s="57" t="s">
        <v>130</v>
      </c>
      <c r="D28" s="63" t="s">
        <v>261</v>
      </c>
      <c r="E28" s="64" t="s">
        <v>262</v>
      </c>
      <c r="F28" s="58" t="str">
        <f t="shared" si="0"/>
        <v>FECHA DE ÚLTIMA TRANSACCIÓN FINANCIERA</v>
      </c>
      <c r="G28" s="63" t="s">
        <v>263</v>
      </c>
      <c r="H28" s="62" t="s">
        <v>135</v>
      </c>
      <c r="I28" s="65" t="s">
        <v>180</v>
      </c>
      <c r="J28" s="76">
        <v>45689</v>
      </c>
      <c r="K28" s="65" t="s">
        <v>135</v>
      </c>
      <c r="L28" s="62" t="s">
        <v>182</v>
      </c>
      <c r="M28" s="62" t="s">
        <v>135</v>
      </c>
      <c r="N28" s="62" t="s">
        <v>135</v>
      </c>
    </row>
    <row r="29" spans="1:14">
      <c r="A29" s="65" t="s">
        <v>128</v>
      </c>
      <c r="B29" s="56" t="s">
        <v>129</v>
      </c>
      <c r="C29" s="57" t="s">
        <v>130</v>
      </c>
      <c r="D29" s="63" t="s">
        <v>264</v>
      </c>
      <c r="E29" s="64" t="s">
        <v>265</v>
      </c>
      <c r="F29" s="58" t="str">
        <f t="shared" si="0"/>
        <v>FECHA DE ÚLTIMA TRANSACCIÓN ADMINISTRATIVA</v>
      </c>
      <c r="G29" s="63" t="s">
        <v>266</v>
      </c>
      <c r="H29" s="62" t="s">
        <v>135</v>
      </c>
      <c r="I29" s="65" t="s">
        <v>180</v>
      </c>
      <c r="J29" s="76">
        <v>45689</v>
      </c>
      <c r="K29" s="65" t="s">
        <v>135</v>
      </c>
      <c r="L29" s="62" t="s">
        <v>182</v>
      </c>
      <c r="M29" s="62" t="s">
        <v>135</v>
      </c>
      <c r="N29" s="62" t="s">
        <v>135</v>
      </c>
    </row>
    <row r="30" spans="1:14">
      <c r="A30" s="61" t="s">
        <v>128</v>
      </c>
      <c r="B30" s="56" t="s">
        <v>129</v>
      </c>
      <c r="C30" s="57" t="s">
        <v>130</v>
      </c>
      <c r="D30" s="63" t="s">
        <v>267</v>
      </c>
      <c r="E30" s="64" t="s">
        <v>268</v>
      </c>
      <c r="F30" s="58" t="str">
        <f t="shared" si="0"/>
        <v>SITUACIÓN DE TERMINAL SEGÚN LA ÚLTIMA TRANSACCIÓN DE POS</v>
      </c>
      <c r="G30" s="63" t="s">
        <v>269</v>
      </c>
      <c r="H30" s="62" t="s">
        <v>135</v>
      </c>
      <c r="I30" s="65" t="s">
        <v>186</v>
      </c>
      <c r="J30" s="58" t="s">
        <v>270</v>
      </c>
      <c r="K30" s="65" t="s">
        <v>135</v>
      </c>
      <c r="L30" s="62" t="s">
        <v>182</v>
      </c>
      <c r="M30" s="62" t="s">
        <v>135</v>
      </c>
      <c r="N30" s="62" t="s">
        <v>135</v>
      </c>
    </row>
    <row r="31" spans="1:14">
      <c r="A31" s="65" t="s">
        <v>128</v>
      </c>
      <c r="B31" s="56" t="s">
        <v>129</v>
      </c>
      <c r="C31" s="57" t="s">
        <v>130</v>
      </c>
      <c r="D31" s="63" t="s">
        <v>271</v>
      </c>
      <c r="E31" s="64" t="s">
        <v>272</v>
      </c>
      <c r="F31" s="58" t="str">
        <f t="shared" si="0"/>
        <v>MODELO DEL EQUIPO (GENERAL)</v>
      </c>
      <c r="G31" s="63" t="s">
        <v>273</v>
      </c>
      <c r="H31" s="62" t="s">
        <v>135</v>
      </c>
      <c r="I31" s="65" t="s">
        <v>186</v>
      </c>
      <c r="J31" s="58" t="s">
        <v>274</v>
      </c>
      <c r="K31" s="65" t="s">
        <v>135</v>
      </c>
      <c r="L31" s="62" t="s">
        <v>182</v>
      </c>
      <c r="M31" s="62" t="s">
        <v>135</v>
      </c>
      <c r="N31" s="62" t="s">
        <v>135</v>
      </c>
    </row>
    <row r="32" spans="1:14">
      <c r="A32" s="61" t="s">
        <v>128</v>
      </c>
      <c r="B32" s="56" t="s">
        <v>129</v>
      </c>
      <c r="C32" s="57" t="s">
        <v>130</v>
      </c>
      <c r="D32" s="63" t="s">
        <v>275</v>
      </c>
      <c r="E32" s="64" t="s">
        <v>276</v>
      </c>
      <c r="F32" s="58" t="str">
        <f t="shared" si="0"/>
        <v>MODELO DEL EQUIPO (CÓDIGO DEL MODELO)</v>
      </c>
      <c r="G32" s="63" t="s">
        <v>277</v>
      </c>
      <c r="H32" s="62" t="s">
        <v>135</v>
      </c>
      <c r="I32" s="65" t="s">
        <v>186</v>
      </c>
      <c r="J32" s="58" t="s">
        <v>278</v>
      </c>
      <c r="K32" s="65" t="s">
        <v>135</v>
      </c>
      <c r="L32" s="62" t="s">
        <v>182</v>
      </c>
      <c r="M32" s="62" t="s">
        <v>135</v>
      </c>
      <c r="N32" s="62" t="s">
        <v>135</v>
      </c>
    </row>
    <row r="33" spans="1:14">
      <c r="A33" s="61" t="s">
        <v>128</v>
      </c>
      <c r="B33" s="56" t="s">
        <v>129</v>
      </c>
      <c r="C33" s="57" t="s">
        <v>130</v>
      </c>
      <c r="D33" s="63" t="s">
        <v>279</v>
      </c>
      <c r="E33" s="64" t="s">
        <v>280</v>
      </c>
      <c r="F33" s="58" t="str">
        <f t="shared" si="0"/>
        <v>VERSIÓN DEL SOFTWARE BASE (ORIGEN: MCCENTER)</v>
      </c>
      <c r="G33" s="63" t="s">
        <v>281</v>
      </c>
      <c r="H33" s="62" t="s">
        <v>135</v>
      </c>
      <c r="I33" s="65" t="s">
        <v>186</v>
      </c>
      <c r="J33" s="63" t="s">
        <v>282</v>
      </c>
      <c r="K33" s="65" t="s">
        <v>135</v>
      </c>
      <c r="L33" s="62" t="s">
        <v>182</v>
      </c>
      <c r="M33" s="62" t="s">
        <v>135</v>
      </c>
      <c r="N33" s="62" t="s">
        <v>135</v>
      </c>
    </row>
    <row r="34" spans="1:14">
      <c r="A34" s="65" t="s">
        <v>128</v>
      </c>
      <c r="B34" s="56" t="s">
        <v>129</v>
      </c>
      <c r="C34" s="57" t="s">
        <v>130</v>
      </c>
      <c r="D34" s="63" t="s">
        <v>283</v>
      </c>
      <c r="E34" s="64" t="s">
        <v>284</v>
      </c>
      <c r="F34" s="58" t="str">
        <f t="shared" si="0"/>
        <v>INDICA LA VERSIÓN DE FIRMWARE CONTACTLESS QUE POSEE EL TERMINAL</v>
      </c>
      <c r="G34" s="63" t="s">
        <v>285</v>
      </c>
      <c r="H34" s="62" t="s">
        <v>135</v>
      </c>
      <c r="I34" s="65" t="s">
        <v>186</v>
      </c>
      <c r="J34" s="77" t="s">
        <v>286</v>
      </c>
      <c r="K34" s="65" t="s">
        <v>135</v>
      </c>
      <c r="L34" s="62" t="s">
        <v>182</v>
      </c>
      <c r="M34" s="62" t="s">
        <v>135</v>
      </c>
      <c r="N34" s="62" t="s">
        <v>135</v>
      </c>
    </row>
    <row r="35" spans="1:14">
      <c r="A35" s="61" t="s">
        <v>128</v>
      </c>
      <c r="B35" s="56" t="s">
        <v>129</v>
      </c>
      <c r="C35" s="57" t="s">
        <v>130</v>
      </c>
      <c r="D35" s="63" t="s">
        <v>287</v>
      </c>
      <c r="E35" s="64" t="s">
        <v>288</v>
      </c>
      <c r="F35" s="58" t="str">
        <f t="shared" si="0"/>
        <v>NÚMERO DEL CHIP QUE SE ENCUENTRA EN EL EQUIPO.</v>
      </c>
      <c r="G35" s="63" t="s">
        <v>289</v>
      </c>
      <c r="H35" s="62" t="s">
        <v>135</v>
      </c>
      <c r="I35" s="65" t="s">
        <v>186</v>
      </c>
      <c r="J35" s="63" t="s">
        <v>290</v>
      </c>
      <c r="K35" s="65" t="s">
        <v>135</v>
      </c>
      <c r="L35" s="62" t="s">
        <v>182</v>
      </c>
      <c r="M35" s="62" t="s">
        <v>135</v>
      </c>
      <c r="N35" s="62" t="s">
        <v>135</v>
      </c>
    </row>
    <row r="36" spans="1:14">
      <c r="A36" s="65" t="s">
        <v>128</v>
      </c>
      <c r="B36" s="56" t="s">
        <v>129</v>
      </c>
      <c r="C36" s="57" t="s">
        <v>130</v>
      </c>
      <c r="D36" s="68" t="s">
        <v>291</v>
      </c>
      <c r="E36" s="64" t="s">
        <v>292</v>
      </c>
      <c r="F36" s="58" t="str">
        <f t="shared" si="0"/>
        <v>NÚMERO DE TELÉFONO DEL CHIP DEL EQUIPO</v>
      </c>
      <c r="G36" s="63" t="s">
        <v>293</v>
      </c>
      <c r="H36" s="62" t="s">
        <v>182</v>
      </c>
      <c r="I36" s="65" t="s">
        <v>227</v>
      </c>
      <c r="J36" s="63"/>
      <c r="K36" s="65" t="s">
        <v>135</v>
      </c>
      <c r="L36" s="62" t="s">
        <v>182</v>
      </c>
      <c r="M36" s="62" t="s">
        <v>135</v>
      </c>
      <c r="N36" s="62" t="s">
        <v>135</v>
      </c>
    </row>
    <row r="37" spans="1:14">
      <c r="A37" s="61" t="s">
        <v>128</v>
      </c>
      <c r="B37" s="56" t="s">
        <v>129</v>
      </c>
      <c r="C37" s="57" t="s">
        <v>130</v>
      </c>
      <c r="D37" s="63" t="s">
        <v>294</v>
      </c>
      <c r="E37" s="64" t="s">
        <v>295</v>
      </c>
      <c r="F37" s="58" t="str">
        <f t="shared" si="0"/>
        <v>OPERADOR DEL CHIP DEL EQUIPO (SI APLICA). NOMBRE COMERCIAL DE LA COMPAÑÍA TELEFÓNICA A LA CUÁL PERTENECE EL CHIP DEL EQUIPO</v>
      </c>
      <c r="G37" s="63" t="s">
        <v>296</v>
      </c>
      <c r="H37" s="62" t="s">
        <v>135</v>
      </c>
      <c r="I37" s="65" t="s">
        <v>186</v>
      </c>
      <c r="J37" s="63" t="s">
        <v>297</v>
      </c>
      <c r="K37" s="65" t="s">
        <v>135</v>
      </c>
      <c r="L37" s="62" t="s">
        <v>182</v>
      </c>
      <c r="M37" s="62" t="s">
        <v>135</v>
      </c>
      <c r="N37" s="62" t="s">
        <v>135</v>
      </c>
    </row>
    <row r="38" spans="1:14">
      <c r="A38" s="65" t="s">
        <v>128</v>
      </c>
      <c r="B38" s="56" t="s">
        <v>129</v>
      </c>
      <c r="C38" s="57" t="s">
        <v>130</v>
      </c>
      <c r="D38" s="63" t="s">
        <v>298</v>
      </c>
      <c r="E38" s="64" t="s">
        <v>299</v>
      </c>
      <c r="F38" s="58" t="str">
        <f t="shared" si="0"/>
        <v>ESTADO DEL COMERCIO</v>
      </c>
      <c r="G38" s="63" t="s">
        <v>300</v>
      </c>
      <c r="H38" s="62" t="s">
        <v>135</v>
      </c>
      <c r="I38" s="65" t="s">
        <v>186</v>
      </c>
      <c r="J38" s="63" t="s">
        <v>301</v>
      </c>
      <c r="K38" s="65" t="s">
        <v>135</v>
      </c>
      <c r="L38" s="62" t="s">
        <v>182</v>
      </c>
      <c r="M38" s="62" t="s">
        <v>135</v>
      </c>
      <c r="N38" s="62" t="s">
        <v>135</v>
      </c>
    </row>
    <row r="39" spans="1:14">
      <c r="A39" s="65" t="s">
        <v>128</v>
      </c>
      <c r="B39" s="56" t="s">
        <v>129</v>
      </c>
      <c r="C39" s="57" t="s">
        <v>130</v>
      </c>
      <c r="D39" s="63" t="s">
        <v>302</v>
      </c>
      <c r="E39" s="64" t="s">
        <v>303</v>
      </c>
      <c r="F39" s="58" t="str">
        <f t="shared" si="0"/>
        <v>ESTADO LÓGICO DEL COMERCIO</v>
      </c>
      <c r="G39" s="63" t="s">
        <v>304</v>
      </c>
      <c r="H39" s="62" t="s">
        <v>135</v>
      </c>
      <c r="I39" s="65" t="s">
        <v>186</v>
      </c>
      <c r="J39" s="63" t="s">
        <v>305</v>
      </c>
      <c r="K39" s="65" t="s">
        <v>135</v>
      </c>
      <c r="L39" s="62" t="s">
        <v>182</v>
      </c>
      <c r="M39" s="62" t="s">
        <v>135</v>
      </c>
      <c r="N39" s="62" t="s">
        <v>135</v>
      </c>
    </row>
    <row r="40" spans="1:14">
      <c r="A40" s="61" t="s">
        <v>128</v>
      </c>
      <c r="B40" s="56" t="s">
        <v>129</v>
      </c>
      <c r="C40" s="57" t="s">
        <v>130</v>
      </c>
      <c r="D40" s="63" t="s">
        <v>306</v>
      </c>
      <c r="E40" s="64" t="s">
        <v>307</v>
      </c>
      <c r="F40" s="58" t="str">
        <f t="shared" si="0"/>
        <v>ESTADO DEL TERMINAL</v>
      </c>
      <c r="G40" s="63" t="s">
        <v>308</v>
      </c>
      <c r="H40" s="62" t="s">
        <v>135</v>
      </c>
      <c r="I40" s="65" t="s">
        <v>186</v>
      </c>
      <c r="J40" s="63" t="s">
        <v>301</v>
      </c>
      <c r="K40" s="65" t="s">
        <v>135</v>
      </c>
      <c r="L40" s="62" t="s">
        <v>182</v>
      </c>
      <c r="M40" s="62" t="s">
        <v>135</v>
      </c>
      <c r="N40" s="62" t="s">
        <v>135</v>
      </c>
    </row>
    <row r="41" spans="1:14">
      <c r="A41" s="65" t="s">
        <v>128</v>
      </c>
      <c r="B41" s="56" t="s">
        <v>129</v>
      </c>
      <c r="C41" s="57" t="s">
        <v>130</v>
      </c>
      <c r="D41" s="63" t="s">
        <v>309</v>
      </c>
      <c r="E41" s="64" t="s">
        <v>310</v>
      </c>
      <c r="F41" s="58" t="str">
        <f t="shared" si="0"/>
        <v>ESTADO LÓGICO DEL TERMINAL</v>
      </c>
      <c r="G41" s="63" t="s">
        <v>311</v>
      </c>
      <c r="H41" s="62" t="s">
        <v>135</v>
      </c>
      <c r="I41" s="65" t="s">
        <v>186</v>
      </c>
      <c r="J41" s="63" t="s">
        <v>305</v>
      </c>
      <c r="K41" s="65" t="s">
        <v>135</v>
      </c>
      <c r="L41" s="62" t="s">
        <v>182</v>
      </c>
      <c r="M41" s="62" t="s">
        <v>135</v>
      </c>
      <c r="N41" s="62" t="s">
        <v>135</v>
      </c>
    </row>
    <row r="42" spans="1:14">
      <c r="A42" s="61" t="s">
        <v>128</v>
      </c>
      <c r="B42" s="56" t="s">
        <v>129</v>
      </c>
      <c r="C42" s="57" t="s">
        <v>130</v>
      </c>
      <c r="D42" s="63" t="s">
        <v>312</v>
      </c>
      <c r="E42" s="64" t="s">
        <v>313</v>
      </c>
      <c r="F42" s="58" t="str">
        <f t="shared" si="0"/>
        <v>TIPO DE APLICACIÓN DE LOS TERMINALES</v>
      </c>
      <c r="G42" s="63" t="s">
        <v>314</v>
      </c>
      <c r="H42" s="62" t="s">
        <v>135</v>
      </c>
      <c r="I42" s="65" t="s">
        <v>186</v>
      </c>
      <c r="J42" s="63" t="s">
        <v>315</v>
      </c>
      <c r="K42" s="65" t="s">
        <v>135</v>
      </c>
      <c r="L42" s="62" t="s">
        <v>182</v>
      </c>
      <c r="M42" s="62" t="s">
        <v>135</v>
      </c>
      <c r="N42" s="62" t="s">
        <v>135</v>
      </c>
    </row>
    <row r="43" spans="1:14">
      <c r="A43" s="65" t="s">
        <v>128</v>
      </c>
      <c r="B43" s="56" t="s">
        <v>129</v>
      </c>
      <c r="C43" s="57" t="s">
        <v>130</v>
      </c>
      <c r="D43" s="63" t="s">
        <v>316</v>
      </c>
      <c r="E43" s="64" t="s">
        <v>317</v>
      </c>
      <c r="F43" s="58" t="str">
        <f t="shared" si="0"/>
        <v>DESCRIPCIÓN DE LA APLICACIÓN DE LOS TERMINALES</v>
      </c>
      <c r="G43" s="63" t="s">
        <v>318</v>
      </c>
      <c r="H43" s="62" t="s">
        <v>135</v>
      </c>
      <c r="I43" s="65" t="s">
        <v>186</v>
      </c>
      <c r="J43" s="63" t="s">
        <v>319</v>
      </c>
      <c r="K43" s="65" t="s">
        <v>135</v>
      </c>
      <c r="L43" s="62" t="s">
        <v>182</v>
      </c>
      <c r="M43" s="62" t="s">
        <v>135</v>
      </c>
      <c r="N43" s="62" t="s">
        <v>135</v>
      </c>
    </row>
    <row r="44" spans="1:14">
      <c r="A44" s="61" t="s">
        <v>128</v>
      </c>
      <c r="B44" s="56" t="s">
        <v>129</v>
      </c>
      <c r="C44" s="57" t="s">
        <v>130</v>
      </c>
      <c r="D44" s="78" t="s">
        <v>320</v>
      </c>
      <c r="E44" s="64" t="s">
        <v>321</v>
      </c>
      <c r="F44" s="58" t="str">
        <f t="shared" si="0"/>
        <v>FLAG QUE INDICA SI EL COMERCIO ADMITE FACTURACIÓN. TRUE = SÍ, FALSE, NO</v>
      </c>
      <c r="G44" s="63" t="s">
        <v>322</v>
      </c>
      <c r="H44" s="62" t="s">
        <v>135</v>
      </c>
      <c r="I44" s="65" t="s">
        <v>222</v>
      </c>
      <c r="J44" s="63" t="s">
        <v>223</v>
      </c>
      <c r="K44" s="65" t="s">
        <v>135</v>
      </c>
      <c r="L44" s="62" t="s">
        <v>182</v>
      </c>
      <c r="M44" s="62" t="s">
        <v>135</v>
      </c>
      <c r="N44" s="62" t="s">
        <v>135</v>
      </c>
    </row>
    <row r="45" spans="1:14">
      <c r="A45" s="61" t="s">
        <v>128</v>
      </c>
      <c r="B45" s="56" t="s">
        <v>129</v>
      </c>
      <c r="C45" s="57" t="s">
        <v>130</v>
      </c>
      <c r="D45" s="63" t="s">
        <v>323</v>
      </c>
      <c r="E45" s="64" t="s">
        <v>324</v>
      </c>
      <c r="F45" s="58" t="str">
        <f t="shared" si="0"/>
        <v>NÚMERO DE SERIE DEL TERMINAL POS. AUTOGENERADO DE LOS MPOS</v>
      </c>
      <c r="G45" s="63" t="s">
        <v>325</v>
      </c>
      <c r="H45" s="62" t="s">
        <v>135</v>
      </c>
      <c r="I45" s="65" t="s">
        <v>186</v>
      </c>
      <c r="J45" s="63">
        <v>103837580</v>
      </c>
      <c r="K45" s="65" t="s">
        <v>135</v>
      </c>
      <c r="L45" s="62" t="s">
        <v>182</v>
      </c>
      <c r="M45" s="62" t="s">
        <v>135</v>
      </c>
      <c r="N45" s="62" t="s">
        <v>135</v>
      </c>
    </row>
    <row r="46" spans="1:14">
      <c r="A46" s="65" t="s">
        <v>128</v>
      </c>
      <c r="B46" s="56" t="s">
        <v>129</v>
      </c>
      <c r="C46" s="57" t="s">
        <v>130</v>
      </c>
      <c r="D46" s="63" t="s">
        <v>326</v>
      </c>
      <c r="E46" s="64" t="s">
        <v>327</v>
      </c>
      <c r="F46" s="58" t="str">
        <f t="shared" si="0"/>
        <v>ID CORRESPONDIENTE A LA VERSIÓN DE FLUJO (PERMITE IDENTIFICAR SI ESTÁ ACTUALIZADO)</v>
      </c>
      <c r="G46" s="63" t="s">
        <v>328</v>
      </c>
      <c r="H46" s="62" t="s">
        <v>135</v>
      </c>
      <c r="I46" s="65" t="s">
        <v>186</v>
      </c>
      <c r="J46" s="63">
        <v>241</v>
      </c>
      <c r="K46" s="65" t="s">
        <v>135</v>
      </c>
      <c r="L46" s="62" t="s">
        <v>182</v>
      </c>
      <c r="M46" s="62" t="s">
        <v>135</v>
      </c>
      <c r="N46" s="62" t="s">
        <v>135</v>
      </c>
    </row>
    <row r="47" spans="1:14">
      <c r="A47" s="61" t="s">
        <v>128</v>
      </c>
      <c r="B47" s="56" t="s">
        <v>129</v>
      </c>
      <c r="C47" s="57" t="s">
        <v>130</v>
      </c>
      <c r="D47" s="63" t="s">
        <v>329</v>
      </c>
      <c r="E47" s="64" t="s">
        <v>330</v>
      </c>
      <c r="F47" s="58" t="str">
        <f t="shared" si="0"/>
        <v>ID CORRESPONDIENTE A LA VERSIÓN DE CARGA BASE (PERMITE IDENTIFICAR SI ESTÁ ACTUALIZADO)</v>
      </c>
      <c r="G47" s="63" t="s">
        <v>331</v>
      </c>
      <c r="H47" s="62" t="s">
        <v>135</v>
      </c>
      <c r="I47" s="65" t="s">
        <v>186</v>
      </c>
      <c r="J47" s="63">
        <v>241</v>
      </c>
      <c r="K47" s="65" t="s">
        <v>135</v>
      </c>
      <c r="L47" s="62" t="s">
        <v>182</v>
      </c>
      <c r="M47" s="62" t="s">
        <v>135</v>
      </c>
      <c r="N47" s="62" t="s">
        <v>135</v>
      </c>
    </row>
    <row r="48" spans="1:14">
      <c r="A48" s="65" t="s">
        <v>128</v>
      </c>
      <c r="B48" s="56" t="s">
        <v>129</v>
      </c>
      <c r="C48" s="57" t="s">
        <v>130</v>
      </c>
      <c r="D48" s="63" t="s">
        <v>332</v>
      </c>
      <c r="E48" s="64" t="s">
        <v>333</v>
      </c>
      <c r="F48" s="58" t="str">
        <f t="shared" si="0"/>
        <v>NÚMERO DE SERIE COMPLETA DEL POS, LA QUE SE APRECIA VISUALMENTE EN EL TERMINAL Y AL CUÁL SE LE PUEDE APLICAR LAS ACTUALIZACIONES RESPECTIVAS.</v>
      </c>
      <c r="G48" s="63" t="s">
        <v>334</v>
      </c>
      <c r="H48" s="62" t="s">
        <v>135</v>
      </c>
      <c r="I48" s="65" t="s">
        <v>186</v>
      </c>
      <c r="J48" s="63" t="s">
        <v>335</v>
      </c>
      <c r="K48" s="65" t="s">
        <v>135</v>
      </c>
      <c r="L48" s="62" t="s">
        <v>182</v>
      </c>
      <c r="M48" s="62" t="s">
        <v>135</v>
      </c>
      <c r="N48" s="62" t="s">
        <v>135</v>
      </c>
    </row>
    <row r="49" spans="1:14">
      <c r="A49" s="61" t="s">
        <v>128</v>
      </c>
      <c r="B49" s="56" t="s">
        <v>129</v>
      </c>
      <c r="C49" s="57" t="s">
        <v>130</v>
      </c>
      <c r="D49" s="63" t="s">
        <v>336</v>
      </c>
      <c r="E49" s="64" t="s">
        <v>337</v>
      </c>
      <c r="F49" s="58" t="str">
        <f t="shared" si="0"/>
        <v>MARCA DEL EQUIPO</v>
      </c>
      <c r="G49" s="63" t="s">
        <v>338</v>
      </c>
      <c r="H49" s="62" t="s">
        <v>135</v>
      </c>
      <c r="I49" s="65" t="s">
        <v>186</v>
      </c>
      <c r="J49" s="63" t="s">
        <v>339</v>
      </c>
      <c r="K49" s="65" t="s">
        <v>135</v>
      </c>
      <c r="L49" s="62" t="s">
        <v>182</v>
      </c>
      <c r="M49" s="62" t="s">
        <v>135</v>
      </c>
      <c r="N49" s="62" t="s">
        <v>135</v>
      </c>
    </row>
    <row r="50" spans="1:14">
      <c r="A50" s="69" t="s">
        <v>128</v>
      </c>
      <c r="B50" s="70" t="s">
        <v>129</v>
      </c>
      <c r="C50" s="71" t="s">
        <v>130</v>
      </c>
      <c r="D50" s="72"/>
      <c r="E50" s="72" t="s">
        <v>340</v>
      </c>
      <c r="F50" s="73" t="str">
        <f t="shared" si="0"/>
        <v>INDICA SI APLICA PCI</v>
      </c>
      <c r="G50" s="72" t="s">
        <v>341</v>
      </c>
      <c r="H50" s="74" t="s">
        <v>135</v>
      </c>
      <c r="I50" s="69" t="s">
        <v>186</v>
      </c>
      <c r="J50" s="72" t="s">
        <v>342</v>
      </c>
      <c r="K50" s="69" t="s">
        <v>135</v>
      </c>
      <c r="L50" s="74" t="s">
        <v>182</v>
      </c>
      <c r="M50" s="74" t="s">
        <v>135</v>
      </c>
      <c r="N50" s="74" t="s">
        <v>135</v>
      </c>
    </row>
    <row r="51" spans="1:14">
      <c r="A51" s="61" t="s">
        <v>128</v>
      </c>
      <c r="B51" s="56" t="s">
        <v>129</v>
      </c>
      <c r="C51" s="57" t="s">
        <v>130</v>
      </c>
      <c r="D51" s="78" t="s">
        <v>343</v>
      </c>
      <c r="E51" s="64" t="s">
        <v>344</v>
      </c>
      <c r="F51" s="58" t="str">
        <f t="shared" si="0"/>
        <v>FLAG QUE INDICA SI EL POS TIENE SOFTWARE CONTACTLESS</v>
      </c>
      <c r="G51" s="63" t="s">
        <v>345</v>
      </c>
      <c r="H51" s="62" t="s">
        <v>135</v>
      </c>
      <c r="I51" s="65" t="s">
        <v>222</v>
      </c>
      <c r="J51" s="63" t="s">
        <v>223</v>
      </c>
      <c r="K51" s="65" t="s">
        <v>135</v>
      </c>
      <c r="L51" s="62" t="s">
        <v>182</v>
      </c>
      <c r="M51" s="62" t="s">
        <v>135</v>
      </c>
      <c r="N51" s="62" t="s">
        <v>135</v>
      </c>
    </row>
    <row r="52" spans="1:14">
      <c r="A52" s="65" t="s">
        <v>128</v>
      </c>
      <c r="B52" s="56" t="s">
        <v>129</v>
      </c>
      <c r="C52" s="57" t="s">
        <v>130</v>
      </c>
      <c r="D52" s="78" t="s">
        <v>346</v>
      </c>
      <c r="E52" s="64" t="s">
        <v>347</v>
      </c>
      <c r="F52" s="58" t="str">
        <f t="shared" si="0"/>
        <v>FLAG QUE INDICA SI EL POS TIENE HARDWARE CONTACTLESS</v>
      </c>
      <c r="G52" s="63" t="s">
        <v>348</v>
      </c>
      <c r="H52" s="62" t="s">
        <v>135</v>
      </c>
      <c r="I52" s="65" t="s">
        <v>222</v>
      </c>
      <c r="J52" s="63" t="s">
        <v>223</v>
      </c>
      <c r="K52" s="65" t="s">
        <v>135</v>
      </c>
      <c r="L52" s="62" t="s">
        <v>182</v>
      </c>
      <c r="M52" s="62" t="s">
        <v>135</v>
      </c>
      <c r="N52" s="62" t="s">
        <v>135</v>
      </c>
    </row>
    <row r="53" spans="1:14">
      <c r="A53" s="61" t="s">
        <v>128</v>
      </c>
      <c r="B53" s="56" t="s">
        <v>129</v>
      </c>
      <c r="C53" s="57" t="s">
        <v>130</v>
      </c>
      <c r="D53" s="78" t="s">
        <v>349</v>
      </c>
      <c r="E53" s="64" t="s">
        <v>350</v>
      </c>
      <c r="F53" s="58" t="str">
        <f t="shared" si="0"/>
        <v>FLAG QUE INDICA SI APLICA LA PRE AUTORIZACIÓN A NIVEL DEL COMERCIO</v>
      </c>
      <c r="G53" s="63" t="s">
        <v>351</v>
      </c>
      <c r="H53" s="62" t="s">
        <v>135</v>
      </c>
      <c r="I53" s="65" t="s">
        <v>222</v>
      </c>
      <c r="J53" s="63" t="s">
        <v>223</v>
      </c>
      <c r="K53" s="65" t="s">
        <v>135</v>
      </c>
      <c r="L53" s="62" t="s">
        <v>182</v>
      </c>
      <c r="M53" s="62" t="s">
        <v>135</v>
      </c>
      <c r="N53" s="62" t="s">
        <v>135</v>
      </c>
    </row>
    <row r="54" spans="1:14">
      <c r="A54" s="65" t="s">
        <v>128</v>
      </c>
      <c r="B54" s="56" t="s">
        <v>129</v>
      </c>
      <c r="C54" s="57" t="s">
        <v>130</v>
      </c>
      <c r="D54" s="78" t="s">
        <v>352</v>
      </c>
      <c r="E54" s="64" t="s">
        <v>353</v>
      </c>
      <c r="F54" s="58" t="str">
        <f t="shared" si="0"/>
        <v>FLAG QUE INDICA SI APLICA LA PRE AUTORIZACIÓN A NIVEL DEL TERMINAL</v>
      </c>
      <c r="G54" s="63" t="s">
        <v>354</v>
      </c>
      <c r="H54" s="62" t="s">
        <v>135</v>
      </c>
      <c r="I54" s="65" t="s">
        <v>222</v>
      </c>
      <c r="J54" s="63" t="s">
        <v>223</v>
      </c>
      <c r="K54" s="65" t="s">
        <v>135</v>
      </c>
      <c r="L54" s="62" t="s">
        <v>182</v>
      </c>
      <c r="M54" s="62" t="s">
        <v>135</v>
      </c>
      <c r="N54" s="62" t="s">
        <v>135</v>
      </c>
    </row>
    <row r="55" spans="1:14">
      <c r="A55" s="61" t="s">
        <v>128</v>
      </c>
      <c r="B55" s="56" t="s">
        <v>129</v>
      </c>
      <c r="C55" s="57" t="s">
        <v>130</v>
      </c>
      <c r="D55" s="78" t="s">
        <v>355</v>
      </c>
      <c r="E55" s="64" t="s">
        <v>356</v>
      </c>
      <c r="F55" s="58" t="str">
        <f t="shared" si="0"/>
        <v>FLAG QUE INDICA SI APLICA LA DIGITACIÓN MANUAL A NIVEL DEL COMERCIO</v>
      </c>
      <c r="G55" s="63" t="s">
        <v>357</v>
      </c>
      <c r="H55" s="62" t="s">
        <v>135</v>
      </c>
      <c r="I55" s="65" t="s">
        <v>222</v>
      </c>
      <c r="J55" s="63" t="s">
        <v>223</v>
      </c>
      <c r="K55" s="65" t="s">
        <v>135</v>
      </c>
      <c r="L55" s="62" t="s">
        <v>182</v>
      </c>
      <c r="M55" s="62" t="s">
        <v>135</v>
      </c>
      <c r="N55" s="62" t="s">
        <v>135</v>
      </c>
    </row>
    <row r="56" spans="1:14">
      <c r="A56" s="65" t="s">
        <v>128</v>
      </c>
      <c r="B56" s="56" t="s">
        <v>129</v>
      </c>
      <c r="C56" s="57" t="s">
        <v>130</v>
      </c>
      <c r="D56" s="78" t="s">
        <v>358</v>
      </c>
      <c r="E56" s="64" t="s">
        <v>359</v>
      </c>
      <c r="F56" s="58" t="str">
        <f t="shared" si="0"/>
        <v>FLAG QUE INDICA SI APLICA LA DIGITACIÓN MANUAL A NIVEL DEL TERMINAL</v>
      </c>
      <c r="G56" s="63" t="s">
        <v>360</v>
      </c>
      <c r="H56" s="62" t="s">
        <v>135</v>
      </c>
      <c r="I56" s="65" t="s">
        <v>222</v>
      </c>
      <c r="J56" s="63" t="s">
        <v>223</v>
      </c>
      <c r="K56" s="65" t="s">
        <v>135</v>
      </c>
      <c r="L56" s="62" t="s">
        <v>182</v>
      </c>
      <c r="M56" s="62" t="s">
        <v>135</v>
      </c>
      <c r="N56" s="62" t="s">
        <v>135</v>
      </c>
    </row>
    <row r="57" spans="1:14">
      <c r="A57" s="61" t="s">
        <v>128</v>
      </c>
      <c r="B57" s="56" t="s">
        <v>129</v>
      </c>
      <c r="C57" s="57" t="s">
        <v>130</v>
      </c>
      <c r="D57" s="63" t="s">
        <v>361</v>
      </c>
      <c r="E57" s="64" t="s">
        <v>362</v>
      </c>
      <c r="F57" s="58" t="str">
        <f t="shared" si="0"/>
        <v>INDICA EL TIPO DE OPCIÓN DE RECIBIMIENTO DE PROPINA</v>
      </c>
      <c r="G57" s="63" t="s">
        <v>363</v>
      </c>
      <c r="H57" s="62" t="s">
        <v>135</v>
      </c>
      <c r="I57" s="65" t="s">
        <v>186</v>
      </c>
      <c r="J57" s="63" t="s">
        <v>364</v>
      </c>
      <c r="K57" s="65" t="s">
        <v>135</v>
      </c>
      <c r="L57" s="62" t="s">
        <v>182</v>
      </c>
      <c r="M57" s="62" t="s">
        <v>135</v>
      </c>
      <c r="N57" s="62" t="s">
        <v>135</v>
      </c>
    </row>
    <row r="58" spans="1:14">
      <c r="A58" s="65" t="s">
        <v>128</v>
      </c>
      <c r="B58" s="56" t="s">
        <v>129</v>
      </c>
      <c r="C58" s="57" t="s">
        <v>130</v>
      </c>
      <c r="D58" s="63" t="s">
        <v>365</v>
      </c>
      <c r="E58" s="64" t="s">
        <v>366</v>
      </c>
      <c r="F58" s="58" t="str">
        <f t="shared" si="0"/>
        <v>FECHA DE ACTUALIZACIÓN DE LA APLICACIÓN</v>
      </c>
      <c r="G58" s="63" t="s">
        <v>367</v>
      </c>
      <c r="H58" s="62" t="s">
        <v>135</v>
      </c>
      <c r="I58" s="65" t="s">
        <v>180</v>
      </c>
      <c r="J58" s="76">
        <v>45789</v>
      </c>
      <c r="K58" s="65" t="s">
        <v>135</v>
      </c>
      <c r="L58" s="62" t="s">
        <v>182</v>
      </c>
      <c r="M58" s="62" t="s">
        <v>135</v>
      </c>
      <c r="N58" s="62" t="s">
        <v>135</v>
      </c>
    </row>
    <row r="59" spans="1:14">
      <c r="A59" s="61" t="s">
        <v>128</v>
      </c>
      <c r="B59" s="56" t="s">
        <v>129</v>
      </c>
      <c r="C59" s="57" t="s">
        <v>130</v>
      </c>
      <c r="D59" s="63" t="s">
        <v>368</v>
      </c>
      <c r="E59" s="64" t="s">
        <v>369</v>
      </c>
      <c r="F59" s="58" t="str">
        <f t="shared" si="0"/>
        <v>HORA DE ACTUALIZACIÓN DE LA APLICACIÓN EN FORMATO 24H</v>
      </c>
      <c r="G59" s="63" t="s">
        <v>370</v>
      </c>
      <c r="H59" s="62" t="s">
        <v>135</v>
      </c>
      <c r="I59" s="65" t="s">
        <v>186</v>
      </c>
      <c r="J59" s="79">
        <v>0.63201388888888888</v>
      </c>
      <c r="K59" s="65" t="s">
        <v>135</v>
      </c>
      <c r="L59" s="62" t="s">
        <v>182</v>
      </c>
      <c r="M59" s="62" t="s">
        <v>135</v>
      </c>
      <c r="N59" s="62" t="s">
        <v>135</v>
      </c>
    </row>
    <row r="60" spans="1:14">
      <c r="A60" s="61" t="s">
        <v>128</v>
      </c>
      <c r="B60" s="56" t="s">
        <v>129</v>
      </c>
      <c r="C60" s="57" t="s">
        <v>130</v>
      </c>
      <c r="D60" s="63" t="s">
        <v>371</v>
      </c>
      <c r="E60" s="64"/>
      <c r="F60" s="58" t="str">
        <f t="shared" si="0"/>
        <v>FECHA Y HORA DE ACTUALIZACIÓN DE LA APLICACIÓN</v>
      </c>
      <c r="G60" s="63" t="s">
        <v>372</v>
      </c>
      <c r="H60" s="62" t="s">
        <v>135</v>
      </c>
      <c r="I60" s="65" t="s">
        <v>373</v>
      </c>
      <c r="J60" s="80">
        <v>45789.632013888891</v>
      </c>
      <c r="K60" s="65" t="s">
        <v>135</v>
      </c>
      <c r="L60" s="62" t="s">
        <v>182</v>
      </c>
      <c r="M60" s="62" t="s">
        <v>135</v>
      </c>
      <c r="N60" s="62" t="s">
        <v>135</v>
      </c>
    </row>
    <row r="61" spans="1:14">
      <c r="A61" s="65" t="s">
        <v>128</v>
      </c>
      <c r="B61" s="56" t="s">
        <v>129</v>
      </c>
      <c r="C61" s="57" t="s">
        <v>130</v>
      </c>
      <c r="D61" s="63" t="s">
        <v>374</v>
      </c>
      <c r="E61" s="64" t="s">
        <v>375</v>
      </c>
      <c r="F61" s="58" t="str">
        <f t="shared" si="0"/>
        <v>CANTIDAD DE INTENTOS QUE REALIZÓ EL TERMINAL PARA ACTUALIZARSE</v>
      </c>
      <c r="G61" s="63" t="s">
        <v>376</v>
      </c>
      <c r="H61" s="62" t="s">
        <v>135</v>
      </c>
      <c r="I61" s="65" t="s">
        <v>377</v>
      </c>
      <c r="J61" s="63"/>
      <c r="K61" s="65" t="s">
        <v>135</v>
      </c>
      <c r="L61" s="62" t="s">
        <v>182</v>
      </c>
      <c r="M61" s="62" t="s">
        <v>135</v>
      </c>
      <c r="N61" s="62" t="s">
        <v>135</v>
      </c>
    </row>
    <row r="62" spans="1:14">
      <c r="A62" s="61" t="s">
        <v>128</v>
      </c>
      <c r="B62" s="56" t="s">
        <v>129</v>
      </c>
      <c r="C62" s="57" t="s">
        <v>130</v>
      </c>
      <c r="D62" s="63" t="s">
        <v>378</v>
      </c>
      <c r="E62" s="64" t="s">
        <v>379</v>
      </c>
      <c r="F62" s="58" t="str">
        <f t="shared" si="0"/>
        <v>FECHA DE ÚLTIMA ACTUALIZACIÓN DE APP</v>
      </c>
      <c r="G62" s="63" t="s">
        <v>380</v>
      </c>
      <c r="H62" s="62" t="s">
        <v>135</v>
      </c>
      <c r="I62" s="65" t="s">
        <v>180</v>
      </c>
      <c r="J62" s="76">
        <v>45818</v>
      </c>
      <c r="K62" s="65" t="s">
        <v>135</v>
      </c>
      <c r="L62" s="62" t="s">
        <v>182</v>
      </c>
      <c r="M62" s="62" t="s">
        <v>135</v>
      </c>
      <c r="N62" s="62" t="s">
        <v>135</v>
      </c>
    </row>
    <row r="63" spans="1:14">
      <c r="A63" s="65" t="s">
        <v>128</v>
      </c>
      <c r="B63" s="56" t="s">
        <v>129</v>
      </c>
      <c r="C63" s="57" t="s">
        <v>130</v>
      </c>
      <c r="D63" s="63" t="s">
        <v>381</v>
      </c>
      <c r="E63" s="64" t="s">
        <v>382</v>
      </c>
      <c r="F63" s="58" t="str">
        <f t="shared" si="0"/>
        <v>HORA DE ÚLTIMA ACTUALIZACIÓN DE LA APLICACIÓN</v>
      </c>
      <c r="G63" s="63" t="s">
        <v>383</v>
      </c>
      <c r="H63" s="62" t="s">
        <v>135</v>
      </c>
      <c r="I63" s="65" t="s">
        <v>186</v>
      </c>
      <c r="J63" s="79">
        <v>0.9236805555555555</v>
      </c>
      <c r="K63" s="65" t="s">
        <v>135</v>
      </c>
      <c r="L63" s="62" t="s">
        <v>182</v>
      </c>
      <c r="M63" s="62" t="s">
        <v>135</v>
      </c>
      <c r="N63" s="62" t="s">
        <v>135</v>
      </c>
    </row>
    <row r="64" spans="1:14">
      <c r="A64" s="65" t="s">
        <v>128</v>
      </c>
      <c r="B64" s="56" t="s">
        <v>129</v>
      </c>
      <c r="C64" s="57" t="s">
        <v>130</v>
      </c>
      <c r="D64" s="63" t="s">
        <v>384</v>
      </c>
      <c r="E64" s="64"/>
      <c r="F64" s="58" t="str">
        <f t="shared" si="0"/>
        <v>FECHA Y HORA DE ÚLTIMA ACTUALIZACIÓN DE LA APLICACIÓN</v>
      </c>
      <c r="G64" s="63" t="s">
        <v>385</v>
      </c>
      <c r="H64" s="62" t="s">
        <v>135</v>
      </c>
      <c r="I64" s="65" t="s">
        <v>373</v>
      </c>
      <c r="J64" s="80">
        <v>45789.632013888891</v>
      </c>
      <c r="K64" s="65" t="s">
        <v>135</v>
      </c>
      <c r="L64" s="62" t="s">
        <v>182</v>
      </c>
      <c r="M64" s="62" t="s">
        <v>135</v>
      </c>
      <c r="N64" s="62" t="s">
        <v>135</v>
      </c>
    </row>
    <row r="65" spans="1:14">
      <c r="A65" s="61" t="s">
        <v>128</v>
      </c>
      <c r="B65" s="56" t="s">
        <v>129</v>
      </c>
      <c r="C65" s="57" t="s">
        <v>130</v>
      </c>
      <c r="D65" s="78" t="s">
        <v>386</v>
      </c>
      <c r="E65" s="64" t="s">
        <v>387</v>
      </c>
      <c r="F65" s="58" t="str">
        <f t="shared" si="0"/>
        <v>FLAG QUE INDICA SI LA VERSIÓN SE HA ACTUALIZADO</v>
      </c>
      <c r="G65" s="63" t="s">
        <v>388</v>
      </c>
      <c r="H65" s="62" t="s">
        <v>135</v>
      </c>
      <c r="I65" s="65" t="s">
        <v>222</v>
      </c>
      <c r="J65" s="63" t="s">
        <v>223</v>
      </c>
      <c r="K65" s="65" t="s">
        <v>135</v>
      </c>
      <c r="L65" s="62" t="s">
        <v>182</v>
      </c>
      <c r="M65" s="62" t="s">
        <v>135</v>
      </c>
      <c r="N65" s="62" t="s">
        <v>135</v>
      </c>
    </row>
    <row r="66" spans="1:14">
      <c r="A66" s="69" t="s">
        <v>128</v>
      </c>
      <c r="B66" s="70" t="s">
        <v>129</v>
      </c>
      <c r="C66" s="71" t="s">
        <v>130</v>
      </c>
      <c r="D66" s="72"/>
      <c r="E66" s="72" t="s">
        <v>389</v>
      </c>
      <c r="F66" s="73" t="str">
        <f t="shared" si="0"/>
        <v>ID CORRESPONDIENTE A LA VERSIÓN DEL FLUJO</v>
      </c>
      <c r="G66" s="72" t="s">
        <v>390</v>
      </c>
      <c r="H66" s="74" t="s">
        <v>135</v>
      </c>
      <c r="I66" s="69" t="s">
        <v>186</v>
      </c>
      <c r="J66" s="72">
        <v>241</v>
      </c>
      <c r="K66" s="69" t="s">
        <v>135</v>
      </c>
      <c r="L66" s="74" t="s">
        <v>182</v>
      </c>
      <c r="M66" s="74" t="s">
        <v>135</v>
      </c>
      <c r="N66" s="74" t="s">
        <v>135</v>
      </c>
    </row>
    <row r="67" spans="1:14">
      <c r="A67" s="61" t="s">
        <v>128</v>
      </c>
      <c r="B67" s="56" t="s">
        <v>129</v>
      </c>
      <c r="C67" s="57" t="s">
        <v>130</v>
      </c>
      <c r="D67" s="63" t="s">
        <v>391</v>
      </c>
      <c r="E67" s="64" t="s">
        <v>392</v>
      </c>
      <c r="F67" s="58" t="str">
        <f t="shared" si="0"/>
        <v>ID CORRESPONDIENTE A LA VERSIÓN DE LA APLICACIÓN</v>
      </c>
      <c r="G67" s="63" t="s">
        <v>393</v>
      </c>
      <c r="H67" s="62" t="s">
        <v>135</v>
      </c>
      <c r="I67" s="65" t="s">
        <v>186</v>
      </c>
      <c r="J67" s="63">
        <v>466</v>
      </c>
      <c r="K67" s="65" t="s">
        <v>135</v>
      </c>
      <c r="L67" s="62" t="s">
        <v>182</v>
      </c>
      <c r="M67" s="62" t="s">
        <v>135</v>
      </c>
      <c r="N67" s="62" t="s">
        <v>135</v>
      </c>
    </row>
    <row r="68" spans="1:14">
      <c r="A68" s="65" t="s">
        <v>128</v>
      </c>
      <c r="B68" s="56" t="s">
        <v>129</v>
      </c>
      <c r="C68" s="57" t="s">
        <v>130</v>
      </c>
      <c r="D68" s="63" t="s">
        <v>394</v>
      </c>
      <c r="E68" s="64" t="s">
        <v>395</v>
      </c>
      <c r="F68" s="58" t="str">
        <f t="shared" si="0"/>
        <v>VERSIÓN DE LA APLICACIÓN</v>
      </c>
      <c r="G68" s="63" t="s">
        <v>396</v>
      </c>
      <c r="H68" s="62" t="s">
        <v>135</v>
      </c>
      <c r="I68" s="65" t="s">
        <v>186</v>
      </c>
      <c r="J68" s="63" t="s">
        <v>397</v>
      </c>
      <c r="K68" s="65" t="s">
        <v>135</v>
      </c>
      <c r="L68" s="62" t="s">
        <v>182</v>
      </c>
      <c r="M68" s="62" t="s">
        <v>135</v>
      </c>
      <c r="N68" s="62" t="s">
        <v>135</v>
      </c>
    </row>
    <row r="69" spans="1:14">
      <c r="A69" s="61" t="s">
        <v>128</v>
      </c>
      <c r="B69" s="56" t="s">
        <v>129</v>
      </c>
      <c r="C69" s="57" t="s">
        <v>130</v>
      </c>
      <c r="D69" s="63" t="s">
        <v>398</v>
      </c>
      <c r="E69" s="64" t="s">
        <v>399</v>
      </c>
      <c r="F69" s="58" t="str">
        <f t="shared" si="0"/>
        <v>VERSIÓN DEL FLUJO</v>
      </c>
      <c r="G69" s="63" t="s">
        <v>400</v>
      </c>
      <c r="H69" s="62" t="s">
        <v>135</v>
      </c>
      <c r="I69" s="65" t="s">
        <v>186</v>
      </c>
      <c r="J69" s="63" t="s">
        <v>401</v>
      </c>
      <c r="K69" s="65" t="s">
        <v>135</v>
      </c>
      <c r="L69" s="62" t="s">
        <v>182</v>
      </c>
      <c r="M69" s="62" t="s">
        <v>135</v>
      </c>
      <c r="N69" s="62" t="s">
        <v>135</v>
      </c>
    </row>
    <row r="70" spans="1:14">
      <c r="A70" s="65" t="s">
        <v>128</v>
      </c>
      <c r="B70" s="56" t="s">
        <v>129</v>
      </c>
      <c r="C70" s="57" t="s">
        <v>130</v>
      </c>
      <c r="D70" s="63" t="s">
        <v>402</v>
      </c>
      <c r="E70" s="64" t="s">
        <v>403</v>
      </c>
      <c r="F70" s="58" t="str">
        <f t="shared" si="0"/>
        <v>CÓDIGO DEL ACTIVO FIJO. MARQUESI DEL EQUIPO</v>
      </c>
      <c r="G70" s="63" t="s">
        <v>404</v>
      </c>
      <c r="H70" s="62" t="s">
        <v>135</v>
      </c>
      <c r="I70" s="65" t="s">
        <v>186</v>
      </c>
      <c r="J70" s="81" t="s">
        <v>405</v>
      </c>
      <c r="K70" s="65" t="s">
        <v>135</v>
      </c>
      <c r="L70" s="62" t="s">
        <v>182</v>
      </c>
      <c r="M70" s="62" t="s">
        <v>135</v>
      </c>
      <c r="N70" s="62" t="s">
        <v>135</v>
      </c>
    </row>
    <row r="71" spans="1:14">
      <c r="A71" s="61" t="s">
        <v>128</v>
      </c>
      <c r="B71" s="56" t="s">
        <v>129</v>
      </c>
      <c r="C71" s="57" t="s">
        <v>130</v>
      </c>
      <c r="D71" s="63" t="s">
        <v>406</v>
      </c>
      <c r="E71" s="64" t="s">
        <v>407</v>
      </c>
      <c r="F71" s="58" t="str">
        <f t="shared" si="0"/>
        <v>FECHA DE COMPRA</v>
      </c>
      <c r="G71" s="63" t="s">
        <v>408</v>
      </c>
      <c r="H71" s="62" t="s">
        <v>135</v>
      </c>
      <c r="I71" s="65" t="s">
        <v>180</v>
      </c>
      <c r="J71" s="76">
        <v>44275</v>
      </c>
      <c r="K71" s="65" t="s">
        <v>135</v>
      </c>
      <c r="L71" s="62" t="s">
        <v>182</v>
      </c>
      <c r="M71" s="62" t="s">
        <v>135</v>
      </c>
      <c r="N71" s="62" t="s">
        <v>135</v>
      </c>
    </row>
    <row r="72" spans="1:14">
      <c r="A72" s="65" t="s">
        <v>128</v>
      </c>
      <c r="B72" s="56" t="s">
        <v>129</v>
      </c>
      <c r="C72" s="57" t="s">
        <v>130</v>
      </c>
      <c r="D72" s="63" t="s">
        <v>409</v>
      </c>
      <c r="E72" s="64" t="s">
        <v>410</v>
      </c>
      <c r="F72" s="58" t="str">
        <f t="shared" si="0"/>
        <v>ESTADO SEGÚN CRUCE DE LA INFORMACIÓN DEL TERMINAL CON LA DEL AS400. (BAJA, ALQUILER, VENTA, ACTIVO)</v>
      </c>
      <c r="G72" s="63" t="s">
        <v>411</v>
      </c>
      <c r="H72" s="62" t="s">
        <v>135</v>
      </c>
      <c r="I72" s="65" t="s">
        <v>186</v>
      </c>
      <c r="J72" s="63" t="s">
        <v>412</v>
      </c>
      <c r="K72" s="65" t="s">
        <v>135</v>
      </c>
      <c r="L72" s="62" t="s">
        <v>182</v>
      </c>
      <c r="M72" s="62" t="s">
        <v>135</v>
      </c>
      <c r="N72" s="62" t="s">
        <v>135</v>
      </c>
    </row>
    <row r="73" spans="1:14">
      <c r="A73" s="61" t="s">
        <v>128</v>
      </c>
      <c r="B73" s="56" t="s">
        <v>129</v>
      </c>
      <c r="C73" s="57" t="s">
        <v>130</v>
      </c>
      <c r="D73" s="78" t="s">
        <v>413</v>
      </c>
      <c r="E73" s="64" t="s">
        <v>414</v>
      </c>
      <c r="F73" s="58" t="str">
        <f t="shared" si="0"/>
        <v>FLAG QUE INDICA SI EL COMERCIO TIENE POS EMV DINERS</v>
      </c>
      <c r="G73" s="63" t="s">
        <v>415</v>
      </c>
      <c r="H73" s="62" t="s">
        <v>135</v>
      </c>
      <c r="I73" s="65" t="s">
        <v>222</v>
      </c>
      <c r="J73" s="63" t="s">
        <v>223</v>
      </c>
      <c r="K73" s="65" t="s">
        <v>135</v>
      </c>
      <c r="L73" s="62" t="s">
        <v>182</v>
      </c>
      <c r="M73" s="62" t="s">
        <v>135</v>
      </c>
      <c r="N73" s="62" t="s">
        <v>135</v>
      </c>
    </row>
    <row r="74" spans="1:14">
      <c r="A74" s="65" t="s">
        <v>128</v>
      </c>
      <c r="B74" s="56" t="s">
        <v>129</v>
      </c>
      <c r="C74" s="57" t="s">
        <v>130</v>
      </c>
      <c r="D74" s="63" t="s">
        <v>416</v>
      </c>
      <c r="E74" s="64" t="s">
        <v>417</v>
      </c>
      <c r="F74" s="58" t="str">
        <f t="shared" si="0"/>
        <v>CANTIDAD DE TERMINALES DEL COMERCIO</v>
      </c>
      <c r="G74" s="63" t="s">
        <v>418</v>
      </c>
      <c r="H74" s="62" t="s">
        <v>135</v>
      </c>
      <c r="I74" s="65" t="s">
        <v>377</v>
      </c>
      <c r="J74" s="63">
        <v>1</v>
      </c>
      <c r="K74" s="65" t="s">
        <v>135</v>
      </c>
      <c r="L74" s="62" t="s">
        <v>182</v>
      </c>
      <c r="M74" s="62" t="s">
        <v>135</v>
      </c>
      <c r="N74" s="62" t="s">
        <v>135</v>
      </c>
    </row>
    <row r="75" spans="1:14">
      <c r="A75" s="61" t="s">
        <v>128</v>
      </c>
      <c r="B75" s="56" t="s">
        <v>129</v>
      </c>
      <c r="C75" s="57" t="s">
        <v>130</v>
      </c>
      <c r="D75" s="63" t="s">
        <v>419</v>
      </c>
      <c r="E75" s="64" t="s">
        <v>420</v>
      </c>
      <c r="F75" s="58" t="str">
        <f t="shared" si="0"/>
        <v>CANTIDAD DE TERMINALES ACTUALES</v>
      </c>
      <c r="G75" s="63" t="s">
        <v>421</v>
      </c>
      <c r="H75" s="62" t="s">
        <v>135</v>
      </c>
      <c r="I75" s="65" t="s">
        <v>377</v>
      </c>
      <c r="J75" s="63">
        <v>1</v>
      </c>
      <c r="K75" s="65" t="s">
        <v>135</v>
      </c>
      <c r="L75" s="62" t="s">
        <v>182</v>
      </c>
      <c r="M75" s="62" t="s">
        <v>135</v>
      </c>
      <c r="N75" s="62" t="s">
        <v>135</v>
      </c>
    </row>
    <row r="76" spans="1:14">
      <c r="A76" s="65" t="s">
        <v>128</v>
      </c>
      <c r="B76" s="56" t="s">
        <v>129</v>
      </c>
      <c r="C76" s="57" t="s">
        <v>130</v>
      </c>
      <c r="D76" s="78" t="s">
        <v>422</v>
      </c>
      <c r="E76" s="64" t="s">
        <v>423</v>
      </c>
      <c r="F76" s="58" t="str">
        <f t="shared" si="0"/>
        <v>FLAG QUE INDICA SI EL TERMINAL TIENE PINPAD O NO</v>
      </c>
      <c r="G76" s="63" t="s">
        <v>424</v>
      </c>
      <c r="H76" s="62" t="s">
        <v>135</v>
      </c>
      <c r="I76" s="65" t="s">
        <v>222</v>
      </c>
      <c r="J76" s="63" t="s">
        <v>425</v>
      </c>
      <c r="K76" s="65" t="s">
        <v>135</v>
      </c>
      <c r="L76" s="62" t="s">
        <v>182</v>
      </c>
      <c r="M76" s="62" t="s">
        <v>135</v>
      </c>
      <c r="N76" s="62" t="s">
        <v>135</v>
      </c>
    </row>
    <row r="77" spans="1:14">
      <c r="A77" s="61" t="s">
        <v>128</v>
      </c>
      <c r="B77" s="56" t="s">
        <v>129</v>
      </c>
      <c r="C77" s="57" t="s">
        <v>130</v>
      </c>
      <c r="D77" s="78" t="s">
        <v>426</v>
      </c>
      <c r="E77" s="64" t="s">
        <v>427</v>
      </c>
      <c r="F77" s="58" t="str">
        <f t="shared" si="0"/>
        <v>FLAG QUE INDICA SI EL TERMINAL ES MULTICOMERCIO</v>
      </c>
      <c r="G77" s="63" t="s">
        <v>428</v>
      </c>
      <c r="H77" s="62" t="s">
        <v>135</v>
      </c>
      <c r="I77" s="65" t="s">
        <v>222</v>
      </c>
      <c r="J77" s="63" t="s">
        <v>425</v>
      </c>
      <c r="K77" s="65" t="s">
        <v>135</v>
      </c>
      <c r="L77" s="62" t="s">
        <v>182</v>
      </c>
      <c r="M77" s="62" t="s">
        <v>135</v>
      </c>
      <c r="N77" s="62" t="s">
        <v>135</v>
      </c>
    </row>
    <row r="78" spans="1:14">
      <c r="A78" s="61" t="s">
        <v>128</v>
      </c>
      <c r="B78" s="56" t="s">
        <v>129</v>
      </c>
      <c r="C78" s="57" t="s">
        <v>130</v>
      </c>
      <c r="D78" s="66"/>
      <c r="E78" s="64" t="s">
        <v>429</v>
      </c>
      <c r="F78" s="58" t="str">
        <f t="shared" si="0"/>
        <v>GIRO DEL NEGOCIO</v>
      </c>
      <c r="G78" s="63" t="s">
        <v>430</v>
      </c>
      <c r="H78" s="62" t="s">
        <v>135</v>
      </c>
      <c r="I78" s="65" t="s">
        <v>186</v>
      </c>
      <c r="J78" s="63" t="s">
        <v>431</v>
      </c>
      <c r="K78" s="65" t="s">
        <v>135</v>
      </c>
      <c r="L78" s="62" t="s">
        <v>182</v>
      </c>
      <c r="M78" s="62" t="s">
        <v>135</v>
      </c>
      <c r="N78" s="62" t="s">
        <v>135</v>
      </c>
    </row>
    <row r="79" spans="1:14">
      <c r="A79" s="65" t="s">
        <v>128</v>
      </c>
      <c r="B79" s="56" t="s">
        <v>129</v>
      </c>
      <c r="C79" s="57" t="s">
        <v>130</v>
      </c>
      <c r="D79" s="78" t="s">
        <v>432</v>
      </c>
      <c r="E79" s="64" t="s">
        <v>433</v>
      </c>
      <c r="F79" s="58" t="str">
        <f t="shared" si="0"/>
        <v>FLAG QUE IDENTIFICADA AL ÚLTIMO COMERCIO QUE HA TRANSACCIONADO</v>
      </c>
      <c r="G79" s="63" t="s">
        <v>434</v>
      </c>
      <c r="H79" s="62" t="s">
        <v>135</v>
      </c>
      <c r="I79" s="65" t="s">
        <v>222</v>
      </c>
      <c r="J79" s="63" t="s">
        <v>425</v>
      </c>
      <c r="K79" s="65" t="s">
        <v>135</v>
      </c>
      <c r="L79" s="62" t="s">
        <v>182</v>
      </c>
      <c r="M79" s="62" t="s">
        <v>135</v>
      </c>
      <c r="N79" s="62" t="s">
        <v>135</v>
      </c>
    </row>
    <row r="80" spans="1:14">
      <c r="A80" s="61" t="s">
        <v>128</v>
      </c>
      <c r="B80" s="56" t="s">
        <v>129</v>
      </c>
      <c r="C80" s="57" t="s">
        <v>130</v>
      </c>
      <c r="D80" s="66"/>
      <c r="E80" s="64" t="s">
        <v>435</v>
      </c>
      <c r="F80" s="58" t="str">
        <f t="shared" si="0"/>
        <v>GRUPO ECONÓMICO AL QUE PERTENECE EL COMERCIO (SI APLICA).</v>
      </c>
      <c r="G80" s="63" t="s">
        <v>436</v>
      </c>
      <c r="H80" s="62" t="s">
        <v>135</v>
      </c>
      <c r="I80" s="65" t="s">
        <v>186</v>
      </c>
      <c r="J80" s="63"/>
      <c r="K80" s="65" t="s">
        <v>135</v>
      </c>
      <c r="L80" s="62" t="s">
        <v>182</v>
      </c>
      <c r="M80" s="62" t="s">
        <v>135</v>
      </c>
      <c r="N80" s="62" t="s">
        <v>135</v>
      </c>
    </row>
    <row r="81" spans="1:14">
      <c r="A81" s="65" t="s">
        <v>128</v>
      </c>
      <c r="B81" s="56" t="s">
        <v>129</v>
      </c>
      <c r="C81" s="57" t="s">
        <v>130</v>
      </c>
      <c r="D81" s="63" t="s">
        <v>437</v>
      </c>
      <c r="E81" s="64" t="s">
        <v>438</v>
      </c>
      <c r="F81" s="58" t="str">
        <f t="shared" si="0"/>
        <v>FECHA DE APERTURA</v>
      </c>
      <c r="G81" s="63" t="s">
        <v>439</v>
      </c>
      <c r="H81" s="62" t="s">
        <v>135</v>
      </c>
      <c r="I81" s="65" t="s">
        <v>180</v>
      </c>
      <c r="J81" s="76">
        <v>45456</v>
      </c>
      <c r="K81" s="65" t="s">
        <v>135</v>
      </c>
      <c r="L81" s="62" t="s">
        <v>182</v>
      </c>
      <c r="M81" s="62" t="s">
        <v>135</v>
      </c>
      <c r="N81" s="62" t="s">
        <v>135</v>
      </c>
    </row>
    <row r="82" spans="1:14">
      <c r="A82" s="61" t="s">
        <v>128</v>
      </c>
      <c r="B82" s="56" t="s">
        <v>129</v>
      </c>
      <c r="C82" s="57" t="s">
        <v>130</v>
      </c>
      <c r="D82" s="63" t="s">
        <v>440</v>
      </c>
      <c r="E82" s="64" t="s">
        <v>441</v>
      </c>
      <c r="F82" s="58" t="str">
        <f t="shared" si="0"/>
        <v>CAMPO CALCULADO QUE PERMITE IDENTIFICAR LA ANTIGÜEDAD DE UN COMERCIO AFILIADO DE ACUERDO A SU FECHA DE APERTURA Y LA FECHA ACTUAL</v>
      </c>
      <c r="G82" s="63" t="s">
        <v>442</v>
      </c>
      <c r="H82" s="62" t="s">
        <v>135</v>
      </c>
      <c r="I82" s="65" t="s">
        <v>186</v>
      </c>
      <c r="J82" s="63" t="s">
        <v>443</v>
      </c>
      <c r="K82" s="65" t="s">
        <v>135</v>
      </c>
      <c r="L82" s="62" t="s">
        <v>182</v>
      </c>
      <c r="M82" s="62" t="s">
        <v>135</v>
      </c>
      <c r="N82" s="62" t="s">
        <v>135</v>
      </c>
    </row>
    <row r="83" spans="1:14">
      <c r="A83" s="61" t="s">
        <v>128</v>
      </c>
      <c r="B83" s="56" t="s">
        <v>129</v>
      </c>
      <c r="C83" s="57" t="s">
        <v>130</v>
      </c>
      <c r="D83" s="63" t="s">
        <v>444</v>
      </c>
      <c r="E83" s="64" t="s">
        <v>445</v>
      </c>
      <c r="F83" s="58" t="str">
        <f t="shared" si="0"/>
        <v>UBICACIÓN DE OFICINA ASOCIADA AL COMERCIO</v>
      </c>
      <c r="G83" s="63" t="s">
        <v>446</v>
      </c>
      <c r="H83" s="62" t="s">
        <v>135</v>
      </c>
      <c r="I83" s="65" t="s">
        <v>186</v>
      </c>
      <c r="J83" s="63" t="s">
        <v>447</v>
      </c>
      <c r="K83" s="65" t="s">
        <v>135</v>
      </c>
      <c r="L83" s="62" t="s">
        <v>182</v>
      </c>
      <c r="M83" s="62" t="s">
        <v>135</v>
      </c>
      <c r="N83" s="62" t="s">
        <v>135</v>
      </c>
    </row>
    <row r="84" spans="1:14">
      <c r="A84" s="65" t="s">
        <v>128</v>
      </c>
      <c r="B84" s="56" t="s">
        <v>129</v>
      </c>
      <c r="C84" s="57" t="s">
        <v>130</v>
      </c>
      <c r="D84" s="63" t="s">
        <v>448</v>
      </c>
      <c r="E84" s="64" t="s">
        <v>449</v>
      </c>
      <c r="F84" s="58" t="str">
        <f t="shared" si="0"/>
        <v>MODELO DEL EQUIPO (ESPECÍFICO)</v>
      </c>
      <c r="G84" s="63" t="s">
        <v>450</v>
      </c>
      <c r="H84" s="62" t="s">
        <v>135</v>
      </c>
      <c r="I84" s="65" t="s">
        <v>186</v>
      </c>
      <c r="J84" s="63" t="s">
        <v>451</v>
      </c>
      <c r="K84" s="65" t="s">
        <v>135</v>
      </c>
      <c r="L84" s="62" t="s">
        <v>182</v>
      </c>
      <c r="M84" s="62" t="s">
        <v>135</v>
      </c>
      <c r="N84" s="62" t="s">
        <v>135</v>
      </c>
    </row>
    <row r="85" spans="1:14">
      <c r="A85" s="69" t="s">
        <v>128</v>
      </c>
      <c r="B85" s="70" t="s">
        <v>129</v>
      </c>
      <c r="C85" s="71" t="s">
        <v>130</v>
      </c>
      <c r="D85" s="72"/>
      <c r="E85" s="72" t="s">
        <v>452</v>
      </c>
      <c r="F85" s="73" t="str">
        <f t="shared" si="0"/>
        <v>VERSIÓN DEL SOFTWARE BASE CON LA VERSIÓN</v>
      </c>
      <c r="G85" s="72" t="s">
        <v>453</v>
      </c>
      <c r="H85" s="74" t="s">
        <v>135</v>
      </c>
      <c r="I85" s="69" t="s">
        <v>186</v>
      </c>
      <c r="J85" s="72" t="s">
        <v>282</v>
      </c>
      <c r="K85" s="69" t="s">
        <v>135</v>
      </c>
      <c r="L85" s="74" t="s">
        <v>182</v>
      </c>
      <c r="M85" s="74" t="s">
        <v>135</v>
      </c>
      <c r="N85" s="74" t="s">
        <v>135</v>
      </c>
    </row>
    <row r="86" spans="1:14">
      <c r="A86" s="61" t="s">
        <v>128</v>
      </c>
      <c r="B86" s="56" t="s">
        <v>129</v>
      </c>
      <c r="C86" s="57" t="s">
        <v>130</v>
      </c>
      <c r="D86" s="63" t="s">
        <v>454</v>
      </c>
      <c r="E86" s="64" t="s">
        <v>455</v>
      </c>
      <c r="F86" s="58" t="str">
        <f t="shared" si="0"/>
        <v>FECHA DE INSTALACIÓN</v>
      </c>
      <c r="G86" s="63" t="s">
        <v>456</v>
      </c>
      <c r="H86" s="62" t="s">
        <v>135</v>
      </c>
      <c r="I86" s="65" t="s">
        <v>186</v>
      </c>
      <c r="J86" s="63">
        <v>20240613</v>
      </c>
      <c r="K86" s="65" t="s">
        <v>135</v>
      </c>
      <c r="L86" s="62" t="s">
        <v>182</v>
      </c>
      <c r="M86" s="62" t="s">
        <v>135</v>
      </c>
      <c r="N86" s="62" t="s">
        <v>135</v>
      </c>
    </row>
    <row r="87" spans="1:14">
      <c r="A87" s="82" t="s">
        <v>128</v>
      </c>
      <c r="B87" s="83" t="s">
        <v>129</v>
      </c>
      <c r="C87" s="84" t="s">
        <v>130</v>
      </c>
      <c r="D87" s="85"/>
      <c r="E87" s="64" t="s">
        <v>457</v>
      </c>
      <c r="F87" s="86" t="str">
        <f t="shared" si="0"/>
        <v/>
      </c>
      <c r="G87" s="85"/>
      <c r="H87" s="87" t="s">
        <v>135</v>
      </c>
      <c r="I87" s="82" t="s">
        <v>186</v>
      </c>
      <c r="J87" s="85"/>
      <c r="K87" s="82" t="s">
        <v>135</v>
      </c>
      <c r="L87" s="87" t="s">
        <v>182</v>
      </c>
      <c r="M87" s="87" t="s">
        <v>135</v>
      </c>
      <c r="N87" s="87" t="s">
        <v>135</v>
      </c>
    </row>
    <row r="88" spans="1:14">
      <c r="A88" s="88" t="s">
        <v>128</v>
      </c>
      <c r="B88" s="83" t="s">
        <v>129</v>
      </c>
      <c r="C88" s="84" t="s">
        <v>130</v>
      </c>
      <c r="D88" s="85"/>
      <c r="E88" s="64" t="s">
        <v>458</v>
      </c>
      <c r="F88" s="86" t="str">
        <f t="shared" si="0"/>
        <v/>
      </c>
      <c r="G88" s="85"/>
      <c r="H88" s="87" t="s">
        <v>135</v>
      </c>
      <c r="I88" s="82" t="s">
        <v>186</v>
      </c>
      <c r="J88" s="85"/>
      <c r="K88" s="82" t="s">
        <v>135</v>
      </c>
      <c r="L88" s="87" t="s">
        <v>182</v>
      </c>
      <c r="M88" s="87" t="s">
        <v>135</v>
      </c>
      <c r="N88" s="87" t="s">
        <v>135</v>
      </c>
    </row>
    <row r="89" spans="1:14">
      <c r="A89" s="82" t="s">
        <v>128</v>
      </c>
      <c r="B89" s="83" t="s">
        <v>129</v>
      </c>
      <c r="C89" s="84" t="s">
        <v>130</v>
      </c>
      <c r="D89" s="85"/>
      <c r="E89" s="64" t="s">
        <v>459</v>
      </c>
      <c r="F89" s="86" t="str">
        <f t="shared" si="0"/>
        <v/>
      </c>
      <c r="G89" s="85"/>
      <c r="H89" s="87" t="s">
        <v>135</v>
      </c>
      <c r="I89" s="82" t="s">
        <v>186</v>
      </c>
      <c r="J89" s="85">
        <v>20250704</v>
      </c>
      <c r="K89" s="82" t="s">
        <v>135</v>
      </c>
      <c r="L89" s="87" t="s">
        <v>182</v>
      </c>
      <c r="M89" s="87" t="s">
        <v>135</v>
      </c>
      <c r="N89" s="87" t="s">
        <v>135</v>
      </c>
    </row>
    <row r="90" spans="1:14">
      <c r="A90" s="88" t="s">
        <v>128</v>
      </c>
      <c r="B90" s="83" t="s">
        <v>129</v>
      </c>
      <c r="C90" s="84" t="s">
        <v>130</v>
      </c>
      <c r="D90" s="85"/>
      <c r="E90" s="64" t="s">
        <v>460</v>
      </c>
      <c r="F90" s="86" t="str">
        <f t="shared" si="0"/>
        <v/>
      </c>
      <c r="G90" s="85"/>
      <c r="H90" s="87" t="s">
        <v>135</v>
      </c>
      <c r="I90" s="82" t="s">
        <v>186</v>
      </c>
      <c r="J90" s="85">
        <v>448039</v>
      </c>
      <c r="K90" s="82" t="s">
        <v>135</v>
      </c>
      <c r="L90" s="87" t="s">
        <v>182</v>
      </c>
      <c r="M90" s="87" t="s">
        <v>135</v>
      </c>
      <c r="N90" s="87" t="s">
        <v>135</v>
      </c>
    </row>
    <row r="91" spans="1:14">
      <c r="A91" s="82" t="s">
        <v>128</v>
      </c>
      <c r="B91" s="83" t="s">
        <v>129</v>
      </c>
      <c r="C91" s="84" t="s">
        <v>130</v>
      </c>
      <c r="D91" s="85"/>
      <c r="E91" s="64" t="s">
        <v>461</v>
      </c>
      <c r="F91" s="86" t="str">
        <f t="shared" si="0"/>
        <v/>
      </c>
      <c r="G91" s="85"/>
      <c r="H91" s="87" t="s">
        <v>135</v>
      </c>
      <c r="I91" s="82" t="s">
        <v>186</v>
      </c>
      <c r="J91" s="85" t="s">
        <v>462</v>
      </c>
      <c r="K91" s="82" t="s">
        <v>135</v>
      </c>
      <c r="L91" s="87" t="s">
        <v>182</v>
      </c>
      <c r="M91" s="87" t="s">
        <v>135</v>
      </c>
      <c r="N91" s="87" t="s">
        <v>135</v>
      </c>
    </row>
    <row r="92" spans="1:14">
      <c r="A92" s="65" t="s">
        <v>128</v>
      </c>
      <c r="B92" s="56" t="s">
        <v>129</v>
      </c>
      <c r="C92" s="57" t="s">
        <v>130</v>
      </c>
      <c r="D92" s="63" t="s">
        <v>463</v>
      </c>
      <c r="E92" s="64" t="s">
        <v>463</v>
      </c>
      <c r="F92" s="58" t="str">
        <f t="shared" si="0"/>
        <v>DATO DE AUDITORÍA: DESCRIPCIÓN DEL APLICATIVO ORIGEN DE LOS DATOS.</v>
      </c>
      <c r="G92" s="63" t="s">
        <v>464</v>
      </c>
      <c r="H92" s="62" t="s">
        <v>135</v>
      </c>
      <c r="I92" s="62" t="s">
        <v>186</v>
      </c>
      <c r="J92" s="63"/>
      <c r="K92" s="65" t="s">
        <v>135</v>
      </c>
      <c r="L92" s="62" t="s">
        <v>182</v>
      </c>
      <c r="M92" s="62" t="s">
        <v>135</v>
      </c>
      <c r="N92" s="62" t="s">
        <v>135</v>
      </c>
    </row>
    <row r="93" spans="1:14">
      <c r="A93" s="61" t="s">
        <v>128</v>
      </c>
      <c r="B93" s="56" t="s">
        <v>129</v>
      </c>
      <c r="C93" s="57" t="s">
        <v>130</v>
      </c>
      <c r="D93" s="63" t="s">
        <v>465</v>
      </c>
      <c r="E93" s="64" t="s">
        <v>465</v>
      </c>
      <c r="F93" s="58" t="str">
        <f t="shared" si="0"/>
        <v>FECHA Y HORA DE INSERCIÓN DEL REGISTRO EN EL MODELO</v>
      </c>
      <c r="G93" s="63" t="s">
        <v>466</v>
      </c>
      <c r="H93" s="60" t="s">
        <v>135</v>
      </c>
      <c r="I93" s="62" t="s">
        <v>373</v>
      </c>
      <c r="J93" s="63" t="s">
        <v>467</v>
      </c>
      <c r="K93" s="65" t="s">
        <v>135</v>
      </c>
      <c r="L93" s="62" t="s">
        <v>135</v>
      </c>
      <c r="M93" s="62" t="s">
        <v>135</v>
      </c>
      <c r="N93" s="62" t="s">
        <v>135</v>
      </c>
    </row>
    <row r="94" spans="1:14">
      <c r="A94" s="65" t="s">
        <v>128</v>
      </c>
      <c r="B94" s="56" t="s">
        <v>129</v>
      </c>
      <c r="C94" s="57" t="s">
        <v>130</v>
      </c>
      <c r="D94" s="63" t="s">
        <v>468</v>
      </c>
      <c r="E94" s="64" t="s">
        <v>468</v>
      </c>
      <c r="F94" s="58" t="str">
        <f t="shared" si="0"/>
        <v>USUARIO QUE CREA EL REGISTRO EN LA BD</v>
      </c>
      <c r="G94" s="63" t="s">
        <v>469</v>
      </c>
      <c r="H94" s="62" t="s">
        <v>135</v>
      </c>
      <c r="I94" s="62" t="s">
        <v>186</v>
      </c>
      <c r="J94" s="63"/>
      <c r="K94" s="65" t="s">
        <v>135</v>
      </c>
      <c r="L94" s="62" t="s">
        <v>135</v>
      </c>
      <c r="M94" s="62" t="s">
        <v>135</v>
      </c>
      <c r="N94" s="62" t="s">
        <v>135</v>
      </c>
    </row>
    <row r="95" spans="1:14"/>
    <row r="96" spans="1:14"/>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sheetData>
  <autoFilter ref="A2:N94" xr:uid="{00000000-0009-0000-0000-000004000000}"/>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M1204"/>
  <sheetViews>
    <sheetView showGridLines="0" workbookViewId="0">
      <pane ySplit="2" topLeftCell="A3" activePane="bottomLeft" state="frozen"/>
      <selection pane="bottomLeft" activeCell="B4" sqref="B4"/>
    </sheetView>
  </sheetViews>
  <sheetFormatPr baseColWidth="10" defaultColWidth="14.44140625" defaultRowHeight="15" customHeight="1"/>
  <cols>
    <col min="1" max="1" width="31.33203125" customWidth="1"/>
    <col min="2" max="2" width="18.5546875" customWidth="1"/>
    <col min="3" max="3" width="22.5546875" customWidth="1"/>
    <col min="4" max="4" width="32.88671875" customWidth="1"/>
    <col min="5" max="5" width="66.6640625" customWidth="1"/>
    <col min="6" max="6" width="74.44140625" customWidth="1"/>
    <col min="7" max="7" width="13.5546875" customWidth="1"/>
    <col min="8" max="8" width="24.44140625" customWidth="1"/>
    <col min="9" max="9" width="60.6640625" customWidth="1"/>
    <col min="10" max="10" width="32.109375" customWidth="1"/>
    <col min="11" max="11" width="28.109375" customWidth="1"/>
    <col min="12" max="12" width="30.44140625" customWidth="1"/>
    <col min="13" max="13" width="27" customWidth="1"/>
    <col min="14" max="14" width="23.88671875" customWidth="1"/>
    <col min="15" max="18" width="47.6640625" customWidth="1"/>
  </cols>
  <sheetData>
    <row r="1" spans="1:13" ht="31.2">
      <c r="A1" s="47" t="s">
        <v>92</v>
      </c>
      <c r="B1" s="48" t="s">
        <v>93</v>
      </c>
      <c r="C1" s="48" t="s">
        <v>94</v>
      </c>
      <c r="D1" s="48" t="s">
        <v>156</v>
      </c>
      <c r="E1" s="48" t="s">
        <v>159</v>
      </c>
      <c r="F1" s="48" t="s">
        <v>160</v>
      </c>
      <c r="G1" s="48" t="s">
        <v>161</v>
      </c>
      <c r="H1" s="48" t="s">
        <v>162</v>
      </c>
      <c r="I1" s="48" t="s">
        <v>163</v>
      </c>
      <c r="J1" s="48" t="s">
        <v>164</v>
      </c>
      <c r="K1" s="48" t="s">
        <v>165</v>
      </c>
      <c r="L1" s="50" t="s">
        <v>166</v>
      </c>
      <c r="M1" s="50" t="s">
        <v>167</v>
      </c>
    </row>
    <row r="2" spans="1:13" ht="62.4">
      <c r="A2" s="52" t="s">
        <v>112</v>
      </c>
      <c r="B2" s="52" t="s">
        <v>113</v>
      </c>
      <c r="C2" s="52" t="s">
        <v>168</v>
      </c>
      <c r="D2" s="53" t="s">
        <v>169</v>
      </c>
      <c r="E2" s="53" t="s">
        <v>170</v>
      </c>
      <c r="F2" s="53" t="s">
        <v>171</v>
      </c>
      <c r="G2" s="53" t="s">
        <v>172</v>
      </c>
      <c r="H2" s="53" t="s">
        <v>173</v>
      </c>
      <c r="I2" s="53" t="s">
        <v>174</v>
      </c>
      <c r="J2" s="53" t="s">
        <v>175</v>
      </c>
      <c r="K2" s="53" t="s">
        <v>176</v>
      </c>
      <c r="L2" s="53" t="s">
        <v>177</v>
      </c>
      <c r="M2" s="53" t="s">
        <v>176</v>
      </c>
    </row>
    <row r="3" spans="1:13" ht="14.4">
      <c r="A3" s="61" t="s">
        <v>128</v>
      </c>
      <c r="B3" s="56" t="s">
        <v>129</v>
      </c>
      <c r="C3" s="57" t="s">
        <v>130</v>
      </c>
      <c r="D3" s="58" t="s">
        <v>178</v>
      </c>
      <c r="E3" s="58" t="str">
        <f t="shared" ref="E3:E72" si="0">UPPER(F3)</f>
        <v>FECHA DE PROCESAMIENTO DE LA TABLA (DÍA ACTUAL) QUE CONTIENE DATA AL CIERRE DEL DÍA ANTERIOR</v>
      </c>
      <c r="F3" s="58" t="s">
        <v>470</v>
      </c>
      <c r="G3" s="60" t="s">
        <v>135</v>
      </c>
      <c r="H3" s="60" t="s">
        <v>180</v>
      </c>
      <c r="I3" s="58" t="s">
        <v>181</v>
      </c>
      <c r="J3" s="61" t="s">
        <v>135</v>
      </c>
      <c r="K3" s="60" t="s">
        <v>135</v>
      </c>
      <c r="L3" s="60" t="s">
        <v>182</v>
      </c>
      <c r="M3" s="62" t="s">
        <v>135</v>
      </c>
    </row>
    <row r="4" spans="1:13" ht="14.4">
      <c r="A4" s="61" t="s">
        <v>128</v>
      </c>
      <c r="B4" s="56" t="s">
        <v>129</v>
      </c>
      <c r="C4" s="57" t="s">
        <v>130</v>
      </c>
      <c r="D4" s="63" t="s">
        <v>183</v>
      </c>
      <c r="E4" s="58" t="str">
        <f t="shared" si="0"/>
        <v>CÓDIGO DEL COMERCIO ADAPTADO A LOS 7 PRIMEROS DÍGITOS</v>
      </c>
      <c r="F4" s="63" t="s">
        <v>471</v>
      </c>
      <c r="G4" s="62" t="s">
        <v>135</v>
      </c>
      <c r="H4" s="65" t="s">
        <v>186</v>
      </c>
      <c r="I4" s="63">
        <v>5680791</v>
      </c>
      <c r="J4" s="65" t="s">
        <v>135</v>
      </c>
      <c r="K4" s="62" t="s">
        <v>182</v>
      </c>
      <c r="L4" s="62" t="s">
        <v>135</v>
      </c>
      <c r="M4" s="62" t="s">
        <v>182</v>
      </c>
    </row>
    <row r="5" spans="1:13" ht="14.4">
      <c r="A5" s="61" t="s">
        <v>128</v>
      </c>
      <c r="B5" s="56" t="s">
        <v>129</v>
      </c>
      <c r="C5" s="57" t="s">
        <v>130</v>
      </c>
      <c r="D5" s="63" t="s">
        <v>472</v>
      </c>
      <c r="E5" s="58" t="str">
        <f t="shared" si="0"/>
        <v>CÓDIGO DEL COMERCIO ORIGINAL PROVENIENTE DEL MCCENTER</v>
      </c>
      <c r="F5" s="63" t="s">
        <v>473</v>
      </c>
      <c r="G5" s="62" t="s">
        <v>135</v>
      </c>
      <c r="H5" s="65" t="s">
        <v>186</v>
      </c>
      <c r="I5" s="63">
        <v>568079190000</v>
      </c>
      <c r="J5" s="65" t="s">
        <v>135</v>
      </c>
      <c r="K5" s="62" t="s">
        <v>182</v>
      </c>
      <c r="L5" s="62" t="s">
        <v>135</v>
      </c>
      <c r="M5" s="62" t="s">
        <v>135</v>
      </c>
    </row>
    <row r="6" spans="1:13" ht="14.4">
      <c r="A6" s="65" t="s">
        <v>128</v>
      </c>
      <c r="B6" s="56" t="s">
        <v>129</v>
      </c>
      <c r="C6" s="57" t="s">
        <v>130</v>
      </c>
      <c r="D6" s="63" t="s">
        <v>187</v>
      </c>
      <c r="E6" s="58" t="str">
        <f t="shared" si="0"/>
        <v>TIPO DE ADQUIRENTE/CAJERO CORRESPONSAL</v>
      </c>
      <c r="F6" s="63" t="s">
        <v>189</v>
      </c>
      <c r="G6" s="62" t="s">
        <v>135</v>
      </c>
      <c r="H6" s="65" t="s">
        <v>186</v>
      </c>
      <c r="I6" s="63" t="s">
        <v>190</v>
      </c>
      <c r="J6" s="65" t="s">
        <v>135</v>
      </c>
      <c r="K6" s="62" t="s">
        <v>182</v>
      </c>
      <c r="L6" s="62" t="s">
        <v>135</v>
      </c>
      <c r="M6" s="62" t="s">
        <v>135</v>
      </c>
    </row>
    <row r="7" spans="1:13" ht="14.4">
      <c r="A7" s="65" t="s">
        <v>128</v>
      </c>
      <c r="B7" s="56" t="s">
        <v>129</v>
      </c>
      <c r="C7" s="57" t="s">
        <v>130</v>
      </c>
      <c r="D7" s="63" t="s">
        <v>200</v>
      </c>
      <c r="E7" s="58" t="str">
        <f t="shared" si="0"/>
        <v>CATEGORÍA DEL COMERCIO SEGÚN CLASIFICACIÓN</v>
      </c>
      <c r="F7" s="63" t="s">
        <v>202</v>
      </c>
      <c r="G7" s="62" t="s">
        <v>135</v>
      </c>
      <c r="H7" s="65" t="s">
        <v>186</v>
      </c>
      <c r="I7" s="63" t="s">
        <v>203</v>
      </c>
      <c r="J7" s="65" t="s">
        <v>135</v>
      </c>
      <c r="K7" s="62" t="s">
        <v>182</v>
      </c>
      <c r="L7" s="62" t="s">
        <v>135</v>
      </c>
      <c r="M7" s="62" t="s">
        <v>135</v>
      </c>
    </row>
    <row r="8" spans="1:13" ht="14.4">
      <c r="A8" s="65" t="s">
        <v>128</v>
      </c>
      <c r="B8" s="56" t="s">
        <v>129</v>
      </c>
      <c r="C8" s="57" t="s">
        <v>130</v>
      </c>
      <c r="D8" s="68" t="s">
        <v>207</v>
      </c>
      <c r="E8" s="58" t="str">
        <f t="shared" si="0"/>
        <v>NÚMERO DE IDENTIFICACIÓN DEL COMERCIO (RUC, DNI, CARNET DE EXTRANJERÍA)</v>
      </c>
      <c r="F8" s="63" t="s">
        <v>209</v>
      </c>
      <c r="G8" s="62" t="s">
        <v>182</v>
      </c>
      <c r="H8" s="65" t="s">
        <v>186</v>
      </c>
      <c r="I8" s="63">
        <v>10400533488</v>
      </c>
      <c r="J8" s="65" t="s">
        <v>135</v>
      </c>
      <c r="K8" s="62" t="s">
        <v>182</v>
      </c>
      <c r="L8" s="62" t="s">
        <v>135</v>
      </c>
      <c r="M8" s="62" t="s">
        <v>182</v>
      </c>
    </row>
    <row r="9" spans="1:13" ht="14.4">
      <c r="A9" s="61" t="s">
        <v>128</v>
      </c>
      <c r="B9" s="56" t="s">
        <v>129</v>
      </c>
      <c r="C9" s="57" t="s">
        <v>130</v>
      </c>
      <c r="D9" s="68" t="s">
        <v>224</v>
      </c>
      <c r="E9" s="58" t="str">
        <f t="shared" si="0"/>
        <v>TELÉFONO DEL COMERCIO</v>
      </c>
      <c r="F9" s="63" t="s">
        <v>226</v>
      </c>
      <c r="G9" s="62" t="s">
        <v>182</v>
      </c>
      <c r="H9" s="65" t="s">
        <v>227</v>
      </c>
      <c r="I9" s="63"/>
      <c r="J9" s="65" t="s">
        <v>135</v>
      </c>
      <c r="K9" s="62" t="s">
        <v>182</v>
      </c>
      <c r="L9" s="62" t="s">
        <v>135</v>
      </c>
      <c r="M9" s="62" t="s">
        <v>135</v>
      </c>
    </row>
    <row r="10" spans="1:13" ht="14.4">
      <c r="A10" s="65" t="s">
        <v>128</v>
      </c>
      <c r="B10" s="56" t="s">
        <v>129</v>
      </c>
      <c r="C10" s="57" t="s">
        <v>130</v>
      </c>
      <c r="D10" s="68" t="s">
        <v>228</v>
      </c>
      <c r="E10" s="58" t="str">
        <f t="shared" si="0"/>
        <v>INDICA EL NOMBRE DEL CONTACTO DEL COMERCIO</v>
      </c>
      <c r="F10" s="63" t="s">
        <v>230</v>
      </c>
      <c r="G10" s="62" t="s">
        <v>182</v>
      </c>
      <c r="H10" s="65" t="s">
        <v>227</v>
      </c>
      <c r="I10" s="63"/>
      <c r="J10" s="65" t="s">
        <v>135</v>
      </c>
      <c r="K10" s="62" t="s">
        <v>182</v>
      </c>
      <c r="L10" s="62" t="s">
        <v>135</v>
      </c>
      <c r="M10" s="62" t="s">
        <v>135</v>
      </c>
    </row>
    <row r="11" spans="1:13" ht="14.4">
      <c r="A11" s="65" t="s">
        <v>128</v>
      </c>
      <c r="B11" s="56" t="s">
        <v>129</v>
      </c>
      <c r="C11" s="57" t="s">
        <v>130</v>
      </c>
      <c r="D11" s="63" t="s">
        <v>231</v>
      </c>
      <c r="E11" s="58" t="str">
        <f t="shared" si="0"/>
        <v>INDICA LAS OPCIONES QUE TIENE HABILITADO EL COMERCIO</v>
      </c>
      <c r="F11" s="63" t="s">
        <v>233</v>
      </c>
      <c r="G11" s="62" t="s">
        <v>135</v>
      </c>
      <c r="H11" s="65" t="s">
        <v>186</v>
      </c>
      <c r="I11" s="63" t="s">
        <v>234</v>
      </c>
      <c r="J11" s="65" t="s">
        <v>135</v>
      </c>
      <c r="K11" s="62" t="s">
        <v>182</v>
      </c>
      <c r="L11" s="62" t="s">
        <v>135</v>
      </c>
      <c r="M11" s="62" t="s">
        <v>135</v>
      </c>
    </row>
    <row r="12" spans="1:13" ht="14.4">
      <c r="A12" s="61" t="s">
        <v>128</v>
      </c>
      <c r="B12" s="56" t="s">
        <v>129</v>
      </c>
      <c r="C12" s="57" t="s">
        <v>130</v>
      </c>
      <c r="D12" s="63" t="s">
        <v>235</v>
      </c>
      <c r="E12" s="58" t="str">
        <f t="shared" si="0"/>
        <v>INDICA LA ACTUALIZACIÓN DEL POS DEL COMERCIO</v>
      </c>
      <c r="F12" s="63" t="s">
        <v>237</v>
      </c>
      <c r="G12" s="62" t="s">
        <v>135</v>
      </c>
      <c r="H12" s="65" t="s">
        <v>186</v>
      </c>
      <c r="I12" s="63" t="s">
        <v>238</v>
      </c>
      <c r="J12" s="65" t="s">
        <v>135</v>
      </c>
      <c r="K12" s="62" t="s">
        <v>182</v>
      </c>
      <c r="L12" s="62" t="s">
        <v>135</v>
      </c>
      <c r="M12" s="62" t="s">
        <v>135</v>
      </c>
    </row>
    <row r="13" spans="1:13" ht="14.4">
      <c r="A13" s="65" t="s">
        <v>128</v>
      </c>
      <c r="B13" s="56" t="s">
        <v>129</v>
      </c>
      <c r="C13" s="57" t="s">
        <v>130</v>
      </c>
      <c r="D13" s="63" t="s">
        <v>239</v>
      </c>
      <c r="E13" s="58" t="str">
        <f t="shared" si="0"/>
        <v>CÓDIGO DE TERMINAL</v>
      </c>
      <c r="F13" s="63" t="s">
        <v>241</v>
      </c>
      <c r="G13" s="62" t="s">
        <v>135</v>
      </c>
      <c r="H13" s="65" t="s">
        <v>186</v>
      </c>
      <c r="I13" s="63">
        <v>1</v>
      </c>
      <c r="J13" s="65" t="s">
        <v>135</v>
      </c>
      <c r="K13" s="62" t="s">
        <v>182</v>
      </c>
      <c r="L13" s="62" t="s">
        <v>135</v>
      </c>
      <c r="M13" s="62" t="s">
        <v>135</v>
      </c>
    </row>
    <row r="14" spans="1:13" ht="14.4">
      <c r="A14" s="61" t="s">
        <v>128</v>
      </c>
      <c r="B14" s="56" t="s">
        <v>129</v>
      </c>
      <c r="C14" s="57" t="s">
        <v>130</v>
      </c>
      <c r="D14" s="63" t="s">
        <v>242</v>
      </c>
      <c r="E14" s="58" t="str">
        <f t="shared" si="0"/>
        <v>NÚMERO DE SERIE DEL POS (INICIAL, SOLO LOS 8 ÚLTIMOS DÍGITOS). ES LA QUE FIGURA EN EL SISTEMA MCCENTER, PUEDE SER LA SERIE CORTA, ÚLTIMOS 8 Ó LA SERIE AUTOGENERADA DEL MPOS</v>
      </c>
      <c r="F14" s="63" t="s">
        <v>244</v>
      </c>
      <c r="G14" s="62" t="s">
        <v>135</v>
      </c>
      <c r="H14" s="65" t="s">
        <v>186</v>
      </c>
      <c r="I14" s="63" t="s">
        <v>245</v>
      </c>
      <c r="J14" s="65" t="s">
        <v>135</v>
      </c>
      <c r="K14" s="62" t="s">
        <v>182</v>
      </c>
      <c r="L14" s="62" t="s">
        <v>135</v>
      </c>
      <c r="M14" s="62" t="s">
        <v>182</v>
      </c>
    </row>
    <row r="15" spans="1:13" ht="14.4">
      <c r="A15" s="65" t="s">
        <v>128</v>
      </c>
      <c r="B15" s="56" t="s">
        <v>129</v>
      </c>
      <c r="C15" s="57" t="s">
        <v>130</v>
      </c>
      <c r="D15" s="63" t="s">
        <v>246</v>
      </c>
      <c r="E15" s="58" t="str">
        <f t="shared" si="0"/>
        <v>TIPO DE CONEXIÓN DEL POS ESPECÍFICO</v>
      </c>
      <c r="F15" s="63" t="s">
        <v>248</v>
      </c>
      <c r="G15" s="62" t="s">
        <v>135</v>
      </c>
      <c r="H15" s="65" t="s">
        <v>186</v>
      </c>
      <c r="I15" s="63" t="s">
        <v>249</v>
      </c>
      <c r="J15" s="65" t="s">
        <v>135</v>
      </c>
      <c r="K15" s="62" t="s">
        <v>182</v>
      </c>
      <c r="L15" s="62" t="s">
        <v>135</v>
      </c>
      <c r="M15" s="62" t="s">
        <v>135</v>
      </c>
    </row>
    <row r="16" spans="1:13" ht="14.4">
      <c r="A16" s="61" t="s">
        <v>128</v>
      </c>
      <c r="B16" s="56" t="s">
        <v>129</v>
      </c>
      <c r="C16" s="57" t="s">
        <v>130</v>
      </c>
      <c r="D16" s="63" t="s">
        <v>250</v>
      </c>
      <c r="E16" s="58" t="str">
        <f t="shared" si="0"/>
        <v>TIPO DE CONEXIÓN DEL POS</v>
      </c>
      <c r="F16" s="63" t="s">
        <v>252</v>
      </c>
      <c r="G16" s="62" t="s">
        <v>135</v>
      </c>
      <c r="H16" s="65" t="s">
        <v>186</v>
      </c>
      <c r="I16" s="63" t="s">
        <v>253</v>
      </c>
      <c r="J16" s="65" t="s">
        <v>135</v>
      </c>
      <c r="K16" s="62" t="s">
        <v>182</v>
      </c>
      <c r="L16" s="62" t="s">
        <v>135</v>
      </c>
      <c r="M16" s="62" t="s">
        <v>135</v>
      </c>
    </row>
    <row r="17" spans="1:13" ht="14.4">
      <c r="A17" s="65" t="s">
        <v>128</v>
      </c>
      <c r="B17" s="56" t="s">
        <v>129</v>
      </c>
      <c r="C17" s="57" t="s">
        <v>130</v>
      </c>
      <c r="D17" s="63" t="s">
        <v>254</v>
      </c>
      <c r="E17" s="58" t="str">
        <f t="shared" si="0"/>
        <v>NOMBRE DEL TIPO DE TERMINAL/EQUIPO DEL COMERCIO</v>
      </c>
      <c r="F17" s="63" t="s">
        <v>256</v>
      </c>
      <c r="G17" s="62" t="s">
        <v>135</v>
      </c>
      <c r="H17" s="65" t="s">
        <v>186</v>
      </c>
      <c r="I17" s="63" t="s">
        <v>257</v>
      </c>
      <c r="J17" s="65" t="s">
        <v>135</v>
      </c>
      <c r="K17" s="62" t="s">
        <v>182</v>
      </c>
      <c r="L17" s="62" t="s">
        <v>135</v>
      </c>
      <c r="M17" s="62" t="s">
        <v>135</v>
      </c>
    </row>
    <row r="18" spans="1:13" ht="14.4">
      <c r="A18" s="65" t="s">
        <v>128</v>
      </c>
      <c r="B18" s="56" t="s">
        <v>129</v>
      </c>
      <c r="C18" s="57" t="s">
        <v>130</v>
      </c>
      <c r="D18" s="63" t="s">
        <v>258</v>
      </c>
      <c r="E18" s="58" t="str">
        <f t="shared" si="0"/>
        <v>FECHA DE ÚLTIMA CONEXIÓN CON MCCENTER</v>
      </c>
      <c r="F18" s="63" t="s">
        <v>260</v>
      </c>
      <c r="G18" s="62" t="s">
        <v>135</v>
      </c>
      <c r="H18" s="65" t="s">
        <v>180</v>
      </c>
      <c r="I18" s="76">
        <v>45689</v>
      </c>
      <c r="J18" s="65" t="s">
        <v>135</v>
      </c>
      <c r="K18" s="62" t="s">
        <v>182</v>
      </c>
      <c r="L18" s="62" t="s">
        <v>135</v>
      </c>
      <c r="M18" s="62" t="s">
        <v>135</v>
      </c>
    </row>
    <row r="19" spans="1:13" ht="14.4">
      <c r="A19" s="61" t="s">
        <v>128</v>
      </c>
      <c r="B19" s="56" t="s">
        <v>129</v>
      </c>
      <c r="C19" s="57" t="s">
        <v>130</v>
      </c>
      <c r="D19" s="63" t="s">
        <v>261</v>
      </c>
      <c r="E19" s="58" t="str">
        <f t="shared" si="0"/>
        <v>FECHA DE ÚLTIMA TRANSACCIÓN FINANCIERA</v>
      </c>
      <c r="F19" s="63" t="s">
        <v>263</v>
      </c>
      <c r="G19" s="62" t="s">
        <v>135</v>
      </c>
      <c r="H19" s="65" t="s">
        <v>180</v>
      </c>
      <c r="I19" s="76">
        <v>45689</v>
      </c>
      <c r="J19" s="65" t="s">
        <v>135</v>
      </c>
      <c r="K19" s="62" t="s">
        <v>182</v>
      </c>
      <c r="L19" s="62" t="s">
        <v>135</v>
      </c>
      <c r="M19" s="62" t="s">
        <v>135</v>
      </c>
    </row>
    <row r="20" spans="1:13" ht="14.4">
      <c r="A20" s="65" t="s">
        <v>128</v>
      </c>
      <c r="B20" s="56" t="s">
        <v>129</v>
      </c>
      <c r="C20" s="57" t="s">
        <v>130</v>
      </c>
      <c r="D20" s="63" t="s">
        <v>264</v>
      </c>
      <c r="E20" s="58" t="str">
        <f t="shared" si="0"/>
        <v>FECHA DE ÚLTIMA TRANSACCIÓN ADMINISTRATIVA</v>
      </c>
      <c r="F20" s="63" t="s">
        <v>266</v>
      </c>
      <c r="G20" s="62" t="s">
        <v>135</v>
      </c>
      <c r="H20" s="65" t="s">
        <v>180</v>
      </c>
      <c r="I20" s="76">
        <v>45689</v>
      </c>
      <c r="J20" s="65" t="s">
        <v>135</v>
      </c>
      <c r="K20" s="62" t="s">
        <v>182</v>
      </c>
      <c r="L20" s="62" t="s">
        <v>135</v>
      </c>
      <c r="M20" s="62" t="s">
        <v>135</v>
      </c>
    </row>
    <row r="21" spans="1:13" ht="14.4">
      <c r="A21" s="61" t="s">
        <v>128</v>
      </c>
      <c r="B21" s="56" t="s">
        <v>129</v>
      </c>
      <c r="C21" s="57" t="s">
        <v>130</v>
      </c>
      <c r="D21" s="63" t="s">
        <v>267</v>
      </c>
      <c r="E21" s="58" t="str">
        <f t="shared" si="0"/>
        <v>SITUACIÓN DE TERMINAL SEGÚN LA ÚLTIMA TRANSACCIÓN DE POS</v>
      </c>
      <c r="F21" s="63" t="s">
        <v>269</v>
      </c>
      <c r="G21" s="62" t="s">
        <v>135</v>
      </c>
      <c r="H21" s="65" t="s">
        <v>186</v>
      </c>
      <c r="I21" s="58" t="s">
        <v>270</v>
      </c>
      <c r="J21" s="65" t="s">
        <v>135</v>
      </c>
      <c r="K21" s="62" t="s">
        <v>182</v>
      </c>
      <c r="L21" s="62" t="s">
        <v>135</v>
      </c>
      <c r="M21" s="62" t="s">
        <v>135</v>
      </c>
    </row>
    <row r="22" spans="1:13" ht="14.4">
      <c r="A22" s="65" t="s">
        <v>128</v>
      </c>
      <c r="B22" s="56" t="s">
        <v>129</v>
      </c>
      <c r="C22" s="57" t="s">
        <v>130</v>
      </c>
      <c r="D22" s="63" t="s">
        <v>271</v>
      </c>
      <c r="E22" s="58" t="str">
        <f t="shared" si="0"/>
        <v>MODELO DEL EQUIPO (GENERAL) PROVENIENTE DEL AS400</v>
      </c>
      <c r="F22" s="63" t="s">
        <v>474</v>
      </c>
      <c r="G22" s="62" t="s">
        <v>135</v>
      </c>
      <c r="H22" s="65" t="s">
        <v>186</v>
      </c>
      <c r="I22" s="58" t="s">
        <v>274</v>
      </c>
      <c r="J22" s="65" t="s">
        <v>135</v>
      </c>
      <c r="K22" s="62" t="s">
        <v>182</v>
      </c>
      <c r="L22" s="62" t="s">
        <v>135</v>
      </c>
      <c r="M22" s="62" t="s">
        <v>135</v>
      </c>
    </row>
    <row r="23" spans="1:13" ht="14.4">
      <c r="A23" s="61" t="s">
        <v>128</v>
      </c>
      <c r="B23" s="56" t="s">
        <v>129</v>
      </c>
      <c r="C23" s="57" t="s">
        <v>130</v>
      </c>
      <c r="D23" s="63" t="s">
        <v>275</v>
      </c>
      <c r="E23" s="58" t="str">
        <f t="shared" si="0"/>
        <v>MODELO DEL EQUIPO (CÓDIGO DEL MODELO) PROVENIENTE DEL MCCENTER</v>
      </c>
      <c r="F23" s="63" t="s">
        <v>475</v>
      </c>
      <c r="G23" s="62" t="s">
        <v>135</v>
      </c>
      <c r="H23" s="65" t="s">
        <v>186</v>
      </c>
      <c r="I23" s="58" t="s">
        <v>278</v>
      </c>
      <c r="J23" s="65" t="s">
        <v>135</v>
      </c>
      <c r="K23" s="62" t="s">
        <v>182</v>
      </c>
      <c r="L23" s="62" t="s">
        <v>135</v>
      </c>
      <c r="M23" s="62" t="s">
        <v>135</v>
      </c>
    </row>
    <row r="24" spans="1:13" ht="14.4">
      <c r="A24" s="61" t="s">
        <v>128</v>
      </c>
      <c r="B24" s="56" t="s">
        <v>129</v>
      </c>
      <c r="C24" s="57" t="s">
        <v>130</v>
      </c>
      <c r="D24" s="63" t="s">
        <v>279</v>
      </c>
      <c r="E24" s="58" t="str">
        <f t="shared" si="0"/>
        <v>VERSIÓN DEL SOFTWARE BASE (ORIGEN: MCCENTER)</v>
      </c>
      <c r="F24" s="63" t="s">
        <v>281</v>
      </c>
      <c r="G24" s="62" t="s">
        <v>135</v>
      </c>
      <c r="H24" s="65" t="s">
        <v>186</v>
      </c>
      <c r="I24" s="63" t="s">
        <v>282</v>
      </c>
      <c r="J24" s="65" t="s">
        <v>135</v>
      </c>
      <c r="K24" s="62" t="s">
        <v>182</v>
      </c>
      <c r="L24" s="62" t="s">
        <v>135</v>
      </c>
      <c r="M24" s="62" t="s">
        <v>135</v>
      </c>
    </row>
    <row r="25" spans="1:13" ht="14.4">
      <c r="A25" s="65" t="s">
        <v>128</v>
      </c>
      <c r="B25" s="56" t="s">
        <v>129</v>
      </c>
      <c r="C25" s="57" t="s">
        <v>130</v>
      </c>
      <c r="D25" s="63" t="s">
        <v>283</v>
      </c>
      <c r="E25" s="58" t="str">
        <f t="shared" si="0"/>
        <v>INDICA LA VERSIÓN DE FIRMWARE CONTACTLESS QUE POSEE EL TERMINAL</v>
      </c>
      <c r="F25" s="63" t="s">
        <v>285</v>
      </c>
      <c r="G25" s="62" t="s">
        <v>135</v>
      </c>
      <c r="H25" s="65" t="s">
        <v>186</v>
      </c>
      <c r="I25" s="77" t="s">
        <v>286</v>
      </c>
      <c r="J25" s="65" t="s">
        <v>135</v>
      </c>
      <c r="K25" s="62" t="s">
        <v>182</v>
      </c>
      <c r="L25" s="62" t="s">
        <v>135</v>
      </c>
      <c r="M25" s="62" t="s">
        <v>135</v>
      </c>
    </row>
    <row r="26" spans="1:13" ht="14.4">
      <c r="A26" s="61" t="s">
        <v>128</v>
      </c>
      <c r="B26" s="56" t="s">
        <v>129</v>
      </c>
      <c r="C26" s="57" t="s">
        <v>130</v>
      </c>
      <c r="D26" s="63" t="s">
        <v>287</v>
      </c>
      <c r="E26" s="58" t="str">
        <f t="shared" si="0"/>
        <v>NÚMERO DEL CHIP QUE SE ENCUENTRA EN EL EQUIPO.</v>
      </c>
      <c r="F26" s="63" t="s">
        <v>289</v>
      </c>
      <c r="G26" s="62" t="s">
        <v>135</v>
      </c>
      <c r="H26" s="65" t="s">
        <v>186</v>
      </c>
      <c r="I26" s="63" t="s">
        <v>290</v>
      </c>
      <c r="J26" s="65" t="s">
        <v>135</v>
      </c>
      <c r="K26" s="62" t="s">
        <v>182</v>
      </c>
      <c r="L26" s="62" t="s">
        <v>135</v>
      </c>
      <c r="M26" s="62" t="s">
        <v>135</v>
      </c>
    </row>
    <row r="27" spans="1:13" ht="14.4">
      <c r="A27" s="65" t="s">
        <v>128</v>
      </c>
      <c r="B27" s="56" t="s">
        <v>129</v>
      </c>
      <c r="C27" s="57" t="s">
        <v>130</v>
      </c>
      <c r="D27" s="68" t="s">
        <v>291</v>
      </c>
      <c r="E27" s="58" t="str">
        <f t="shared" si="0"/>
        <v>NÚMERO DE TELÉFONO DEL CHIP DEL EQUIPO</v>
      </c>
      <c r="F27" s="63" t="s">
        <v>293</v>
      </c>
      <c r="G27" s="62" t="s">
        <v>182</v>
      </c>
      <c r="H27" s="65" t="s">
        <v>227</v>
      </c>
      <c r="I27" s="63"/>
      <c r="J27" s="65" t="s">
        <v>135</v>
      </c>
      <c r="K27" s="62" t="s">
        <v>182</v>
      </c>
      <c r="L27" s="62" t="s">
        <v>135</v>
      </c>
      <c r="M27" s="62" t="s">
        <v>135</v>
      </c>
    </row>
    <row r="28" spans="1:13" ht="14.4">
      <c r="A28" s="61" t="s">
        <v>128</v>
      </c>
      <c r="B28" s="56" t="s">
        <v>129</v>
      </c>
      <c r="C28" s="57" t="s">
        <v>130</v>
      </c>
      <c r="D28" s="63" t="s">
        <v>294</v>
      </c>
      <c r="E28" s="58" t="str">
        <f t="shared" si="0"/>
        <v>OPERADOR DEL CHIP DEL EQUIPO (SI APLICA). NOMBRE COMERCIAL DE LA COMPAÑÍA TELEFÓNICA A LA CUÁL PERTENECE EL CHIP DEL EQUIPO</v>
      </c>
      <c r="F28" s="63" t="s">
        <v>296</v>
      </c>
      <c r="G28" s="62" t="s">
        <v>135</v>
      </c>
      <c r="H28" s="65" t="s">
        <v>186</v>
      </c>
      <c r="I28" s="63" t="s">
        <v>297</v>
      </c>
      <c r="J28" s="65" t="s">
        <v>135</v>
      </c>
      <c r="K28" s="62" t="s">
        <v>182</v>
      </c>
      <c r="L28" s="62" t="s">
        <v>135</v>
      </c>
      <c r="M28" s="62" t="s">
        <v>135</v>
      </c>
    </row>
    <row r="29" spans="1:13" ht="14.4">
      <c r="A29" s="65" t="s">
        <v>128</v>
      </c>
      <c r="B29" s="56" t="s">
        <v>129</v>
      </c>
      <c r="C29" s="57" t="s">
        <v>130</v>
      </c>
      <c r="D29" s="63" t="s">
        <v>298</v>
      </c>
      <c r="E29" s="58" t="str">
        <f t="shared" si="0"/>
        <v>ESTADO DEL COMERCIO</v>
      </c>
      <c r="F29" s="63" t="s">
        <v>300</v>
      </c>
      <c r="G29" s="62" t="s">
        <v>135</v>
      </c>
      <c r="H29" s="65" t="s">
        <v>186</v>
      </c>
      <c r="I29" s="63" t="s">
        <v>301</v>
      </c>
      <c r="J29" s="65" t="s">
        <v>135</v>
      </c>
      <c r="K29" s="62" t="s">
        <v>182</v>
      </c>
      <c r="L29" s="62" t="s">
        <v>135</v>
      </c>
      <c r="M29" s="62" t="s">
        <v>135</v>
      </c>
    </row>
    <row r="30" spans="1:13" ht="14.4">
      <c r="A30" s="65" t="s">
        <v>128</v>
      </c>
      <c r="B30" s="56" t="s">
        <v>129</v>
      </c>
      <c r="C30" s="57" t="s">
        <v>130</v>
      </c>
      <c r="D30" s="63" t="s">
        <v>302</v>
      </c>
      <c r="E30" s="58" t="str">
        <f t="shared" si="0"/>
        <v>ESTADO LÓGICO DEL COMERCIO</v>
      </c>
      <c r="F30" s="63" t="s">
        <v>304</v>
      </c>
      <c r="G30" s="62" t="s">
        <v>135</v>
      </c>
      <c r="H30" s="65" t="s">
        <v>186</v>
      </c>
      <c r="I30" s="63" t="s">
        <v>305</v>
      </c>
      <c r="J30" s="65" t="s">
        <v>135</v>
      </c>
      <c r="K30" s="62" t="s">
        <v>182</v>
      </c>
      <c r="L30" s="62" t="s">
        <v>135</v>
      </c>
      <c r="M30" s="62" t="s">
        <v>135</v>
      </c>
    </row>
    <row r="31" spans="1:13" ht="14.4">
      <c r="A31" s="61" t="s">
        <v>128</v>
      </c>
      <c r="B31" s="56" t="s">
        <v>129</v>
      </c>
      <c r="C31" s="57" t="s">
        <v>130</v>
      </c>
      <c r="D31" s="63" t="s">
        <v>306</v>
      </c>
      <c r="E31" s="58" t="str">
        <f t="shared" si="0"/>
        <v>ESTADO DEL TERMINAL</v>
      </c>
      <c r="F31" s="63" t="s">
        <v>308</v>
      </c>
      <c r="G31" s="62" t="s">
        <v>135</v>
      </c>
      <c r="H31" s="65" t="s">
        <v>186</v>
      </c>
      <c r="I31" s="63" t="s">
        <v>301</v>
      </c>
      <c r="J31" s="65" t="s">
        <v>135</v>
      </c>
      <c r="K31" s="62" t="s">
        <v>182</v>
      </c>
      <c r="L31" s="62" t="s">
        <v>135</v>
      </c>
      <c r="M31" s="62" t="s">
        <v>135</v>
      </c>
    </row>
    <row r="32" spans="1:13" ht="14.4">
      <c r="A32" s="65" t="s">
        <v>128</v>
      </c>
      <c r="B32" s="56" t="s">
        <v>129</v>
      </c>
      <c r="C32" s="57" t="s">
        <v>130</v>
      </c>
      <c r="D32" s="63" t="s">
        <v>309</v>
      </c>
      <c r="E32" s="58" t="str">
        <f t="shared" si="0"/>
        <v>ESTADO LÓGICO DEL TERMINAL</v>
      </c>
      <c r="F32" s="63" t="s">
        <v>311</v>
      </c>
      <c r="G32" s="62" t="s">
        <v>135</v>
      </c>
      <c r="H32" s="65" t="s">
        <v>186</v>
      </c>
      <c r="I32" s="63" t="s">
        <v>305</v>
      </c>
      <c r="J32" s="65" t="s">
        <v>135</v>
      </c>
      <c r="K32" s="62" t="s">
        <v>182</v>
      </c>
      <c r="L32" s="62" t="s">
        <v>135</v>
      </c>
      <c r="M32" s="62" t="s">
        <v>135</v>
      </c>
    </row>
    <row r="33" spans="1:13" ht="14.4">
      <c r="A33" s="61" t="s">
        <v>128</v>
      </c>
      <c r="B33" s="56" t="s">
        <v>129</v>
      </c>
      <c r="C33" s="57" t="s">
        <v>130</v>
      </c>
      <c r="D33" s="63" t="s">
        <v>312</v>
      </c>
      <c r="E33" s="58" t="str">
        <f t="shared" si="0"/>
        <v>TIPO DE APLICACIÓN DE LOS TERMINALES</v>
      </c>
      <c r="F33" s="63" t="s">
        <v>314</v>
      </c>
      <c r="G33" s="62" t="s">
        <v>135</v>
      </c>
      <c r="H33" s="65" t="s">
        <v>186</v>
      </c>
      <c r="I33" s="63" t="s">
        <v>315</v>
      </c>
      <c r="J33" s="65" t="s">
        <v>135</v>
      </c>
      <c r="K33" s="62" t="s">
        <v>182</v>
      </c>
      <c r="L33" s="62" t="s">
        <v>135</v>
      </c>
      <c r="M33" s="62" t="s">
        <v>135</v>
      </c>
    </row>
    <row r="34" spans="1:13" ht="14.4">
      <c r="A34" s="65" t="s">
        <v>128</v>
      </c>
      <c r="B34" s="56" t="s">
        <v>129</v>
      </c>
      <c r="C34" s="57" t="s">
        <v>130</v>
      </c>
      <c r="D34" s="63" t="s">
        <v>316</v>
      </c>
      <c r="E34" s="58" t="str">
        <f t="shared" si="0"/>
        <v>DESCRIPCIÓN DE LA APLICACIÓN DE LOS TERMINALES</v>
      </c>
      <c r="F34" s="63" t="s">
        <v>318</v>
      </c>
      <c r="G34" s="62" t="s">
        <v>135</v>
      </c>
      <c r="H34" s="65" t="s">
        <v>186</v>
      </c>
      <c r="I34" s="63" t="s">
        <v>319</v>
      </c>
      <c r="J34" s="65" t="s">
        <v>135</v>
      </c>
      <c r="K34" s="62" t="s">
        <v>182</v>
      </c>
      <c r="L34" s="62" t="s">
        <v>135</v>
      </c>
      <c r="M34" s="62" t="s">
        <v>135</v>
      </c>
    </row>
    <row r="35" spans="1:13" ht="14.4">
      <c r="A35" s="61" t="s">
        <v>128</v>
      </c>
      <c r="B35" s="56" t="s">
        <v>129</v>
      </c>
      <c r="C35" s="57" t="s">
        <v>130</v>
      </c>
      <c r="D35" s="63" t="s">
        <v>323</v>
      </c>
      <c r="E35" s="58" t="str">
        <f t="shared" si="0"/>
        <v>NÚMERO DE SERIE DEL TERMINAL POS. AUTOGENERADO DE LOS MPOS</v>
      </c>
      <c r="F35" s="63" t="s">
        <v>325</v>
      </c>
      <c r="G35" s="62" t="s">
        <v>135</v>
      </c>
      <c r="H35" s="65" t="s">
        <v>186</v>
      </c>
      <c r="I35" s="63">
        <v>103837580</v>
      </c>
      <c r="J35" s="65" t="s">
        <v>135</v>
      </c>
      <c r="K35" s="62" t="s">
        <v>182</v>
      </c>
      <c r="L35" s="62" t="s">
        <v>135</v>
      </c>
      <c r="M35" s="62" t="s">
        <v>135</v>
      </c>
    </row>
    <row r="36" spans="1:13" ht="14.4">
      <c r="A36" s="65" t="s">
        <v>128</v>
      </c>
      <c r="B36" s="56" t="s">
        <v>129</v>
      </c>
      <c r="C36" s="57" t="s">
        <v>130</v>
      </c>
      <c r="D36" s="63" t="s">
        <v>326</v>
      </c>
      <c r="E36" s="58" t="str">
        <f t="shared" si="0"/>
        <v>ID CORRESPONDIENTE A LA VERSIÓN DE FLUJO (PERMITE IDENTIFICAR SI ESTÁ ACTUALIZADO)</v>
      </c>
      <c r="F36" s="63" t="s">
        <v>328</v>
      </c>
      <c r="G36" s="62" t="s">
        <v>135</v>
      </c>
      <c r="H36" s="65" t="s">
        <v>186</v>
      </c>
      <c r="I36" s="63">
        <v>241</v>
      </c>
      <c r="J36" s="65" t="s">
        <v>135</v>
      </c>
      <c r="K36" s="62" t="s">
        <v>182</v>
      </c>
      <c r="L36" s="62" t="s">
        <v>135</v>
      </c>
      <c r="M36" s="62" t="s">
        <v>135</v>
      </c>
    </row>
    <row r="37" spans="1:13" ht="14.4">
      <c r="A37" s="61" t="s">
        <v>128</v>
      </c>
      <c r="B37" s="56" t="s">
        <v>129</v>
      </c>
      <c r="C37" s="57" t="s">
        <v>130</v>
      </c>
      <c r="D37" s="63" t="s">
        <v>329</v>
      </c>
      <c r="E37" s="58" t="str">
        <f t="shared" si="0"/>
        <v>ID CORRESPONDIENTE A LA VERSIÓN DE CARGA BASE (PERMITE IDENTIFICAR SI ESTÁ ACTUALIZADO)</v>
      </c>
      <c r="F37" s="63" t="s">
        <v>331</v>
      </c>
      <c r="G37" s="62" t="s">
        <v>135</v>
      </c>
      <c r="H37" s="65" t="s">
        <v>186</v>
      </c>
      <c r="I37" s="63">
        <v>241</v>
      </c>
      <c r="J37" s="65" t="s">
        <v>135</v>
      </c>
      <c r="K37" s="62" t="s">
        <v>182</v>
      </c>
      <c r="L37" s="62" t="s">
        <v>135</v>
      </c>
      <c r="M37" s="62" t="s">
        <v>135</v>
      </c>
    </row>
    <row r="38" spans="1:13" ht="14.4">
      <c r="A38" s="65" t="s">
        <v>128</v>
      </c>
      <c r="B38" s="56" t="s">
        <v>129</v>
      </c>
      <c r="C38" s="57" t="s">
        <v>130</v>
      </c>
      <c r="D38" s="63" t="s">
        <v>332</v>
      </c>
      <c r="E38" s="58" t="str">
        <f t="shared" si="0"/>
        <v>NÚMERO DE SERIE COMPLETA DEL POS, LA QUE SE APRECIA VISUALMENTE EN EL TERMINAL Y AL CUÁL SE LE PUEDE APLICAR LAS ACTUALIZACIONES RESPECTIVAS.</v>
      </c>
      <c r="F38" s="63" t="s">
        <v>334</v>
      </c>
      <c r="G38" s="62" t="s">
        <v>135</v>
      </c>
      <c r="H38" s="65" t="s">
        <v>186</v>
      </c>
      <c r="I38" s="63" t="s">
        <v>335</v>
      </c>
      <c r="J38" s="65" t="s">
        <v>135</v>
      </c>
      <c r="K38" s="62" t="s">
        <v>182</v>
      </c>
      <c r="L38" s="62" t="s">
        <v>135</v>
      </c>
      <c r="M38" s="62" t="s">
        <v>182</v>
      </c>
    </row>
    <row r="39" spans="1:13" ht="14.4">
      <c r="A39" s="61" t="s">
        <v>128</v>
      </c>
      <c r="B39" s="56" t="s">
        <v>129</v>
      </c>
      <c r="C39" s="57" t="s">
        <v>130</v>
      </c>
      <c r="D39" s="63" t="s">
        <v>336</v>
      </c>
      <c r="E39" s="58" t="str">
        <f t="shared" si="0"/>
        <v>MARCA DEL EQUIPO</v>
      </c>
      <c r="F39" s="63" t="s">
        <v>338</v>
      </c>
      <c r="G39" s="62" t="s">
        <v>135</v>
      </c>
      <c r="H39" s="65" t="s">
        <v>186</v>
      </c>
      <c r="I39" s="63" t="s">
        <v>339</v>
      </c>
      <c r="J39" s="65" t="s">
        <v>135</v>
      </c>
      <c r="K39" s="62" t="s">
        <v>182</v>
      </c>
      <c r="L39" s="62" t="s">
        <v>135</v>
      </c>
      <c r="M39" s="62" t="s">
        <v>135</v>
      </c>
    </row>
    <row r="40" spans="1:13" ht="14.4">
      <c r="A40" s="61" t="s">
        <v>128</v>
      </c>
      <c r="B40" s="56" t="s">
        <v>129</v>
      </c>
      <c r="C40" s="57" t="s">
        <v>130</v>
      </c>
      <c r="D40" s="63" t="s">
        <v>361</v>
      </c>
      <c r="E40" s="58" t="str">
        <f t="shared" si="0"/>
        <v>INDICA EL TIPO DE OPCIÓN DE RECIBIMIENTO DE PROPINA</v>
      </c>
      <c r="F40" s="63" t="s">
        <v>363</v>
      </c>
      <c r="G40" s="62" t="s">
        <v>135</v>
      </c>
      <c r="H40" s="65" t="s">
        <v>186</v>
      </c>
      <c r="I40" s="63" t="s">
        <v>364</v>
      </c>
      <c r="J40" s="65" t="s">
        <v>135</v>
      </c>
      <c r="K40" s="62" t="s">
        <v>182</v>
      </c>
      <c r="L40" s="62" t="s">
        <v>135</v>
      </c>
      <c r="M40" s="62" t="s">
        <v>135</v>
      </c>
    </row>
    <row r="41" spans="1:13" ht="14.4">
      <c r="A41" s="65" t="s">
        <v>128</v>
      </c>
      <c r="B41" s="56" t="s">
        <v>129</v>
      </c>
      <c r="C41" s="57" t="s">
        <v>130</v>
      </c>
      <c r="D41" s="63" t="s">
        <v>365</v>
      </c>
      <c r="E41" s="58" t="str">
        <f t="shared" si="0"/>
        <v>FECHA DE ACTUALIZACIÓN DE LA APLICACIÓN</v>
      </c>
      <c r="F41" s="63" t="s">
        <v>367</v>
      </c>
      <c r="G41" s="62" t="s">
        <v>135</v>
      </c>
      <c r="H41" s="65" t="s">
        <v>180</v>
      </c>
      <c r="I41" s="76">
        <v>45789</v>
      </c>
      <c r="J41" s="65" t="s">
        <v>135</v>
      </c>
      <c r="K41" s="62" t="s">
        <v>182</v>
      </c>
      <c r="L41" s="62" t="s">
        <v>135</v>
      </c>
      <c r="M41" s="62" t="s">
        <v>135</v>
      </c>
    </row>
    <row r="42" spans="1:13" ht="14.4">
      <c r="A42" s="61" t="s">
        <v>128</v>
      </c>
      <c r="B42" s="56" t="s">
        <v>129</v>
      </c>
      <c r="C42" s="57" t="s">
        <v>130</v>
      </c>
      <c r="D42" s="63" t="s">
        <v>368</v>
      </c>
      <c r="E42" s="58" t="str">
        <f t="shared" si="0"/>
        <v>HORA DE ACTUALIZACIÓN DE LA APLICACIÓN EN FORMATO 24H</v>
      </c>
      <c r="F42" s="63" t="s">
        <v>370</v>
      </c>
      <c r="G42" s="62" t="s">
        <v>135</v>
      </c>
      <c r="H42" s="65" t="s">
        <v>186</v>
      </c>
      <c r="I42" s="79">
        <v>0.63201388888888888</v>
      </c>
      <c r="J42" s="65" t="s">
        <v>135</v>
      </c>
      <c r="K42" s="62" t="s">
        <v>182</v>
      </c>
      <c r="L42" s="62" t="s">
        <v>135</v>
      </c>
      <c r="M42" s="62" t="s">
        <v>135</v>
      </c>
    </row>
    <row r="43" spans="1:13" ht="14.4">
      <c r="A43" s="61" t="s">
        <v>128</v>
      </c>
      <c r="B43" s="56" t="s">
        <v>129</v>
      </c>
      <c r="C43" s="57" t="s">
        <v>130</v>
      </c>
      <c r="D43" s="63" t="s">
        <v>371</v>
      </c>
      <c r="E43" s="58" t="str">
        <f t="shared" si="0"/>
        <v>FECHA Y HORA DE ACTUALIZACIÓN DE LA APLICACIÓN</v>
      </c>
      <c r="F43" s="63" t="s">
        <v>372</v>
      </c>
      <c r="G43" s="62" t="s">
        <v>135</v>
      </c>
      <c r="H43" s="65" t="s">
        <v>476</v>
      </c>
      <c r="I43" s="80">
        <v>45789.632013888891</v>
      </c>
      <c r="J43" s="65" t="s">
        <v>135</v>
      </c>
      <c r="K43" s="62" t="s">
        <v>182</v>
      </c>
      <c r="L43" s="62" t="s">
        <v>135</v>
      </c>
      <c r="M43" s="62" t="s">
        <v>135</v>
      </c>
    </row>
    <row r="44" spans="1:13" ht="14.4">
      <c r="A44" s="61" t="s">
        <v>128</v>
      </c>
      <c r="B44" s="56" t="s">
        <v>129</v>
      </c>
      <c r="C44" s="57" t="s">
        <v>130</v>
      </c>
      <c r="D44" s="63" t="s">
        <v>378</v>
      </c>
      <c r="E44" s="58" t="str">
        <f t="shared" si="0"/>
        <v>FECHA DE ÚLTIMA ACTUALIZACIÓN DE APP</v>
      </c>
      <c r="F44" s="63" t="s">
        <v>380</v>
      </c>
      <c r="G44" s="62" t="s">
        <v>135</v>
      </c>
      <c r="H44" s="65" t="s">
        <v>180</v>
      </c>
      <c r="I44" s="76">
        <v>45818</v>
      </c>
      <c r="J44" s="65" t="s">
        <v>135</v>
      </c>
      <c r="K44" s="62" t="s">
        <v>182</v>
      </c>
      <c r="L44" s="62" t="s">
        <v>135</v>
      </c>
      <c r="M44" s="62" t="s">
        <v>135</v>
      </c>
    </row>
    <row r="45" spans="1:13" ht="14.4">
      <c r="A45" s="65" t="s">
        <v>128</v>
      </c>
      <c r="B45" s="56" t="s">
        <v>129</v>
      </c>
      <c r="C45" s="57" t="s">
        <v>130</v>
      </c>
      <c r="D45" s="63" t="s">
        <v>381</v>
      </c>
      <c r="E45" s="58" t="str">
        <f t="shared" si="0"/>
        <v>HORA DE ÚLTIMA ACTUALIZACIÓN DE LA APLICACIÓN</v>
      </c>
      <c r="F45" s="63" t="s">
        <v>383</v>
      </c>
      <c r="G45" s="62" t="s">
        <v>135</v>
      </c>
      <c r="H45" s="65" t="s">
        <v>186</v>
      </c>
      <c r="I45" s="79">
        <v>0.9236805555555555</v>
      </c>
      <c r="J45" s="65" t="s">
        <v>135</v>
      </c>
      <c r="K45" s="62" t="s">
        <v>182</v>
      </c>
      <c r="L45" s="62" t="s">
        <v>135</v>
      </c>
      <c r="M45" s="62" t="s">
        <v>135</v>
      </c>
    </row>
    <row r="46" spans="1:13" ht="14.4">
      <c r="A46" s="65" t="s">
        <v>128</v>
      </c>
      <c r="B46" s="56" t="s">
        <v>129</v>
      </c>
      <c r="C46" s="57" t="s">
        <v>130</v>
      </c>
      <c r="D46" s="63" t="s">
        <v>384</v>
      </c>
      <c r="E46" s="58" t="str">
        <f t="shared" si="0"/>
        <v>FECHA Y HORA DE ÚLTIMA ACTUALIZACIÓN DE LA APLICACIÓN</v>
      </c>
      <c r="F46" s="63" t="s">
        <v>385</v>
      </c>
      <c r="G46" s="62" t="s">
        <v>135</v>
      </c>
      <c r="H46" s="65" t="s">
        <v>476</v>
      </c>
      <c r="I46" s="80">
        <v>45789.632013888891</v>
      </c>
      <c r="J46" s="65" t="s">
        <v>135</v>
      </c>
      <c r="K46" s="62" t="s">
        <v>182</v>
      </c>
      <c r="L46" s="62" t="s">
        <v>135</v>
      </c>
      <c r="M46" s="62" t="s">
        <v>135</v>
      </c>
    </row>
    <row r="47" spans="1:13" ht="14.4">
      <c r="A47" s="61" t="s">
        <v>128</v>
      </c>
      <c r="B47" s="56" t="s">
        <v>129</v>
      </c>
      <c r="C47" s="57" t="s">
        <v>130</v>
      </c>
      <c r="D47" s="63" t="s">
        <v>391</v>
      </c>
      <c r="E47" s="58" t="str">
        <f t="shared" si="0"/>
        <v>ID CORRESPONDIENTE A LA VERSIÓN DE LA APLICACIÓN</v>
      </c>
      <c r="F47" s="63" t="s">
        <v>393</v>
      </c>
      <c r="G47" s="62" t="s">
        <v>135</v>
      </c>
      <c r="H47" s="65" t="s">
        <v>186</v>
      </c>
      <c r="I47" s="63">
        <v>466</v>
      </c>
      <c r="J47" s="65" t="s">
        <v>135</v>
      </c>
      <c r="K47" s="62" t="s">
        <v>182</v>
      </c>
      <c r="L47" s="62" t="s">
        <v>135</v>
      </c>
      <c r="M47" s="62" t="s">
        <v>135</v>
      </c>
    </row>
    <row r="48" spans="1:13" ht="14.4">
      <c r="A48" s="65" t="s">
        <v>128</v>
      </c>
      <c r="B48" s="56" t="s">
        <v>129</v>
      </c>
      <c r="C48" s="57" t="s">
        <v>130</v>
      </c>
      <c r="D48" s="63" t="s">
        <v>394</v>
      </c>
      <c r="E48" s="58" t="str">
        <f t="shared" si="0"/>
        <v>VERSIÓN DE LA APLICACIÓN</v>
      </c>
      <c r="F48" s="63" t="s">
        <v>396</v>
      </c>
      <c r="G48" s="62" t="s">
        <v>135</v>
      </c>
      <c r="H48" s="65" t="s">
        <v>186</v>
      </c>
      <c r="I48" s="63" t="s">
        <v>397</v>
      </c>
      <c r="J48" s="65" t="s">
        <v>135</v>
      </c>
      <c r="K48" s="62" t="s">
        <v>182</v>
      </c>
      <c r="L48" s="62" t="s">
        <v>135</v>
      </c>
      <c r="M48" s="62" t="s">
        <v>135</v>
      </c>
    </row>
    <row r="49" spans="1:13" ht="14.4">
      <c r="A49" s="61" t="s">
        <v>128</v>
      </c>
      <c r="B49" s="56" t="s">
        <v>129</v>
      </c>
      <c r="C49" s="57" t="s">
        <v>130</v>
      </c>
      <c r="D49" s="63" t="s">
        <v>398</v>
      </c>
      <c r="E49" s="58" t="str">
        <f t="shared" si="0"/>
        <v>VERSIÓN DEL FLUJO</v>
      </c>
      <c r="F49" s="63" t="s">
        <v>400</v>
      </c>
      <c r="G49" s="62" t="s">
        <v>135</v>
      </c>
      <c r="H49" s="65" t="s">
        <v>186</v>
      </c>
      <c r="I49" s="63" t="s">
        <v>401</v>
      </c>
      <c r="J49" s="65" t="s">
        <v>135</v>
      </c>
      <c r="K49" s="62" t="s">
        <v>182</v>
      </c>
      <c r="L49" s="62" t="s">
        <v>135</v>
      </c>
      <c r="M49" s="62" t="s">
        <v>135</v>
      </c>
    </row>
    <row r="50" spans="1:13" ht="14.4">
      <c r="A50" s="65" t="s">
        <v>128</v>
      </c>
      <c r="B50" s="56" t="s">
        <v>129</v>
      </c>
      <c r="C50" s="57" t="s">
        <v>130</v>
      </c>
      <c r="D50" s="63" t="s">
        <v>402</v>
      </c>
      <c r="E50" s="58" t="str">
        <f t="shared" si="0"/>
        <v>CÓDIGO DEL ACTIVO FIJO. MARQUESI DEL EQUIPO</v>
      </c>
      <c r="F50" s="63" t="s">
        <v>404</v>
      </c>
      <c r="G50" s="62" t="s">
        <v>135</v>
      </c>
      <c r="H50" s="65" t="s">
        <v>186</v>
      </c>
      <c r="I50" s="81" t="s">
        <v>405</v>
      </c>
      <c r="J50" s="65" t="s">
        <v>135</v>
      </c>
      <c r="K50" s="62" t="s">
        <v>182</v>
      </c>
      <c r="L50" s="62" t="s">
        <v>135</v>
      </c>
      <c r="M50" s="62" t="s">
        <v>135</v>
      </c>
    </row>
    <row r="51" spans="1:13" ht="14.4">
      <c r="A51" s="61" t="s">
        <v>128</v>
      </c>
      <c r="B51" s="56" t="s">
        <v>129</v>
      </c>
      <c r="C51" s="57" t="s">
        <v>130</v>
      </c>
      <c r="D51" s="63" t="s">
        <v>406</v>
      </c>
      <c r="E51" s="58" t="str">
        <f t="shared" si="0"/>
        <v>FECHA DE COMPRA</v>
      </c>
      <c r="F51" s="63" t="s">
        <v>408</v>
      </c>
      <c r="G51" s="62" t="s">
        <v>135</v>
      </c>
      <c r="H51" s="65" t="s">
        <v>180</v>
      </c>
      <c r="I51" s="76">
        <v>44275</v>
      </c>
      <c r="J51" s="65" t="s">
        <v>135</v>
      </c>
      <c r="K51" s="62" t="s">
        <v>182</v>
      </c>
      <c r="L51" s="62" t="s">
        <v>135</v>
      </c>
      <c r="M51" s="62" t="s">
        <v>135</v>
      </c>
    </row>
    <row r="52" spans="1:13" ht="14.4">
      <c r="A52" s="65" t="s">
        <v>128</v>
      </c>
      <c r="B52" s="56" t="s">
        <v>129</v>
      </c>
      <c r="C52" s="57" t="s">
        <v>130</v>
      </c>
      <c r="D52" s="63" t="s">
        <v>409</v>
      </c>
      <c r="E52" s="58" t="str">
        <f t="shared" si="0"/>
        <v>ESTADO SEGÚN CRUCE DE LA INFORMACIÓN DEL TERMINAL CON LA DEL AS400. (BAJA, ALQUILER, VENTA, ACTIVO)</v>
      </c>
      <c r="F52" s="63" t="s">
        <v>411</v>
      </c>
      <c r="G52" s="62" t="s">
        <v>135</v>
      </c>
      <c r="H52" s="65" t="s">
        <v>186</v>
      </c>
      <c r="I52" s="63" t="s">
        <v>412</v>
      </c>
      <c r="J52" s="65" t="s">
        <v>135</v>
      </c>
      <c r="K52" s="62" t="s">
        <v>182</v>
      </c>
      <c r="L52" s="62" t="s">
        <v>135</v>
      </c>
      <c r="M52" s="62" t="s">
        <v>135</v>
      </c>
    </row>
    <row r="53" spans="1:13" ht="14.4">
      <c r="A53" s="61" t="s">
        <v>128</v>
      </c>
      <c r="B53" s="56" t="s">
        <v>129</v>
      </c>
      <c r="C53" s="57" t="s">
        <v>130</v>
      </c>
      <c r="D53" s="63" t="s">
        <v>440</v>
      </c>
      <c r="E53" s="58" t="str">
        <f t="shared" si="0"/>
        <v>CAMPO CALCULADO QUE PERMITE IDENTIFICAR LA ANTIGÜEDAD DE UN COMERCIO AFILIADO DE ACUERDO A SU FECHA DE APERTURA Y LA FECHA ACTUAL</v>
      </c>
      <c r="F53" s="63" t="s">
        <v>442</v>
      </c>
      <c r="G53" s="62" t="s">
        <v>135</v>
      </c>
      <c r="H53" s="65" t="s">
        <v>186</v>
      </c>
      <c r="I53" s="63" t="s">
        <v>477</v>
      </c>
      <c r="J53" s="65" t="s">
        <v>135</v>
      </c>
      <c r="K53" s="62" t="s">
        <v>182</v>
      </c>
      <c r="L53" s="62" t="s">
        <v>135</v>
      </c>
      <c r="M53" s="62" t="s">
        <v>135</v>
      </c>
    </row>
    <row r="54" spans="1:13" ht="14.4">
      <c r="A54" s="61" t="s">
        <v>128</v>
      </c>
      <c r="B54" s="56" t="s">
        <v>129</v>
      </c>
      <c r="C54" s="57" t="s">
        <v>130</v>
      </c>
      <c r="D54" s="63" t="s">
        <v>444</v>
      </c>
      <c r="E54" s="58" t="str">
        <f t="shared" si="0"/>
        <v>UBICACIÓN DE OFICINA ASOCIADA AL COMERCIO</v>
      </c>
      <c r="F54" s="63" t="s">
        <v>446</v>
      </c>
      <c r="G54" s="62" t="s">
        <v>135</v>
      </c>
      <c r="H54" s="65" t="s">
        <v>186</v>
      </c>
      <c r="I54" s="63" t="s">
        <v>447</v>
      </c>
      <c r="J54" s="65" t="s">
        <v>135</v>
      </c>
      <c r="K54" s="62" t="s">
        <v>182</v>
      </c>
      <c r="L54" s="62" t="s">
        <v>135</v>
      </c>
      <c r="M54" s="62" t="s">
        <v>135</v>
      </c>
    </row>
    <row r="55" spans="1:13" ht="14.4">
      <c r="A55" s="65" t="s">
        <v>128</v>
      </c>
      <c r="B55" s="56" t="s">
        <v>129</v>
      </c>
      <c r="C55" s="57" t="s">
        <v>130</v>
      </c>
      <c r="D55" s="63" t="s">
        <v>448</v>
      </c>
      <c r="E55" s="58" t="str">
        <f t="shared" si="0"/>
        <v>MODELO DEL EQUIPO (ESPECÍFICO), SE DETALLA EL MODELO ESPECÍFICO DEL TERMINAL SEGÚN UNA LISTA ESTÁTICA DE MODELOS ANTIGUOS, CASO CONTRARIO ES EL MODELO PROVENIENTE DEL MCCENTER</v>
      </c>
      <c r="F55" s="63" t="s">
        <v>478</v>
      </c>
      <c r="G55" s="62" t="s">
        <v>135</v>
      </c>
      <c r="H55" s="65" t="s">
        <v>186</v>
      </c>
      <c r="I55" s="63" t="s">
        <v>451</v>
      </c>
      <c r="J55" s="65" t="s">
        <v>135</v>
      </c>
      <c r="K55" s="62" t="s">
        <v>182</v>
      </c>
      <c r="L55" s="62" t="s">
        <v>135</v>
      </c>
      <c r="M55" s="62" t="s">
        <v>135</v>
      </c>
    </row>
    <row r="56" spans="1:13" ht="14.4">
      <c r="A56" s="61" t="s">
        <v>128</v>
      </c>
      <c r="B56" s="56" t="s">
        <v>129</v>
      </c>
      <c r="C56" s="57" t="s">
        <v>130</v>
      </c>
      <c r="D56" s="63" t="s">
        <v>454</v>
      </c>
      <c r="E56" s="58" t="str">
        <f t="shared" si="0"/>
        <v>FECHA DE INSTALACIÓN</v>
      </c>
      <c r="F56" s="63" t="s">
        <v>456</v>
      </c>
      <c r="G56" s="62" t="s">
        <v>135</v>
      </c>
      <c r="H56" s="65" t="s">
        <v>180</v>
      </c>
      <c r="I56" s="76">
        <v>44275</v>
      </c>
      <c r="J56" s="65" t="s">
        <v>135</v>
      </c>
      <c r="K56" s="62" t="s">
        <v>182</v>
      </c>
      <c r="L56" s="62" t="s">
        <v>135</v>
      </c>
      <c r="M56" s="62" t="s">
        <v>135</v>
      </c>
    </row>
    <row r="57" spans="1:13" ht="14.4">
      <c r="A57" s="29" t="s">
        <v>128</v>
      </c>
      <c r="B57" s="89" t="s">
        <v>129</v>
      </c>
      <c r="C57" s="90" t="s">
        <v>130</v>
      </c>
      <c r="D57" s="31" t="s">
        <v>374</v>
      </c>
      <c r="E57" s="91" t="str">
        <f t="shared" si="0"/>
        <v>CANTIDAD DE INTENTOS QUE REALIZÓ EL TERMINAL PARA ACTUALIZARSE</v>
      </c>
      <c r="F57" s="31" t="s">
        <v>376</v>
      </c>
      <c r="G57" s="2" t="s">
        <v>135</v>
      </c>
      <c r="H57" s="29" t="s">
        <v>377</v>
      </c>
      <c r="I57" s="31"/>
      <c r="J57" s="65" t="s">
        <v>135</v>
      </c>
      <c r="K57" s="62" t="s">
        <v>182</v>
      </c>
      <c r="L57" s="62" t="s">
        <v>135</v>
      </c>
      <c r="M57" s="62" t="s">
        <v>135</v>
      </c>
    </row>
    <row r="58" spans="1:13" ht="14.4">
      <c r="A58" s="16" t="s">
        <v>128</v>
      </c>
      <c r="B58" s="89" t="s">
        <v>129</v>
      </c>
      <c r="C58" s="90" t="s">
        <v>130</v>
      </c>
      <c r="D58" s="31" t="s">
        <v>479</v>
      </c>
      <c r="E58" s="91" t="str">
        <f t="shared" si="0"/>
        <v>FLAG QUE INDICA SI EL TERMINAL HA TRANSACCIONADO EN LOS ÚLTIMOS 3 MESES</v>
      </c>
      <c r="F58" s="31" t="s">
        <v>480</v>
      </c>
      <c r="G58" s="2" t="s">
        <v>135</v>
      </c>
      <c r="H58" s="29" t="s">
        <v>222</v>
      </c>
      <c r="I58" s="31" t="s">
        <v>223</v>
      </c>
      <c r="J58" s="65" t="s">
        <v>135</v>
      </c>
      <c r="K58" s="62" t="s">
        <v>182</v>
      </c>
      <c r="L58" s="62" t="s">
        <v>135</v>
      </c>
      <c r="M58" s="62" t="s">
        <v>135</v>
      </c>
    </row>
    <row r="59" spans="1:13" ht="14.4">
      <c r="A59" s="16" t="s">
        <v>128</v>
      </c>
      <c r="B59" s="89" t="s">
        <v>129</v>
      </c>
      <c r="C59" s="90" t="s">
        <v>130</v>
      </c>
      <c r="D59" s="31" t="s">
        <v>320</v>
      </c>
      <c r="E59" s="91" t="str">
        <f t="shared" si="0"/>
        <v>FLAG QUE INDICA SI EL COMERCIO ADMITE FACTURACIÓN. TRUE = SÍ, FALSE, NO</v>
      </c>
      <c r="F59" s="31" t="s">
        <v>322</v>
      </c>
      <c r="G59" s="2" t="s">
        <v>135</v>
      </c>
      <c r="H59" s="29" t="s">
        <v>222</v>
      </c>
      <c r="I59" s="31" t="s">
        <v>223</v>
      </c>
      <c r="J59" s="65" t="s">
        <v>135</v>
      </c>
      <c r="K59" s="62" t="s">
        <v>182</v>
      </c>
      <c r="L59" s="62" t="s">
        <v>135</v>
      </c>
      <c r="M59" s="62" t="s">
        <v>135</v>
      </c>
    </row>
    <row r="60" spans="1:13" ht="14.4">
      <c r="A60" s="16" t="s">
        <v>128</v>
      </c>
      <c r="B60" s="89" t="s">
        <v>129</v>
      </c>
      <c r="C60" s="90" t="s">
        <v>130</v>
      </c>
      <c r="D60" s="31" t="s">
        <v>343</v>
      </c>
      <c r="E60" s="91" t="str">
        <f t="shared" si="0"/>
        <v>FLAG QUE INDICA SI EL POS TIENE SOFTWARE CONTACTLESS</v>
      </c>
      <c r="F60" s="31" t="s">
        <v>345</v>
      </c>
      <c r="G60" s="2" t="s">
        <v>135</v>
      </c>
      <c r="H60" s="29" t="s">
        <v>222</v>
      </c>
      <c r="I60" s="31" t="s">
        <v>223</v>
      </c>
      <c r="J60" s="65" t="s">
        <v>135</v>
      </c>
      <c r="K60" s="62" t="s">
        <v>182</v>
      </c>
      <c r="L60" s="62" t="s">
        <v>135</v>
      </c>
      <c r="M60" s="62" t="s">
        <v>135</v>
      </c>
    </row>
    <row r="61" spans="1:13" ht="14.4">
      <c r="A61" s="29" t="s">
        <v>128</v>
      </c>
      <c r="B61" s="89" t="s">
        <v>129</v>
      </c>
      <c r="C61" s="90" t="s">
        <v>130</v>
      </c>
      <c r="D61" s="31" t="s">
        <v>346</v>
      </c>
      <c r="E61" s="91" t="str">
        <f t="shared" si="0"/>
        <v>FLAG QUE INDICA SI EL POS TIENE HARDWARE CONTACTLESS</v>
      </c>
      <c r="F61" s="31" t="s">
        <v>348</v>
      </c>
      <c r="G61" s="2" t="s">
        <v>135</v>
      </c>
      <c r="H61" s="29" t="s">
        <v>222</v>
      </c>
      <c r="I61" s="31" t="s">
        <v>223</v>
      </c>
      <c r="J61" s="65" t="s">
        <v>135</v>
      </c>
      <c r="K61" s="62" t="s">
        <v>182</v>
      </c>
      <c r="L61" s="62" t="s">
        <v>135</v>
      </c>
      <c r="M61" s="62" t="s">
        <v>135</v>
      </c>
    </row>
    <row r="62" spans="1:13" ht="14.4">
      <c r="A62" s="16" t="s">
        <v>128</v>
      </c>
      <c r="B62" s="89" t="s">
        <v>129</v>
      </c>
      <c r="C62" s="90" t="s">
        <v>130</v>
      </c>
      <c r="D62" s="31" t="s">
        <v>349</v>
      </c>
      <c r="E62" s="91" t="str">
        <f t="shared" si="0"/>
        <v>FLAG QUE INDICA SI APLICA LA PRE AUTORIZACIÓN A NIVEL DEL COMERCIO</v>
      </c>
      <c r="F62" s="31" t="s">
        <v>351</v>
      </c>
      <c r="G62" s="2" t="s">
        <v>135</v>
      </c>
      <c r="H62" s="29" t="s">
        <v>222</v>
      </c>
      <c r="I62" s="31" t="s">
        <v>223</v>
      </c>
      <c r="J62" s="65" t="s">
        <v>135</v>
      </c>
      <c r="K62" s="62" t="s">
        <v>182</v>
      </c>
      <c r="L62" s="62" t="s">
        <v>135</v>
      </c>
      <c r="M62" s="62" t="s">
        <v>135</v>
      </c>
    </row>
    <row r="63" spans="1:13" ht="14.4">
      <c r="A63" s="29" t="s">
        <v>128</v>
      </c>
      <c r="B63" s="89" t="s">
        <v>129</v>
      </c>
      <c r="C63" s="90" t="s">
        <v>130</v>
      </c>
      <c r="D63" s="31" t="s">
        <v>352</v>
      </c>
      <c r="E63" s="91" t="str">
        <f t="shared" si="0"/>
        <v>FLAG QUE INDICA SI APLICA LA PRE AUTORIZACIÓN A NIVEL DEL TERMINAL</v>
      </c>
      <c r="F63" s="31" t="s">
        <v>354</v>
      </c>
      <c r="G63" s="2" t="s">
        <v>135</v>
      </c>
      <c r="H63" s="29" t="s">
        <v>222</v>
      </c>
      <c r="I63" s="31" t="s">
        <v>223</v>
      </c>
      <c r="J63" s="65" t="s">
        <v>135</v>
      </c>
      <c r="K63" s="62" t="s">
        <v>182</v>
      </c>
      <c r="L63" s="62" t="s">
        <v>135</v>
      </c>
      <c r="M63" s="62" t="s">
        <v>135</v>
      </c>
    </row>
    <row r="64" spans="1:13" ht="14.4">
      <c r="A64" s="16" t="s">
        <v>128</v>
      </c>
      <c r="B64" s="89" t="s">
        <v>129</v>
      </c>
      <c r="C64" s="90" t="s">
        <v>130</v>
      </c>
      <c r="D64" s="31" t="s">
        <v>355</v>
      </c>
      <c r="E64" s="91" t="str">
        <f t="shared" si="0"/>
        <v>FLAG QUE INDICA SI APLICA LA DIGITACIÓN MANUAL A NIVEL DEL COMERCIO</v>
      </c>
      <c r="F64" s="31" t="s">
        <v>357</v>
      </c>
      <c r="G64" s="2" t="s">
        <v>135</v>
      </c>
      <c r="H64" s="29" t="s">
        <v>222</v>
      </c>
      <c r="I64" s="31" t="s">
        <v>223</v>
      </c>
      <c r="J64" s="65" t="s">
        <v>135</v>
      </c>
      <c r="K64" s="62" t="s">
        <v>182</v>
      </c>
      <c r="L64" s="62" t="s">
        <v>135</v>
      </c>
      <c r="M64" s="62" t="s">
        <v>135</v>
      </c>
    </row>
    <row r="65" spans="1:13" ht="14.4">
      <c r="A65" s="29" t="s">
        <v>128</v>
      </c>
      <c r="B65" s="89" t="s">
        <v>129</v>
      </c>
      <c r="C65" s="90" t="s">
        <v>130</v>
      </c>
      <c r="D65" s="31" t="s">
        <v>358</v>
      </c>
      <c r="E65" s="91" t="str">
        <f t="shared" si="0"/>
        <v>FLAG QUE INDICA SI APLICA LA DIGITACIÓN MANUAL A NIVEL DEL TERMINAL</v>
      </c>
      <c r="F65" s="31" t="s">
        <v>360</v>
      </c>
      <c r="G65" s="2" t="s">
        <v>135</v>
      </c>
      <c r="H65" s="29" t="s">
        <v>222</v>
      </c>
      <c r="I65" s="31" t="s">
        <v>223</v>
      </c>
      <c r="J65" s="65" t="s">
        <v>135</v>
      </c>
      <c r="K65" s="62" t="s">
        <v>182</v>
      </c>
      <c r="L65" s="62" t="s">
        <v>135</v>
      </c>
      <c r="M65" s="62" t="s">
        <v>135</v>
      </c>
    </row>
    <row r="66" spans="1:13" ht="14.4">
      <c r="A66" s="16" t="s">
        <v>128</v>
      </c>
      <c r="B66" s="89" t="s">
        <v>129</v>
      </c>
      <c r="C66" s="90" t="s">
        <v>130</v>
      </c>
      <c r="D66" s="31" t="s">
        <v>386</v>
      </c>
      <c r="E66" s="91" t="str">
        <f t="shared" si="0"/>
        <v>FLAG QUE INDICA SI LA VERSIÓN SE HA ACTUALIZADO</v>
      </c>
      <c r="F66" s="31" t="s">
        <v>388</v>
      </c>
      <c r="G66" s="2" t="s">
        <v>135</v>
      </c>
      <c r="H66" s="29" t="s">
        <v>222</v>
      </c>
      <c r="I66" s="31" t="s">
        <v>223</v>
      </c>
      <c r="J66" s="65" t="s">
        <v>135</v>
      </c>
      <c r="K66" s="62" t="s">
        <v>182</v>
      </c>
      <c r="L66" s="62" t="s">
        <v>135</v>
      </c>
      <c r="M66" s="62" t="s">
        <v>135</v>
      </c>
    </row>
    <row r="67" spans="1:13" ht="14.4">
      <c r="A67" s="16" t="s">
        <v>128</v>
      </c>
      <c r="B67" s="89" t="s">
        <v>129</v>
      </c>
      <c r="C67" s="90" t="s">
        <v>130</v>
      </c>
      <c r="D67" s="31" t="s">
        <v>413</v>
      </c>
      <c r="E67" s="91" t="str">
        <f t="shared" si="0"/>
        <v>FLAG QUE INDICA SI EL COMERCIO TIENE POS EMV DINERS</v>
      </c>
      <c r="F67" s="31" t="s">
        <v>415</v>
      </c>
      <c r="G67" s="2" t="s">
        <v>135</v>
      </c>
      <c r="H67" s="29" t="s">
        <v>222</v>
      </c>
      <c r="I67" s="31" t="s">
        <v>223</v>
      </c>
      <c r="J67" s="65" t="s">
        <v>135</v>
      </c>
      <c r="K67" s="62" t="s">
        <v>182</v>
      </c>
      <c r="L67" s="62" t="s">
        <v>135</v>
      </c>
      <c r="M67" s="62" t="s">
        <v>135</v>
      </c>
    </row>
    <row r="68" spans="1:13" ht="14.4">
      <c r="A68" s="29" t="s">
        <v>128</v>
      </c>
      <c r="B68" s="89" t="s">
        <v>129</v>
      </c>
      <c r="C68" s="90" t="s">
        <v>130</v>
      </c>
      <c r="D68" s="31" t="s">
        <v>422</v>
      </c>
      <c r="E68" s="91" t="str">
        <f t="shared" si="0"/>
        <v>FLAG QUE INDICA SI EL TERMINAL TIENE PINPAD O NO</v>
      </c>
      <c r="F68" s="31" t="s">
        <v>424</v>
      </c>
      <c r="G68" s="2" t="s">
        <v>135</v>
      </c>
      <c r="H68" s="29" t="s">
        <v>222</v>
      </c>
      <c r="I68" s="31" t="s">
        <v>425</v>
      </c>
      <c r="J68" s="65" t="s">
        <v>135</v>
      </c>
      <c r="K68" s="62" t="s">
        <v>182</v>
      </c>
      <c r="L68" s="62" t="s">
        <v>135</v>
      </c>
      <c r="M68" s="62" t="s">
        <v>135</v>
      </c>
    </row>
    <row r="69" spans="1:13" ht="14.4">
      <c r="A69" s="16" t="s">
        <v>128</v>
      </c>
      <c r="B69" s="89" t="s">
        <v>129</v>
      </c>
      <c r="C69" s="90" t="s">
        <v>130</v>
      </c>
      <c r="D69" s="31" t="s">
        <v>426</v>
      </c>
      <c r="E69" s="91" t="str">
        <f t="shared" si="0"/>
        <v>FLAG QUE INDICA SI EL TERMINAL ES MULTICOMERCIO. OCURRE CUANDO EL POS ESTÁ ASIGNADO A MÁS DE 1 CÓDIGO DE COMERCIO</v>
      </c>
      <c r="F69" s="31" t="s">
        <v>481</v>
      </c>
      <c r="G69" s="2" t="s">
        <v>135</v>
      </c>
      <c r="H69" s="29" t="s">
        <v>222</v>
      </c>
      <c r="I69" s="31" t="s">
        <v>425</v>
      </c>
      <c r="J69" s="65" t="s">
        <v>135</v>
      </c>
      <c r="K69" s="62" t="s">
        <v>182</v>
      </c>
      <c r="L69" s="62" t="s">
        <v>135</v>
      </c>
      <c r="M69" s="62" t="s">
        <v>135</v>
      </c>
    </row>
    <row r="70" spans="1:13" ht="14.4">
      <c r="A70" s="65" t="s">
        <v>128</v>
      </c>
      <c r="B70" s="56" t="s">
        <v>129</v>
      </c>
      <c r="C70" s="57" t="s">
        <v>130</v>
      </c>
      <c r="D70" s="63" t="s">
        <v>463</v>
      </c>
      <c r="E70" s="58" t="str">
        <f t="shared" si="0"/>
        <v>DATO DE AUDITORÍA: DESCRIPCIÓN DEL APLICATIVO ORIGEN DE LOS DATOS.</v>
      </c>
      <c r="F70" s="63" t="s">
        <v>464</v>
      </c>
      <c r="G70" s="62" t="s">
        <v>135</v>
      </c>
      <c r="H70" s="62" t="s">
        <v>186</v>
      </c>
      <c r="I70" s="63"/>
      <c r="J70" s="65" t="s">
        <v>135</v>
      </c>
      <c r="K70" s="65" t="s">
        <v>135</v>
      </c>
      <c r="L70" s="62" t="s">
        <v>135</v>
      </c>
      <c r="M70" s="62" t="s">
        <v>135</v>
      </c>
    </row>
    <row r="71" spans="1:13" ht="14.4">
      <c r="A71" s="61" t="s">
        <v>128</v>
      </c>
      <c r="B71" s="56" t="s">
        <v>129</v>
      </c>
      <c r="C71" s="57" t="s">
        <v>130</v>
      </c>
      <c r="D71" s="63" t="s">
        <v>465</v>
      </c>
      <c r="E71" s="58" t="str">
        <f t="shared" si="0"/>
        <v>FECHA Y HORA DE INSERCIÓN DEL REGISTRO EN EL MODELO</v>
      </c>
      <c r="F71" s="63" t="s">
        <v>466</v>
      </c>
      <c r="G71" s="60" t="s">
        <v>135</v>
      </c>
      <c r="H71" s="65" t="s">
        <v>476</v>
      </c>
      <c r="I71" s="80">
        <v>45916.750542782189</v>
      </c>
      <c r="J71" s="65" t="s">
        <v>135</v>
      </c>
      <c r="K71" s="65" t="s">
        <v>135</v>
      </c>
      <c r="L71" s="62" t="s">
        <v>135</v>
      </c>
      <c r="M71" s="62" t="s">
        <v>135</v>
      </c>
    </row>
    <row r="72" spans="1:13" ht="14.4">
      <c r="A72" s="65" t="s">
        <v>128</v>
      </c>
      <c r="B72" s="56" t="s">
        <v>129</v>
      </c>
      <c r="C72" s="57" t="s">
        <v>130</v>
      </c>
      <c r="D72" s="63" t="s">
        <v>468</v>
      </c>
      <c r="E72" s="58" t="str">
        <f t="shared" si="0"/>
        <v>USUARIO QUE CREA EL REGISTRO EN LA BD</v>
      </c>
      <c r="F72" s="63" t="s">
        <v>469</v>
      </c>
      <c r="G72" s="62" t="s">
        <v>135</v>
      </c>
      <c r="H72" s="62" t="s">
        <v>186</v>
      </c>
      <c r="I72" s="63"/>
      <c r="J72" s="65" t="s">
        <v>135</v>
      </c>
      <c r="K72" s="65" t="s">
        <v>135</v>
      </c>
      <c r="L72" s="62" t="s">
        <v>135</v>
      </c>
      <c r="M72" s="62" t="s">
        <v>135</v>
      </c>
    </row>
    <row r="73" spans="1:13" ht="14.4"/>
    <row r="74" spans="1:13" ht="14.4"/>
    <row r="75" spans="1:13" ht="14.4"/>
    <row r="76" spans="1:13" ht="14.4"/>
    <row r="77" spans="1:13" ht="14.4"/>
    <row r="78" spans="1:13" ht="14.4"/>
    <row r="79" spans="1:13" ht="14.4"/>
    <row r="80" spans="1:13" ht="14.4"/>
    <row r="81" ht="14.4"/>
    <row r="82" ht="14.4"/>
    <row r="83" ht="14.4"/>
    <row r="84" ht="14.4"/>
    <row r="85" ht="14.4"/>
    <row r="86" ht="14.4"/>
    <row r="87" ht="14.4"/>
    <row r="88" ht="14.4"/>
    <row r="89" ht="14.4"/>
    <row r="90" ht="14.4"/>
    <row r="91" ht="14.4"/>
    <row r="92" ht="14.4"/>
    <row r="93" ht="14.4"/>
    <row r="94" ht="14.4"/>
    <row r="95" ht="14.4"/>
    <row r="96" ht="14.4"/>
    <row r="97" ht="14.4"/>
    <row r="98" ht="14.4"/>
    <row r="99" ht="14.4"/>
    <row r="100" ht="14.4"/>
    <row r="101" ht="14.4"/>
    <row r="102" ht="14.4"/>
    <row r="103" ht="14.4"/>
    <row r="104" ht="14.4"/>
    <row r="105" ht="14.4"/>
    <row r="106" ht="14.4"/>
    <row r="107" ht="14.4"/>
    <row r="108" ht="14.4"/>
    <row r="109" ht="14.4"/>
    <row r="110" ht="14.4"/>
    <row r="111" ht="14.4"/>
    <row r="112" ht="14.4"/>
    <row r="113" ht="14.4"/>
    <row r="114" ht="14.4"/>
    <row r="115" ht="14.4"/>
    <row r="116" ht="14.4"/>
    <row r="117" ht="14.4"/>
    <row r="118" ht="14.4"/>
    <row r="119" ht="14.4"/>
    <row r="120" ht="14.4"/>
    <row r="121" ht="14.4"/>
    <row r="122" ht="14.4"/>
    <row r="123" ht="14.4"/>
    <row r="124" ht="14.4"/>
    <row r="125" ht="14.4"/>
    <row r="126" ht="14.4"/>
    <row r="127" ht="14.4"/>
    <row r="128" ht="14.4"/>
    <row r="129" ht="14.4"/>
    <row r="130" ht="14.4"/>
    <row r="131" ht="14.4"/>
    <row r="132" ht="14.4"/>
    <row r="133" ht="14.4"/>
    <row r="134" ht="14.4"/>
    <row r="135" ht="14.4"/>
    <row r="136" ht="14.4"/>
    <row r="137" ht="14.4"/>
    <row r="138" ht="14.4"/>
    <row r="139" ht="14.4"/>
    <row r="140" ht="14.4"/>
    <row r="141" ht="14.4"/>
    <row r="142" ht="14.4"/>
    <row r="143" ht="14.4"/>
    <row r="144" ht="14.4"/>
    <row r="145" ht="14.4"/>
    <row r="146" ht="14.4"/>
    <row r="147" ht="14.4"/>
    <row r="148" ht="14.4"/>
    <row r="149" ht="14.4"/>
    <row r="150" ht="14.4"/>
    <row r="151" ht="14.4"/>
    <row r="152" ht="14.4"/>
    <row r="153" ht="14.4"/>
    <row r="154" ht="14.4"/>
    <row r="155" ht="14.4"/>
    <row r="156" ht="14.4"/>
    <row r="157" ht="14.4"/>
    <row r="158" ht="14.4"/>
    <row r="159" ht="14.4"/>
    <row r="160" ht="14.4"/>
    <row r="161" ht="14.4"/>
    <row r="162" ht="14.4"/>
    <row r="163" ht="14.4"/>
    <row r="164" ht="14.4"/>
    <row r="165" ht="14.4"/>
    <row r="166" ht="14.4"/>
    <row r="167" ht="14.4"/>
    <row r="168" ht="14.4"/>
    <row r="169" ht="14.4"/>
    <row r="170" ht="14.4"/>
    <row r="171" ht="14.4"/>
    <row r="172" ht="14.4"/>
    <row r="173" ht="14.4"/>
    <row r="174" ht="14.4"/>
    <row r="175" ht="14.4"/>
    <row r="176" ht="14.4"/>
    <row r="177" ht="14.4"/>
    <row r="178" ht="14.4"/>
    <row r="179" ht="14.4"/>
    <row r="180" ht="14.4"/>
    <row r="181" ht="14.4"/>
    <row r="182" ht="14.4"/>
    <row r="183" ht="14.4"/>
    <row r="184" ht="14.4"/>
    <row r="185" ht="14.4"/>
    <row r="186" ht="14.4"/>
    <row r="187" ht="14.4"/>
    <row r="188" ht="14.4"/>
    <row r="189" ht="14.4"/>
    <row r="190" ht="14.4"/>
    <row r="191" ht="14.4"/>
    <row r="192" ht="14.4"/>
    <row r="193" ht="14.4"/>
    <row r="194" ht="14.4"/>
    <row r="195" ht="14.4"/>
    <row r="196" ht="14.4"/>
    <row r="197" ht="14.4"/>
    <row r="198" ht="14.4"/>
    <row r="199" ht="14.4"/>
    <row r="200" ht="14.4"/>
    <row r="201" ht="14.4"/>
    <row r="202" ht="14.4"/>
    <row r="203" ht="14.4"/>
    <row r="204" ht="14.4"/>
    <row r="205" ht="14.4"/>
    <row r="206" ht="14.4"/>
    <row r="207" ht="14.4"/>
    <row r="208" ht="14.4"/>
    <row r="209" ht="14.4"/>
    <row r="210" ht="14.4"/>
    <row r="211" ht="14.4"/>
    <row r="212" ht="14.4"/>
    <row r="213" ht="14.4"/>
    <row r="214" ht="14.4"/>
    <row r="215" ht="14.4"/>
    <row r="216" ht="14.4"/>
    <row r="217" ht="14.4"/>
    <row r="218" ht="14.4"/>
    <row r="219" ht="14.4"/>
    <row r="220" ht="14.4"/>
    <row r="221" ht="14.4"/>
    <row r="222" ht="14.4"/>
    <row r="223" ht="14.4"/>
    <row r="224" ht="14.4"/>
    <row r="225" ht="14.4"/>
    <row r="226" ht="14.4"/>
    <row r="227" ht="14.4"/>
    <row r="228" ht="14.4"/>
    <row r="229" ht="14.4"/>
    <row r="230" ht="14.4"/>
    <row r="231" ht="14.4"/>
    <row r="232" ht="14.4"/>
    <row r="233" ht="14.4"/>
    <row r="234" ht="14.4"/>
    <row r="235" ht="14.4"/>
    <row r="236" ht="14.4"/>
    <row r="237" ht="14.4"/>
    <row r="238" ht="14.4"/>
    <row r="239" ht="14.4"/>
    <row r="240" ht="14.4"/>
    <row r="241" ht="14.4"/>
    <row r="242" ht="14.4"/>
    <row r="243" ht="14.4"/>
    <row r="244" ht="14.4"/>
    <row r="245" ht="14.4"/>
    <row r="246" ht="14.4"/>
    <row r="247" ht="14.4"/>
    <row r="248" ht="14.4"/>
    <row r="249" ht="14.4"/>
    <row r="250" ht="14.4"/>
    <row r="251" ht="14.4"/>
    <row r="252" ht="14.4"/>
    <row r="253" ht="14.4"/>
    <row r="254" ht="14.4"/>
    <row r="255" ht="14.4"/>
    <row r="256" ht="14.4"/>
    <row r="257" ht="14.4"/>
    <row r="258" ht="14.4"/>
    <row r="259" ht="14.4"/>
    <row r="260" ht="14.4"/>
    <row r="261" ht="14.4"/>
    <row r="262" ht="14.4"/>
    <row r="263" ht="14.4"/>
    <row r="264" ht="14.4"/>
    <row r="265" ht="14.4"/>
    <row r="266" ht="14.4"/>
    <row r="267" ht="14.4"/>
    <row r="268" ht="14.4"/>
    <row r="269" ht="14.4"/>
    <row r="270" ht="14.4"/>
    <row r="271" ht="14.4"/>
    <row r="272" ht="14.4"/>
    <row r="273" ht="14.4"/>
    <row r="274" ht="14.4"/>
    <row r="275" ht="14.4"/>
    <row r="276" ht="14.4"/>
    <row r="277" ht="14.4"/>
    <row r="278" ht="14.4"/>
    <row r="279" ht="14.4"/>
    <row r="280" ht="14.4"/>
    <row r="281" ht="14.4"/>
    <row r="282" ht="14.4"/>
    <row r="283" ht="14.4"/>
    <row r="284" ht="14.4"/>
    <row r="285" ht="14.4"/>
    <row r="286" ht="14.4"/>
    <row r="287" ht="14.4"/>
    <row r="288" ht="14.4"/>
    <row r="289" ht="14.4"/>
    <row r="290" ht="14.4"/>
    <row r="291" ht="14.4"/>
    <row r="292" ht="14.4"/>
    <row r="293" ht="14.4"/>
    <row r="294" ht="14.4"/>
    <row r="295" ht="14.4"/>
    <row r="296" ht="14.4"/>
    <row r="297" ht="14.4"/>
    <row r="298" ht="14.4"/>
    <row r="299" ht="14.4"/>
    <row r="300" ht="14.4"/>
    <row r="301" ht="14.4"/>
    <row r="302" ht="14.4"/>
    <row r="303" ht="14.4"/>
    <row r="304" ht="14.4"/>
    <row r="305" ht="14.4"/>
    <row r="306" ht="14.4"/>
    <row r="307" ht="14.4"/>
    <row r="308" ht="14.4"/>
    <row r="309" ht="14.4"/>
    <row r="310" ht="14.4"/>
    <row r="311" ht="14.4"/>
    <row r="312" ht="14.4"/>
    <row r="313" ht="14.4"/>
    <row r="314" ht="14.4"/>
    <row r="315" ht="14.4"/>
    <row r="316" ht="14.4"/>
    <row r="317" ht="14.4"/>
    <row r="318" ht="14.4"/>
    <row r="319" ht="14.4"/>
    <row r="320" ht="14.4"/>
    <row r="321" ht="14.4"/>
    <row r="322" ht="14.4"/>
    <row r="323" ht="14.4"/>
    <row r="324" ht="14.4"/>
    <row r="325" ht="14.4"/>
    <row r="326" ht="14.4"/>
    <row r="327" ht="14.4"/>
    <row r="328" ht="14.4"/>
    <row r="329" ht="14.4"/>
    <row r="330" ht="14.4"/>
    <row r="331" ht="14.4"/>
    <row r="332" ht="14.4"/>
    <row r="333" ht="14.4"/>
    <row r="334" ht="14.4"/>
    <row r="335" ht="14.4"/>
    <row r="336" ht="14.4"/>
    <row r="337" ht="14.4"/>
    <row r="338" ht="14.4"/>
    <row r="339" ht="14.4"/>
    <row r="340" ht="14.4"/>
    <row r="341" ht="14.4"/>
    <row r="342" ht="14.4"/>
    <row r="343" ht="14.4"/>
    <row r="344" ht="14.4"/>
    <row r="345" ht="14.4"/>
    <row r="346" ht="14.4"/>
    <row r="347" ht="14.4"/>
    <row r="348" ht="14.4"/>
    <row r="349" ht="14.4"/>
    <row r="350" ht="14.4"/>
    <row r="351" ht="14.4"/>
    <row r="352" ht="14.4"/>
    <row r="353" ht="14.4"/>
    <row r="354" ht="14.4"/>
    <row r="355" ht="14.4"/>
    <row r="356" ht="14.4"/>
    <row r="357" ht="14.4"/>
    <row r="358" ht="14.4"/>
    <row r="359" ht="14.4"/>
    <row r="360" ht="14.4"/>
    <row r="361" ht="14.4"/>
    <row r="362" ht="14.4"/>
    <row r="363" ht="14.4"/>
    <row r="364" ht="14.4"/>
    <row r="365" ht="14.4"/>
    <row r="366" ht="14.4"/>
    <row r="367" ht="14.4"/>
    <row r="368" ht="14.4"/>
    <row r="369" ht="14.4"/>
    <row r="370" ht="14.4"/>
    <row r="371" ht="14.4"/>
    <row r="372" ht="14.4"/>
    <row r="373" ht="14.4"/>
    <row r="374" ht="14.4"/>
    <row r="375" ht="14.4"/>
    <row r="376" ht="14.4"/>
    <row r="377" ht="14.4"/>
    <row r="378" ht="14.4"/>
    <row r="379" ht="14.4"/>
    <row r="380" ht="14.4"/>
    <row r="381" ht="14.4"/>
    <row r="382" ht="14.4"/>
    <row r="383" ht="14.4"/>
    <row r="384" ht="14.4"/>
    <row r="385" ht="14.4"/>
    <row r="386" ht="14.4"/>
    <row r="387" ht="14.4"/>
    <row r="388" ht="14.4"/>
    <row r="389" ht="14.4"/>
    <row r="390" ht="14.4"/>
    <row r="391" ht="14.4"/>
    <row r="392" ht="14.4"/>
    <row r="393" ht="14.4"/>
    <row r="394" ht="14.4"/>
    <row r="395" ht="14.4"/>
    <row r="396" ht="14.4"/>
    <row r="397" ht="14.4"/>
    <row r="398" ht="14.4"/>
    <row r="399" ht="14.4"/>
    <row r="400" ht="14.4"/>
    <row r="401" ht="14.4"/>
    <row r="402" ht="14.4"/>
    <row r="403" ht="14.4"/>
    <row r="404" ht="14.4"/>
    <row r="405" ht="14.4"/>
    <row r="406" ht="14.4"/>
    <row r="407" ht="14.4"/>
    <row r="408" ht="14.4"/>
    <row r="409" ht="14.4"/>
    <row r="410" ht="14.4"/>
    <row r="411" ht="14.4"/>
    <row r="412" ht="14.4"/>
    <row r="413" ht="14.4"/>
    <row r="414" ht="14.4"/>
    <row r="415" ht="14.4"/>
    <row r="416" ht="14.4"/>
    <row r="417" ht="14.4"/>
    <row r="418" ht="14.4"/>
    <row r="419" ht="14.4"/>
    <row r="420" ht="14.4"/>
    <row r="421" ht="14.4"/>
    <row r="422" ht="14.4"/>
    <row r="423" ht="14.4"/>
    <row r="424" ht="14.4"/>
    <row r="425" ht="14.4"/>
    <row r="426" ht="14.4"/>
    <row r="427" ht="14.4"/>
    <row r="428" ht="14.4"/>
    <row r="429" ht="14.4"/>
    <row r="430" ht="14.4"/>
    <row r="431" ht="14.4"/>
    <row r="432" ht="14.4"/>
    <row r="433" ht="14.4"/>
    <row r="434" ht="14.4"/>
    <row r="435" ht="14.4"/>
    <row r="436" ht="14.4"/>
    <row r="437" ht="14.4"/>
    <row r="438" ht="14.4"/>
    <row r="439" ht="14.4"/>
    <row r="440" ht="14.4"/>
    <row r="441" ht="14.4"/>
    <row r="442" ht="14.4"/>
    <row r="443" ht="14.4"/>
    <row r="444" ht="14.4"/>
    <row r="445" ht="14.4"/>
    <row r="446" ht="14.4"/>
    <row r="447" ht="14.4"/>
    <row r="448" ht="14.4"/>
    <row r="449" ht="14.4"/>
    <row r="450" ht="14.4"/>
    <row r="451" ht="14.4"/>
    <row r="452" ht="14.4"/>
    <row r="453" ht="14.4"/>
    <row r="454" ht="14.4"/>
    <row r="455" ht="14.4"/>
    <row r="456" ht="14.4"/>
    <row r="457" ht="14.4"/>
    <row r="458" ht="14.4"/>
    <row r="459" ht="14.4"/>
    <row r="460" ht="14.4"/>
    <row r="461" ht="14.4"/>
    <row r="462" ht="14.4"/>
    <row r="463" ht="14.4"/>
    <row r="464" ht="14.4"/>
    <row r="465" ht="14.4"/>
    <row r="466" ht="14.4"/>
    <row r="467" ht="14.4"/>
    <row r="468" ht="14.4"/>
    <row r="469" ht="14.4"/>
    <row r="470" ht="14.4"/>
    <row r="471" ht="14.4"/>
    <row r="472" ht="14.4"/>
    <row r="473" ht="14.4"/>
    <row r="474" ht="14.4"/>
    <row r="475" ht="14.4"/>
    <row r="476" ht="14.4"/>
    <row r="477" ht="14.4"/>
    <row r="478" ht="14.4"/>
    <row r="479" ht="14.4"/>
    <row r="480" ht="14.4"/>
    <row r="481" ht="14.4"/>
    <row r="482" ht="14.4"/>
    <row r="483" ht="14.4"/>
    <row r="484" ht="14.4"/>
    <row r="485" ht="14.4"/>
    <row r="486" ht="14.4"/>
    <row r="487" ht="14.4"/>
    <row r="488" ht="14.4"/>
    <row r="489" ht="14.4"/>
    <row r="490" ht="14.4"/>
    <row r="491" ht="14.4"/>
    <row r="492" ht="14.4"/>
    <row r="493" ht="14.4"/>
    <row r="494" ht="14.4"/>
    <row r="495" ht="14.4"/>
    <row r="496" ht="14.4"/>
    <row r="497" ht="14.4"/>
    <row r="498" ht="14.4"/>
    <row r="499" ht="14.4"/>
    <row r="500" ht="14.4"/>
    <row r="501" ht="14.4"/>
    <row r="502" ht="14.4"/>
    <row r="503" ht="14.4"/>
    <row r="504" ht="14.4"/>
    <row r="505" ht="14.4"/>
    <row r="506" ht="14.4"/>
    <row r="507" ht="14.4"/>
    <row r="508" ht="14.4"/>
    <row r="509" ht="14.4"/>
    <row r="510" ht="14.4"/>
    <row r="511" ht="14.4"/>
    <row r="512" ht="14.4"/>
    <row r="513" ht="14.4"/>
    <row r="514" ht="14.4"/>
    <row r="515" ht="14.4"/>
    <row r="516" ht="14.4"/>
    <row r="517" ht="14.4"/>
    <row r="518" ht="14.4"/>
    <row r="519" ht="14.4"/>
    <row r="520" ht="14.4"/>
    <row r="521" ht="14.4"/>
    <row r="522" ht="14.4"/>
    <row r="523" ht="14.4"/>
    <row r="524" ht="14.4"/>
    <row r="525" ht="14.4"/>
    <row r="526" ht="14.4"/>
    <row r="527" ht="14.4"/>
    <row r="528" ht="14.4"/>
    <row r="529" ht="14.4"/>
    <row r="530" ht="14.4"/>
    <row r="531" ht="14.4"/>
    <row r="532" ht="14.4"/>
    <row r="533" ht="14.4"/>
    <row r="534" ht="14.4"/>
    <row r="535" ht="14.4"/>
    <row r="536" ht="14.4"/>
    <row r="537" ht="14.4"/>
    <row r="538" ht="14.4"/>
    <row r="539" ht="14.4"/>
    <row r="540" ht="14.4"/>
    <row r="541" ht="14.4"/>
    <row r="542" ht="14.4"/>
    <row r="543" ht="14.4"/>
    <row r="544" ht="14.4"/>
    <row r="545" ht="14.4"/>
    <row r="546" ht="14.4"/>
    <row r="547" ht="14.4"/>
    <row r="548" ht="14.4"/>
    <row r="549" ht="14.4"/>
    <row r="550" ht="14.4"/>
    <row r="551" ht="14.4"/>
    <row r="552" ht="14.4"/>
    <row r="553" ht="14.4"/>
    <row r="554" ht="14.4"/>
    <row r="555" ht="14.4"/>
    <row r="556" ht="14.4"/>
    <row r="557" ht="14.4"/>
    <row r="558" ht="14.4"/>
    <row r="559" ht="14.4"/>
    <row r="560" ht="14.4"/>
    <row r="561" ht="14.4"/>
    <row r="562" ht="14.4"/>
    <row r="563" ht="14.4"/>
    <row r="564" ht="14.4"/>
    <row r="565" ht="14.4"/>
    <row r="566" ht="14.4"/>
    <row r="567" ht="14.4"/>
    <row r="568" ht="14.4"/>
    <row r="569" ht="14.4"/>
    <row r="570" ht="14.4"/>
    <row r="571" ht="14.4"/>
    <row r="572" ht="14.4"/>
    <row r="573" ht="14.4"/>
    <row r="574" ht="14.4"/>
    <row r="575" ht="14.4"/>
    <row r="576" ht="14.4"/>
    <row r="577" ht="14.4"/>
    <row r="578" ht="14.4"/>
    <row r="579" ht="14.4"/>
    <row r="580" ht="14.4"/>
    <row r="581" ht="14.4"/>
    <row r="582" ht="14.4"/>
    <row r="583" ht="14.4"/>
    <row r="584" ht="14.4"/>
    <row r="585" ht="14.4"/>
    <row r="586" ht="14.4"/>
    <row r="587" ht="14.4"/>
    <row r="588" ht="14.4"/>
    <row r="589" ht="14.4"/>
    <row r="590" ht="14.4"/>
    <row r="591" ht="14.4"/>
    <row r="592" ht="14.4"/>
    <row r="593" ht="14.4"/>
    <row r="594" ht="14.4"/>
    <row r="595" ht="14.4"/>
    <row r="596" ht="14.4"/>
    <row r="597" ht="14.4"/>
    <row r="598" ht="14.4"/>
    <row r="599" ht="14.4"/>
    <row r="600" ht="14.4"/>
    <row r="601" ht="14.4"/>
    <row r="602" ht="14.4"/>
    <row r="603" ht="14.4"/>
    <row r="604" ht="14.4"/>
    <row r="605" ht="14.4"/>
    <row r="606" ht="14.4"/>
    <row r="607" ht="14.4"/>
    <row r="608" ht="14.4"/>
    <row r="609" ht="14.4"/>
    <row r="610" ht="14.4"/>
    <row r="611" ht="14.4"/>
    <row r="612" ht="14.4"/>
    <row r="613" ht="14.4"/>
    <row r="614" ht="14.4"/>
    <row r="615" ht="14.4"/>
    <row r="616" ht="14.4"/>
    <row r="617" ht="14.4"/>
    <row r="618" ht="14.4"/>
    <row r="619" ht="14.4"/>
    <row r="620" ht="14.4"/>
    <row r="621" ht="14.4"/>
    <row r="622" ht="14.4"/>
    <row r="623" ht="14.4"/>
    <row r="624" ht="14.4"/>
    <row r="625" ht="14.4"/>
    <row r="626" ht="14.4"/>
    <row r="627" ht="14.4"/>
    <row r="628" ht="14.4"/>
    <row r="629" ht="14.4"/>
    <row r="630" ht="14.4"/>
    <row r="631" ht="14.4"/>
    <row r="632" ht="14.4"/>
    <row r="633" ht="14.4"/>
    <row r="634" ht="14.4"/>
    <row r="635" ht="14.4"/>
    <row r="636" ht="14.4"/>
    <row r="637" ht="14.4"/>
    <row r="638" ht="14.4"/>
    <row r="639" ht="14.4"/>
    <row r="640" ht="14.4"/>
    <row r="641" ht="14.4"/>
    <row r="642" ht="14.4"/>
    <row r="643" ht="14.4"/>
    <row r="644" ht="14.4"/>
    <row r="645" ht="14.4"/>
    <row r="646" ht="14.4"/>
    <row r="647" ht="14.4"/>
    <row r="648" ht="14.4"/>
    <row r="649" ht="14.4"/>
    <row r="650" ht="14.4"/>
    <row r="651" ht="14.4"/>
    <row r="652" ht="14.4"/>
    <row r="653" ht="14.4"/>
    <row r="654" ht="14.4"/>
    <row r="655" ht="14.4"/>
    <row r="656" ht="14.4"/>
    <row r="657" ht="14.4"/>
    <row r="658" ht="14.4"/>
    <row r="659" ht="14.4"/>
    <row r="660" ht="14.4"/>
    <row r="661" ht="14.4"/>
    <row r="662" ht="14.4"/>
    <row r="663" ht="14.4"/>
    <row r="664" ht="14.4"/>
    <row r="665" ht="14.4"/>
    <row r="666" ht="14.4"/>
    <row r="667" ht="14.4"/>
    <row r="668" ht="14.4"/>
    <row r="669" ht="14.4"/>
    <row r="670" ht="14.4"/>
    <row r="671" ht="14.4"/>
    <row r="672" ht="14.4"/>
    <row r="673" ht="14.4"/>
    <row r="674" ht="14.4"/>
    <row r="675" ht="14.4"/>
    <row r="676" ht="14.4"/>
    <row r="677" ht="14.4"/>
    <row r="678" ht="14.4"/>
    <row r="679" ht="14.4"/>
    <row r="680" ht="14.4"/>
    <row r="681" ht="14.4"/>
    <row r="682" ht="14.4"/>
    <row r="683" ht="14.4"/>
    <row r="684" ht="14.4"/>
    <row r="685" ht="14.4"/>
    <row r="686" ht="14.4"/>
    <row r="687" ht="14.4"/>
    <row r="688" ht="14.4"/>
    <row r="689" ht="14.4"/>
    <row r="690" ht="14.4"/>
    <row r="691" ht="14.4"/>
    <row r="692" ht="14.4"/>
    <row r="693" ht="14.4"/>
    <row r="694" ht="14.4"/>
    <row r="695" ht="14.4"/>
    <row r="696" ht="14.4"/>
    <row r="697" ht="14.4"/>
    <row r="698" ht="14.4"/>
    <row r="699" ht="14.4"/>
    <row r="700" ht="14.4"/>
    <row r="701" ht="14.4"/>
    <row r="702" ht="14.4"/>
    <row r="703" ht="14.4"/>
    <row r="704" ht="14.4"/>
    <row r="705" ht="14.4"/>
    <row r="706" ht="14.4"/>
    <row r="707" ht="14.4"/>
    <row r="708" ht="14.4"/>
    <row r="709" ht="14.4"/>
    <row r="710" ht="14.4"/>
    <row r="711" ht="14.4"/>
    <row r="712" ht="14.4"/>
    <row r="713" ht="14.4"/>
    <row r="714" ht="14.4"/>
    <row r="715" ht="14.4"/>
    <row r="716" ht="14.4"/>
    <row r="717" ht="14.4"/>
    <row r="718" ht="14.4"/>
    <row r="719" ht="14.4"/>
    <row r="720" ht="14.4"/>
    <row r="721" ht="14.4"/>
    <row r="722" ht="14.4"/>
    <row r="723" ht="14.4"/>
    <row r="724" ht="14.4"/>
    <row r="725" ht="14.4"/>
    <row r="726" ht="14.4"/>
    <row r="727" ht="14.4"/>
    <row r="728" ht="14.4"/>
    <row r="729" ht="14.4"/>
    <row r="730" ht="14.4"/>
    <row r="731" ht="14.4"/>
    <row r="732" ht="14.4"/>
    <row r="733" ht="14.4"/>
    <row r="734" ht="14.4"/>
    <row r="735" ht="14.4"/>
    <row r="736" ht="14.4"/>
    <row r="737" ht="14.4"/>
    <row r="738" ht="14.4"/>
    <row r="739" ht="14.4"/>
    <row r="740" ht="14.4"/>
    <row r="741" ht="14.4"/>
    <row r="742" ht="14.4"/>
    <row r="743" ht="14.4"/>
    <row r="744" ht="14.4"/>
    <row r="745" ht="14.4"/>
    <row r="746" ht="14.4"/>
    <row r="747" ht="14.4"/>
    <row r="748" ht="14.4"/>
    <row r="749" ht="14.4"/>
    <row r="750" ht="14.4"/>
    <row r="751" ht="14.4"/>
    <row r="752" ht="14.4"/>
    <row r="753" ht="14.4"/>
    <row r="754" ht="14.4"/>
    <row r="755" ht="14.4"/>
    <row r="756" ht="14.4"/>
    <row r="757" ht="14.4"/>
    <row r="758" ht="14.4"/>
    <row r="759" ht="14.4"/>
    <row r="760" ht="14.4"/>
    <row r="761" ht="14.4"/>
    <row r="762" ht="14.4"/>
    <row r="763" ht="14.4"/>
    <row r="764" ht="14.4"/>
    <row r="765" ht="14.4"/>
    <row r="766" ht="14.4"/>
    <row r="767" ht="14.4"/>
    <row r="768" ht="14.4"/>
    <row r="769" ht="14.4"/>
    <row r="770" ht="14.4"/>
    <row r="771" ht="14.4"/>
    <row r="772" ht="14.4"/>
    <row r="773" ht="14.4"/>
    <row r="774" ht="14.4"/>
    <row r="775" ht="14.4"/>
    <row r="776" ht="14.4"/>
    <row r="777" ht="14.4"/>
    <row r="778" ht="14.4"/>
    <row r="779" ht="14.4"/>
    <row r="780" ht="14.4"/>
    <row r="781" ht="14.4"/>
    <row r="782" ht="14.4"/>
    <row r="783" ht="14.4"/>
    <row r="784" ht="14.4"/>
    <row r="785" ht="14.4"/>
    <row r="786" ht="14.4"/>
    <row r="787" ht="14.4"/>
    <row r="788" ht="14.4"/>
    <row r="789" ht="14.4"/>
    <row r="790" ht="14.4"/>
    <row r="791" ht="14.4"/>
    <row r="792" ht="14.4"/>
    <row r="793" ht="14.4"/>
    <row r="794" ht="14.4"/>
    <row r="795" ht="14.4"/>
    <row r="796" ht="14.4"/>
    <row r="797" ht="14.4"/>
    <row r="798" ht="14.4"/>
    <row r="799" ht="14.4"/>
    <row r="800" ht="14.4"/>
    <row r="801" ht="14.4"/>
    <row r="802" ht="14.4"/>
    <row r="803" ht="14.4"/>
    <row r="804" ht="14.4"/>
    <row r="805" ht="14.4"/>
    <row r="806" ht="14.4"/>
    <row r="807" ht="14.4"/>
    <row r="808" ht="14.4"/>
    <row r="809" ht="14.4"/>
    <row r="810" ht="14.4"/>
    <row r="811" ht="14.4"/>
    <row r="812" ht="14.4"/>
    <row r="813" ht="14.4"/>
    <row r="814" ht="14.4"/>
    <row r="815" ht="14.4"/>
    <row r="816" ht="14.4"/>
    <row r="817" ht="14.4"/>
    <row r="818" ht="14.4"/>
    <row r="819" ht="14.4"/>
    <row r="820" ht="14.4"/>
    <row r="821" ht="14.4"/>
    <row r="822" ht="14.4"/>
    <row r="823" ht="14.4"/>
    <row r="824" ht="14.4"/>
    <row r="825" ht="14.4"/>
    <row r="826" ht="14.4"/>
    <row r="827" ht="14.4"/>
    <row r="828" ht="14.4"/>
    <row r="829" ht="14.4"/>
    <row r="830" ht="14.4"/>
    <row r="831" ht="14.4"/>
    <row r="832" ht="14.4"/>
    <row r="833" ht="14.4"/>
    <row r="834" ht="14.4"/>
    <row r="835" ht="14.4"/>
    <row r="836" ht="14.4"/>
    <row r="837" ht="14.4"/>
    <row r="838" ht="14.4"/>
    <row r="839" ht="14.4"/>
    <row r="840" ht="14.4"/>
    <row r="841" ht="14.4"/>
    <row r="842" ht="14.4"/>
    <row r="843" ht="14.4"/>
    <row r="844" ht="14.4"/>
    <row r="845" ht="14.4"/>
    <row r="846" ht="14.4"/>
    <row r="847" ht="14.4"/>
    <row r="848" ht="14.4"/>
    <row r="849" ht="14.4"/>
    <row r="850" ht="14.4"/>
    <row r="851" ht="14.4"/>
    <row r="852" ht="14.4"/>
    <row r="853" ht="14.4"/>
    <row r="854" ht="14.4"/>
    <row r="855" ht="14.4"/>
    <row r="856" ht="14.4"/>
    <row r="857" ht="14.4"/>
    <row r="858" ht="14.4"/>
    <row r="859" ht="14.4"/>
    <row r="860" ht="14.4"/>
    <row r="861" ht="14.4"/>
    <row r="862" ht="14.4"/>
    <row r="863" ht="14.4"/>
    <row r="864" ht="14.4"/>
    <row r="865" ht="14.4"/>
    <row r="866" ht="14.4"/>
    <row r="867" ht="14.4"/>
    <row r="868" ht="14.4"/>
    <row r="869" ht="14.4"/>
    <row r="870" ht="14.4"/>
    <row r="871" ht="14.4"/>
    <row r="872" ht="14.4"/>
    <row r="873" ht="14.4"/>
    <row r="874" ht="14.4"/>
    <row r="875" ht="14.4"/>
    <row r="876" ht="14.4"/>
    <row r="877" ht="14.4"/>
    <row r="878" ht="14.4"/>
    <row r="879" ht="14.4"/>
    <row r="880" ht="14.4"/>
    <row r="881" ht="14.4"/>
    <row r="882" ht="14.4"/>
    <row r="883" ht="14.4"/>
    <row r="884" ht="14.4"/>
    <row r="885" ht="14.4"/>
    <row r="886" ht="14.4"/>
    <row r="887" ht="14.4"/>
    <row r="888" ht="14.4"/>
    <row r="889" ht="14.4"/>
    <row r="890" ht="14.4"/>
    <row r="891" ht="14.4"/>
    <row r="892" ht="14.4"/>
    <row r="893" ht="14.4"/>
    <row r="894" ht="14.4"/>
    <row r="895" ht="14.4"/>
    <row r="896" ht="14.4"/>
    <row r="897" ht="14.4"/>
    <row r="898" ht="14.4"/>
    <row r="899" ht="14.4"/>
    <row r="900" ht="14.4"/>
    <row r="901" ht="14.4"/>
    <row r="902" ht="14.4"/>
    <row r="903" ht="14.4"/>
    <row r="904" ht="14.4"/>
    <row r="905" ht="14.4"/>
    <row r="906" ht="14.4"/>
    <row r="907" ht="14.4"/>
    <row r="908" ht="14.4"/>
    <row r="909" ht="14.4"/>
    <row r="910" ht="14.4"/>
    <row r="911" ht="14.4"/>
    <row r="912" ht="14.4"/>
    <row r="913" ht="14.4"/>
    <row r="914" ht="14.4"/>
    <row r="915" ht="14.4"/>
    <row r="916" ht="14.4"/>
    <row r="917" ht="14.4"/>
    <row r="918" ht="14.4"/>
    <row r="919" ht="14.4"/>
    <row r="920" ht="14.4"/>
    <row r="921" ht="14.4"/>
    <row r="922" ht="14.4"/>
    <row r="923" ht="14.4"/>
    <row r="924" ht="14.4"/>
    <row r="925" ht="14.4"/>
    <row r="926" ht="14.4"/>
    <row r="927" ht="14.4"/>
    <row r="928" ht="14.4"/>
    <row r="929" ht="14.4"/>
    <row r="930" ht="14.4"/>
    <row r="931" ht="14.4"/>
    <row r="932" ht="14.4"/>
    <row r="933" ht="14.4"/>
    <row r="934" ht="14.4"/>
    <row r="935" ht="14.4"/>
    <row r="936" ht="14.4"/>
    <row r="937" ht="14.4"/>
    <row r="938" ht="14.4"/>
    <row r="939" ht="14.4"/>
    <row r="940" ht="14.4"/>
    <row r="941" ht="14.4"/>
    <row r="942" ht="14.4"/>
    <row r="943" ht="14.4"/>
    <row r="944" ht="14.4"/>
    <row r="945" ht="14.4"/>
    <row r="946" ht="14.4"/>
    <row r="947" ht="14.4"/>
    <row r="948" ht="14.4"/>
    <row r="949" ht="14.4"/>
    <row r="950" ht="14.4"/>
    <row r="951" ht="14.4"/>
    <row r="952" ht="14.4"/>
    <row r="953" ht="14.4"/>
    <row r="954" ht="14.4"/>
    <row r="955" ht="14.4"/>
    <row r="956" ht="14.4"/>
    <row r="957" ht="14.4"/>
    <row r="958" ht="14.4"/>
    <row r="959" ht="14.4"/>
    <row r="960" ht="14.4"/>
    <row r="961" ht="14.4"/>
    <row r="962" ht="14.4"/>
    <row r="963" ht="14.4"/>
    <row r="964" ht="14.4"/>
    <row r="965" ht="14.4"/>
    <row r="966" ht="14.4"/>
    <row r="967" ht="14.4"/>
    <row r="968" ht="14.4"/>
    <row r="969" ht="14.4"/>
    <row r="970" ht="14.4"/>
    <row r="971" ht="14.4"/>
    <row r="972" ht="14.4"/>
    <row r="973" ht="14.4"/>
    <row r="974" ht="14.4"/>
    <row r="975" ht="14.4"/>
    <row r="976" ht="14.4"/>
    <row r="977" ht="14.4"/>
    <row r="978" ht="14.4"/>
    <row r="979" ht="14.4"/>
    <row r="980" ht="14.4"/>
    <row r="981" ht="14.4"/>
    <row r="982" ht="14.4"/>
    <row r="983" ht="14.4"/>
    <row r="984" ht="14.4"/>
    <row r="985" ht="14.4"/>
    <row r="986" ht="14.4"/>
    <row r="987" ht="14.4"/>
    <row r="988" ht="14.4"/>
    <row r="989" ht="14.4"/>
    <row r="990" ht="14.4"/>
    <row r="991" ht="14.4"/>
    <row r="992" ht="14.4"/>
    <row r="993" ht="14.4"/>
    <row r="994" ht="14.4"/>
    <row r="995" ht="14.4"/>
    <row r="996" ht="14.4"/>
    <row r="997" ht="14.4"/>
    <row r="998" ht="14.4"/>
    <row r="999" ht="14.4"/>
    <row r="1000" ht="14.4"/>
    <row r="1001" ht="14.4"/>
    <row r="1002" ht="14.4"/>
    <row r="1003" ht="14.4"/>
    <row r="1004" ht="14.4"/>
    <row r="1005" ht="14.4"/>
    <row r="1006" ht="14.4"/>
    <row r="1007" ht="14.4"/>
    <row r="1008" ht="14.4"/>
    <row r="1009" ht="14.4"/>
    <row r="1010" ht="14.4"/>
    <row r="1011" ht="14.4"/>
    <row r="1012" ht="14.4"/>
    <row r="1013" ht="14.4"/>
    <row r="1014" ht="14.4"/>
    <row r="1015" ht="14.4"/>
    <row r="1016" ht="14.4"/>
    <row r="1017" ht="14.4"/>
    <row r="1018" ht="14.4"/>
    <row r="1019" ht="14.4"/>
    <row r="1020" ht="14.4"/>
    <row r="1021" ht="14.4"/>
    <row r="1022" ht="14.4"/>
    <row r="1023" ht="14.4"/>
    <row r="1024" ht="14.4"/>
    <row r="1025" ht="14.4"/>
    <row r="1026" ht="14.4"/>
    <row r="1027" ht="14.4"/>
    <row r="1028" ht="14.4"/>
    <row r="1029" ht="14.4"/>
    <row r="1030" ht="14.4"/>
    <row r="1031" ht="14.4"/>
    <row r="1032" ht="14.4"/>
    <row r="1033" ht="14.4"/>
    <row r="1034" ht="14.4"/>
    <row r="1035" ht="14.4"/>
    <row r="1036" ht="14.4"/>
    <row r="1037" ht="14.4"/>
    <row r="1038" ht="14.4"/>
    <row r="1039" ht="14.4"/>
    <row r="1040" ht="14.4"/>
    <row r="1041" ht="14.4"/>
    <row r="1042" ht="14.4"/>
    <row r="1043" ht="14.4"/>
    <row r="1044" ht="14.4"/>
    <row r="1045" ht="14.4"/>
    <row r="1046" ht="14.4"/>
    <row r="1047" ht="14.4"/>
    <row r="1048" ht="14.4"/>
    <row r="1049" ht="14.4"/>
    <row r="1050" ht="14.4"/>
    <row r="1051" ht="14.4"/>
    <row r="1052" ht="14.4"/>
    <row r="1053" ht="14.4"/>
    <row r="1054" ht="14.4"/>
    <row r="1055" ht="14.4"/>
    <row r="1056" ht="14.4"/>
    <row r="1057" ht="14.4"/>
    <row r="1058" ht="14.4"/>
    <row r="1059" ht="14.4"/>
    <row r="1060" ht="14.4"/>
    <row r="1061" ht="14.4"/>
    <row r="1062" ht="14.4"/>
    <row r="1063" ht="14.4"/>
    <row r="1064" ht="14.4"/>
    <row r="1065" ht="14.4"/>
    <row r="1066" ht="14.4"/>
    <row r="1067" ht="14.4"/>
    <row r="1068" ht="14.4"/>
    <row r="1069" ht="14.4"/>
    <row r="1070" ht="14.4"/>
    <row r="1071" ht="14.4"/>
    <row r="1072" ht="14.4"/>
    <row r="1073" ht="14.4"/>
    <row r="1074" ht="14.4"/>
    <row r="1075" ht="14.4"/>
    <row r="1076" ht="14.4"/>
    <row r="1077" ht="14.4"/>
    <row r="1078" ht="14.4"/>
    <row r="1079" ht="14.4"/>
    <row r="1080" ht="14.4"/>
    <row r="1081" ht="14.4"/>
    <row r="1082" ht="14.4"/>
    <row r="1083" ht="14.4"/>
    <row r="1084" ht="14.4"/>
    <row r="1085" ht="14.4"/>
    <row r="1086" ht="14.4"/>
    <row r="1087" ht="14.4"/>
    <row r="1088" ht="14.4"/>
    <row r="1089" ht="14.4"/>
    <row r="1090" ht="14.4"/>
    <row r="1091" ht="14.4"/>
    <row r="1092" ht="14.4"/>
    <row r="1093" ht="14.4"/>
    <row r="1094" ht="14.4"/>
    <row r="1095" ht="14.4"/>
    <row r="1096" ht="14.4"/>
    <row r="1097" ht="14.4"/>
    <row r="1098" ht="14.4"/>
    <row r="1099" ht="14.4"/>
    <row r="1100" ht="14.4"/>
    <row r="1101" ht="14.4"/>
    <row r="1102" ht="14.4"/>
    <row r="1103" ht="14.4"/>
    <row r="1104" ht="14.4"/>
    <row r="1105" ht="14.4"/>
    <row r="1106" ht="14.4"/>
    <row r="1107" ht="14.4"/>
    <row r="1108" ht="14.4"/>
    <row r="1109" ht="14.4"/>
    <row r="1110" ht="14.4"/>
    <row r="1111" ht="14.4"/>
    <row r="1112" ht="14.4"/>
    <row r="1113" ht="14.4"/>
    <row r="1114" ht="14.4"/>
    <row r="1115" ht="14.4"/>
    <row r="1116" ht="14.4"/>
    <row r="1117" ht="14.4"/>
    <row r="1118" ht="14.4"/>
    <row r="1119" ht="14.4"/>
    <row r="1120" ht="14.4"/>
    <row r="1121" ht="14.4"/>
    <row r="1122" ht="14.4"/>
    <row r="1123" ht="14.4"/>
    <row r="1124" ht="14.4"/>
    <row r="1125" ht="14.4"/>
    <row r="1126" ht="14.4"/>
    <row r="1127" ht="14.4"/>
    <row r="1128" ht="14.4"/>
    <row r="1129" ht="14.4"/>
    <row r="1130" ht="14.4"/>
    <row r="1131" ht="14.4"/>
    <row r="1132" ht="14.4"/>
    <row r="1133" ht="14.4"/>
    <row r="1134" ht="14.4"/>
    <row r="1135" ht="14.4"/>
    <row r="1136" ht="14.4"/>
    <row r="1137" ht="14.4"/>
    <row r="1138" ht="14.4"/>
    <row r="1139" ht="14.4"/>
    <row r="1140" ht="14.4"/>
    <row r="1141" ht="14.4"/>
    <row r="1142" ht="14.4"/>
    <row r="1143" ht="14.4"/>
    <row r="1144" ht="14.4"/>
    <row r="1145" ht="14.4"/>
    <row r="1146" ht="14.4"/>
    <row r="1147" ht="14.4"/>
    <row r="1148" ht="14.4"/>
    <row r="1149" ht="14.4"/>
    <row r="1150" ht="14.4"/>
    <row r="1151" ht="14.4"/>
    <row r="1152" ht="14.4"/>
    <row r="1153" ht="14.4"/>
    <row r="1154" ht="14.4"/>
    <row r="1155" ht="14.4"/>
    <row r="1156" ht="14.4"/>
    <row r="1157" ht="14.4"/>
    <row r="1158" ht="14.4"/>
    <row r="1159" ht="14.4"/>
    <row r="1160" ht="14.4"/>
    <row r="1161" ht="14.4"/>
    <row r="1162" ht="14.4"/>
    <row r="1163" ht="14.4"/>
    <row r="1164" ht="14.4"/>
    <row r="1165" ht="14.4"/>
    <row r="1166" ht="14.4"/>
    <row r="1167" ht="14.4"/>
    <row r="1168" ht="14.4"/>
    <row r="1169" ht="14.4"/>
    <row r="1170" ht="14.4"/>
    <row r="1171" ht="14.4"/>
    <row r="1172" ht="14.4"/>
    <row r="1173" ht="14.4"/>
    <row r="1174" ht="14.4"/>
    <row r="1175" ht="14.4"/>
    <row r="1176" ht="14.4"/>
    <row r="1177" ht="14.4"/>
    <row r="1178" ht="14.4"/>
    <row r="1179" ht="14.4"/>
    <row r="1180" ht="14.4"/>
    <row r="1181" ht="14.4"/>
    <row r="1182" ht="14.4"/>
    <row r="1183" ht="14.4"/>
    <row r="1184" ht="14.4"/>
    <row r="1185" ht="14.4"/>
    <row r="1186" ht="14.4"/>
    <row r="1187" ht="14.4"/>
    <row r="1188" ht="14.4"/>
    <row r="1189" ht="14.4"/>
    <row r="1190" ht="14.4"/>
    <row r="1191" ht="14.4"/>
    <row r="1192" ht="14.4"/>
    <row r="1193" ht="14.4"/>
    <row r="1194" ht="14.4"/>
    <row r="1195" ht="14.4"/>
    <row r="1196" ht="14.4"/>
    <row r="1197" ht="14.4"/>
    <row r="1198" ht="14.4"/>
    <row r="1199" ht="14.4"/>
    <row r="1200" ht="14.4"/>
    <row r="1201" ht="14.4"/>
    <row r="1202" ht="14.4"/>
    <row r="1203" ht="14.4"/>
    <row r="1204" ht="14.4"/>
  </sheetData>
  <autoFilter ref="A2:M72" xr:uid="{00000000-0009-0000-0000-000005000000}"/>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M1204"/>
  <sheetViews>
    <sheetView showGridLines="0" workbookViewId="0">
      <pane ySplit="2" topLeftCell="A3" activePane="bottomLeft" state="frozen"/>
      <selection pane="bottomLeft" activeCell="B4" sqref="B4"/>
    </sheetView>
  </sheetViews>
  <sheetFormatPr baseColWidth="10" defaultColWidth="14.44140625" defaultRowHeight="15" customHeight="1"/>
  <cols>
    <col min="1" max="1" width="31.33203125" customWidth="1"/>
    <col min="2" max="2" width="28.5546875" customWidth="1"/>
    <col min="3" max="3" width="22.5546875" customWidth="1"/>
    <col min="4" max="4" width="32.88671875" customWidth="1"/>
    <col min="5" max="5" width="66.6640625" customWidth="1"/>
    <col min="6" max="6" width="74.44140625" customWidth="1"/>
    <col min="7" max="7" width="13.5546875" customWidth="1"/>
    <col min="8" max="8" width="24.44140625" customWidth="1"/>
    <col min="9" max="9" width="60.6640625" customWidth="1"/>
    <col min="10" max="10" width="32.109375" customWidth="1"/>
    <col min="11" max="11" width="28.109375" customWidth="1"/>
    <col min="12" max="12" width="30.44140625" customWidth="1"/>
    <col min="13" max="13" width="27" customWidth="1"/>
    <col min="14" max="14" width="23.88671875" customWidth="1"/>
    <col min="15" max="18" width="47.6640625" customWidth="1"/>
  </cols>
  <sheetData>
    <row r="1" spans="1:13" ht="31.2">
      <c r="A1" s="47" t="s">
        <v>92</v>
      </c>
      <c r="B1" s="48" t="s">
        <v>93</v>
      </c>
      <c r="C1" s="48" t="s">
        <v>94</v>
      </c>
      <c r="D1" s="48" t="s">
        <v>156</v>
      </c>
      <c r="E1" s="48" t="s">
        <v>159</v>
      </c>
      <c r="F1" s="48" t="s">
        <v>160</v>
      </c>
      <c r="G1" s="48" t="s">
        <v>161</v>
      </c>
      <c r="H1" s="48" t="s">
        <v>162</v>
      </c>
      <c r="I1" s="48" t="s">
        <v>163</v>
      </c>
      <c r="J1" s="48" t="s">
        <v>164</v>
      </c>
      <c r="K1" s="48" t="s">
        <v>165</v>
      </c>
      <c r="L1" s="50" t="s">
        <v>166</v>
      </c>
      <c r="M1" s="50" t="s">
        <v>167</v>
      </c>
    </row>
    <row r="2" spans="1:13" ht="46.8">
      <c r="A2" s="52" t="s">
        <v>112</v>
      </c>
      <c r="B2" s="52" t="s">
        <v>113</v>
      </c>
      <c r="C2" s="52" t="s">
        <v>168</v>
      </c>
      <c r="D2" s="53" t="s">
        <v>169</v>
      </c>
      <c r="E2" s="53" t="s">
        <v>170</v>
      </c>
      <c r="F2" s="53" t="s">
        <v>171</v>
      </c>
      <c r="G2" s="53" t="s">
        <v>172</v>
      </c>
      <c r="H2" s="53" t="s">
        <v>173</v>
      </c>
      <c r="I2" s="53" t="s">
        <v>174</v>
      </c>
      <c r="J2" s="53" t="s">
        <v>175</v>
      </c>
      <c r="K2" s="53" t="s">
        <v>176</v>
      </c>
      <c r="L2" s="53" t="s">
        <v>177</v>
      </c>
      <c r="M2" s="53" t="s">
        <v>176</v>
      </c>
    </row>
    <row r="3" spans="1:13" ht="14.4">
      <c r="A3" s="61" t="s">
        <v>128</v>
      </c>
      <c r="B3" s="56" t="s">
        <v>129</v>
      </c>
      <c r="C3" s="57" t="s">
        <v>138</v>
      </c>
      <c r="D3" s="58" t="s">
        <v>178</v>
      </c>
      <c r="E3" s="58" t="str">
        <f t="shared" ref="E3:E72" si="0">UPPER(F3)</f>
        <v>FECHA DE PROCESAMIENTO DE LA TABLA (DÍA ACTUAL) QUE CONTIENE DATA AL CIERRE DEL DÍA ANTERIOR</v>
      </c>
      <c r="F3" s="58" t="s">
        <v>470</v>
      </c>
      <c r="G3" s="60" t="s">
        <v>135</v>
      </c>
      <c r="H3" s="60" t="s">
        <v>180</v>
      </c>
      <c r="I3" s="58" t="s">
        <v>181</v>
      </c>
      <c r="J3" s="61" t="s">
        <v>135</v>
      </c>
      <c r="K3" s="60" t="s">
        <v>135</v>
      </c>
      <c r="L3" s="60" t="s">
        <v>182</v>
      </c>
      <c r="M3" s="62" t="s">
        <v>135</v>
      </c>
    </row>
    <row r="4" spans="1:13" ht="14.4">
      <c r="A4" s="61" t="s">
        <v>128</v>
      </c>
      <c r="B4" s="56" t="s">
        <v>129</v>
      </c>
      <c r="C4" s="57" t="s">
        <v>138</v>
      </c>
      <c r="D4" s="63" t="s">
        <v>183</v>
      </c>
      <c r="E4" s="58" t="str">
        <f t="shared" si="0"/>
        <v>CÓDIGO DEL COMERCIO ADAPTADO A LOS 7 PRIMEROS DÍGITOS</v>
      </c>
      <c r="F4" s="63" t="s">
        <v>471</v>
      </c>
      <c r="G4" s="62" t="s">
        <v>135</v>
      </c>
      <c r="H4" s="65" t="s">
        <v>186</v>
      </c>
      <c r="I4" s="63">
        <v>5680791</v>
      </c>
      <c r="J4" s="65" t="s">
        <v>135</v>
      </c>
      <c r="K4" s="62" t="s">
        <v>182</v>
      </c>
      <c r="L4" s="62" t="s">
        <v>135</v>
      </c>
      <c r="M4" s="62" t="s">
        <v>182</v>
      </c>
    </row>
    <row r="5" spans="1:13" ht="14.4">
      <c r="A5" s="61" t="s">
        <v>128</v>
      </c>
      <c r="B5" s="56" t="s">
        <v>129</v>
      </c>
      <c r="C5" s="57" t="s">
        <v>138</v>
      </c>
      <c r="D5" s="63" t="s">
        <v>472</v>
      </c>
      <c r="E5" s="58" t="str">
        <f t="shared" si="0"/>
        <v>CÓDIGO DEL COMERCIO ORIGINAL PROVENIENTE DEL MCCENTER</v>
      </c>
      <c r="F5" s="63" t="s">
        <v>473</v>
      </c>
      <c r="G5" s="62" t="s">
        <v>135</v>
      </c>
      <c r="H5" s="65" t="s">
        <v>186</v>
      </c>
      <c r="I5" s="63">
        <v>568079190000</v>
      </c>
      <c r="J5" s="65" t="s">
        <v>135</v>
      </c>
      <c r="K5" s="62" t="s">
        <v>182</v>
      </c>
      <c r="L5" s="62" t="s">
        <v>135</v>
      </c>
      <c r="M5" s="62" t="s">
        <v>135</v>
      </c>
    </row>
    <row r="6" spans="1:13" ht="14.4">
      <c r="A6" s="65" t="s">
        <v>128</v>
      </c>
      <c r="B6" s="56" t="s">
        <v>129</v>
      </c>
      <c r="C6" s="57" t="s">
        <v>138</v>
      </c>
      <c r="D6" s="63" t="s">
        <v>187</v>
      </c>
      <c r="E6" s="58" t="str">
        <f t="shared" si="0"/>
        <v>TIPO DE ADQUIRENTE/CAJERO CORRESPONSAL</v>
      </c>
      <c r="F6" s="63" t="s">
        <v>189</v>
      </c>
      <c r="G6" s="62" t="s">
        <v>135</v>
      </c>
      <c r="H6" s="65" t="s">
        <v>186</v>
      </c>
      <c r="I6" s="63" t="s">
        <v>190</v>
      </c>
      <c r="J6" s="65" t="s">
        <v>135</v>
      </c>
      <c r="K6" s="62" t="s">
        <v>182</v>
      </c>
      <c r="L6" s="62" t="s">
        <v>135</v>
      </c>
      <c r="M6" s="62" t="s">
        <v>135</v>
      </c>
    </row>
    <row r="7" spans="1:13" ht="14.4">
      <c r="A7" s="65" t="s">
        <v>128</v>
      </c>
      <c r="B7" s="56" t="s">
        <v>129</v>
      </c>
      <c r="C7" s="57" t="s">
        <v>138</v>
      </c>
      <c r="D7" s="63" t="s">
        <v>200</v>
      </c>
      <c r="E7" s="58" t="str">
        <f t="shared" si="0"/>
        <v>CATEGORÍA DEL COMERCIO SEGÚN CLASIFICACIÓN</v>
      </c>
      <c r="F7" s="63" t="s">
        <v>202</v>
      </c>
      <c r="G7" s="62" t="s">
        <v>135</v>
      </c>
      <c r="H7" s="65" t="s">
        <v>186</v>
      </c>
      <c r="I7" s="63" t="s">
        <v>203</v>
      </c>
      <c r="J7" s="65" t="s">
        <v>135</v>
      </c>
      <c r="K7" s="62" t="s">
        <v>182</v>
      </c>
      <c r="L7" s="62" t="s">
        <v>135</v>
      </c>
      <c r="M7" s="62" t="s">
        <v>135</v>
      </c>
    </row>
    <row r="8" spans="1:13" ht="14.4">
      <c r="A8" s="65" t="s">
        <v>128</v>
      </c>
      <c r="B8" s="56" t="s">
        <v>129</v>
      </c>
      <c r="C8" s="57" t="s">
        <v>138</v>
      </c>
      <c r="D8" s="68" t="s">
        <v>207</v>
      </c>
      <c r="E8" s="58" t="str">
        <f t="shared" si="0"/>
        <v>NÚMERO DE IDENTIFICACIÓN DEL COMERCIO (RUC, DNI, CARNET DE EXTRANJERÍA)</v>
      </c>
      <c r="F8" s="63" t="s">
        <v>209</v>
      </c>
      <c r="G8" s="62" t="s">
        <v>182</v>
      </c>
      <c r="H8" s="65" t="s">
        <v>186</v>
      </c>
      <c r="I8" s="63">
        <v>10400533488</v>
      </c>
      <c r="J8" s="65" t="s">
        <v>135</v>
      </c>
      <c r="K8" s="62" t="s">
        <v>182</v>
      </c>
      <c r="L8" s="62" t="s">
        <v>135</v>
      </c>
      <c r="M8" s="62" t="s">
        <v>182</v>
      </c>
    </row>
    <row r="9" spans="1:13" ht="14.4">
      <c r="A9" s="61" t="s">
        <v>128</v>
      </c>
      <c r="B9" s="56" t="s">
        <v>129</v>
      </c>
      <c r="C9" s="57" t="s">
        <v>138</v>
      </c>
      <c r="D9" s="68" t="s">
        <v>224</v>
      </c>
      <c r="E9" s="58" t="str">
        <f t="shared" si="0"/>
        <v>TELÉFONO DEL COMERCIO</v>
      </c>
      <c r="F9" s="63" t="s">
        <v>226</v>
      </c>
      <c r="G9" s="62" t="s">
        <v>182</v>
      </c>
      <c r="H9" s="65" t="s">
        <v>227</v>
      </c>
      <c r="I9" s="63"/>
      <c r="J9" s="65" t="s">
        <v>135</v>
      </c>
      <c r="K9" s="62" t="s">
        <v>182</v>
      </c>
      <c r="L9" s="62" t="s">
        <v>135</v>
      </c>
      <c r="M9" s="62" t="s">
        <v>135</v>
      </c>
    </row>
    <row r="10" spans="1:13" ht="14.4">
      <c r="A10" s="65" t="s">
        <v>128</v>
      </c>
      <c r="B10" s="56" t="s">
        <v>129</v>
      </c>
      <c r="C10" s="57" t="s">
        <v>138</v>
      </c>
      <c r="D10" s="68" t="s">
        <v>228</v>
      </c>
      <c r="E10" s="58" t="str">
        <f t="shared" si="0"/>
        <v>INDICA EL NOMBRE DEL CONTACTO DEL COMERCIO</v>
      </c>
      <c r="F10" s="63" t="s">
        <v>230</v>
      </c>
      <c r="G10" s="62" t="s">
        <v>182</v>
      </c>
      <c r="H10" s="65" t="s">
        <v>227</v>
      </c>
      <c r="I10" s="63"/>
      <c r="J10" s="65" t="s">
        <v>135</v>
      </c>
      <c r="K10" s="62" t="s">
        <v>182</v>
      </c>
      <c r="L10" s="62" t="s">
        <v>135</v>
      </c>
      <c r="M10" s="62" t="s">
        <v>135</v>
      </c>
    </row>
    <row r="11" spans="1:13" ht="14.4">
      <c r="A11" s="65" t="s">
        <v>128</v>
      </c>
      <c r="B11" s="56" t="s">
        <v>129</v>
      </c>
      <c r="C11" s="57" t="s">
        <v>138</v>
      </c>
      <c r="D11" s="63" t="s">
        <v>231</v>
      </c>
      <c r="E11" s="58" t="str">
        <f t="shared" si="0"/>
        <v>INDICA LAS OPCIONES QUE TIENE HABILITADO EL COMERCIO</v>
      </c>
      <c r="F11" s="63" t="s">
        <v>233</v>
      </c>
      <c r="G11" s="62" t="s">
        <v>135</v>
      </c>
      <c r="H11" s="65" t="s">
        <v>186</v>
      </c>
      <c r="I11" s="63" t="s">
        <v>234</v>
      </c>
      <c r="J11" s="65" t="s">
        <v>135</v>
      </c>
      <c r="K11" s="62" t="s">
        <v>182</v>
      </c>
      <c r="L11" s="62" t="s">
        <v>135</v>
      </c>
      <c r="M11" s="62" t="s">
        <v>135</v>
      </c>
    </row>
    <row r="12" spans="1:13" ht="14.4">
      <c r="A12" s="61" t="s">
        <v>128</v>
      </c>
      <c r="B12" s="56" t="s">
        <v>129</v>
      </c>
      <c r="C12" s="57" t="s">
        <v>138</v>
      </c>
      <c r="D12" s="63" t="s">
        <v>235</v>
      </c>
      <c r="E12" s="58" t="str">
        <f t="shared" si="0"/>
        <v>INDICA LA ACTUALIZACIÓN DEL POS DEL COMERCIO</v>
      </c>
      <c r="F12" s="63" t="s">
        <v>237</v>
      </c>
      <c r="G12" s="62" t="s">
        <v>135</v>
      </c>
      <c r="H12" s="65" t="s">
        <v>186</v>
      </c>
      <c r="I12" s="63" t="s">
        <v>238</v>
      </c>
      <c r="J12" s="65" t="s">
        <v>135</v>
      </c>
      <c r="K12" s="62" t="s">
        <v>182</v>
      </c>
      <c r="L12" s="62" t="s">
        <v>135</v>
      </c>
      <c r="M12" s="62" t="s">
        <v>135</v>
      </c>
    </row>
    <row r="13" spans="1:13" ht="14.4">
      <c r="A13" s="65" t="s">
        <v>128</v>
      </c>
      <c r="B13" s="56" t="s">
        <v>129</v>
      </c>
      <c r="C13" s="57" t="s">
        <v>138</v>
      </c>
      <c r="D13" s="63" t="s">
        <v>239</v>
      </c>
      <c r="E13" s="58" t="str">
        <f t="shared" si="0"/>
        <v>CÓDIGO DE TERMINAL</v>
      </c>
      <c r="F13" s="63" t="s">
        <v>241</v>
      </c>
      <c r="G13" s="62" t="s">
        <v>135</v>
      </c>
      <c r="H13" s="65" t="s">
        <v>186</v>
      </c>
      <c r="I13" s="63">
        <v>1</v>
      </c>
      <c r="J13" s="65" t="s">
        <v>135</v>
      </c>
      <c r="K13" s="62" t="s">
        <v>182</v>
      </c>
      <c r="L13" s="62" t="s">
        <v>135</v>
      </c>
      <c r="M13" s="62" t="s">
        <v>135</v>
      </c>
    </row>
    <row r="14" spans="1:13" ht="14.4">
      <c r="A14" s="61" t="s">
        <v>128</v>
      </c>
      <c r="B14" s="56" t="s">
        <v>129</v>
      </c>
      <c r="C14" s="57" t="s">
        <v>138</v>
      </c>
      <c r="D14" s="63" t="s">
        <v>242</v>
      </c>
      <c r="E14" s="58" t="str">
        <f t="shared" si="0"/>
        <v>NÚMERO DE SERIE DEL POS (INICIAL, SOLO LOS 8 ÚLTIMOS DÍGITOS). ES LA QUE FIGURA EN EL SISTEMA MCCENTER, PUEDE SER LA SERIE CORTA, ÚLTIMOS 8 Ó LA SERIE AUTOGENERADA DEL MPOS</v>
      </c>
      <c r="F14" s="63" t="s">
        <v>244</v>
      </c>
      <c r="G14" s="62" t="s">
        <v>135</v>
      </c>
      <c r="H14" s="65" t="s">
        <v>186</v>
      </c>
      <c r="I14" s="63" t="s">
        <v>245</v>
      </c>
      <c r="J14" s="65" t="s">
        <v>135</v>
      </c>
      <c r="K14" s="62" t="s">
        <v>182</v>
      </c>
      <c r="L14" s="62" t="s">
        <v>135</v>
      </c>
      <c r="M14" s="62" t="s">
        <v>182</v>
      </c>
    </row>
    <row r="15" spans="1:13" ht="14.4">
      <c r="A15" s="65" t="s">
        <v>128</v>
      </c>
      <c r="B15" s="56" t="s">
        <v>129</v>
      </c>
      <c r="C15" s="57" t="s">
        <v>138</v>
      </c>
      <c r="D15" s="63" t="s">
        <v>246</v>
      </c>
      <c r="E15" s="58" t="str">
        <f t="shared" si="0"/>
        <v>TIPO DE CONEXIÓN DEL POS ESPECÍFICO</v>
      </c>
      <c r="F15" s="63" t="s">
        <v>248</v>
      </c>
      <c r="G15" s="62" t="s">
        <v>135</v>
      </c>
      <c r="H15" s="65" t="s">
        <v>186</v>
      </c>
      <c r="I15" s="63" t="s">
        <v>249</v>
      </c>
      <c r="J15" s="65" t="s">
        <v>135</v>
      </c>
      <c r="K15" s="62" t="s">
        <v>182</v>
      </c>
      <c r="L15" s="62" t="s">
        <v>135</v>
      </c>
      <c r="M15" s="62" t="s">
        <v>135</v>
      </c>
    </row>
    <row r="16" spans="1:13" ht="14.4">
      <c r="A16" s="61" t="s">
        <v>128</v>
      </c>
      <c r="B16" s="56" t="s">
        <v>129</v>
      </c>
      <c r="C16" s="57" t="s">
        <v>138</v>
      </c>
      <c r="D16" s="63" t="s">
        <v>250</v>
      </c>
      <c r="E16" s="58" t="str">
        <f t="shared" si="0"/>
        <v>TIPO DE CONEXIÓN DEL POS</v>
      </c>
      <c r="F16" s="63" t="s">
        <v>252</v>
      </c>
      <c r="G16" s="62" t="s">
        <v>135</v>
      </c>
      <c r="H16" s="65" t="s">
        <v>186</v>
      </c>
      <c r="I16" s="63" t="s">
        <v>253</v>
      </c>
      <c r="J16" s="65" t="s">
        <v>135</v>
      </c>
      <c r="K16" s="62" t="s">
        <v>182</v>
      </c>
      <c r="L16" s="62" t="s">
        <v>135</v>
      </c>
      <c r="M16" s="62" t="s">
        <v>135</v>
      </c>
    </row>
    <row r="17" spans="1:13" ht="14.4">
      <c r="A17" s="65" t="s">
        <v>128</v>
      </c>
      <c r="B17" s="56" t="s">
        <v>129</v>
      </c>
      <c r="C17" s="57" t="s">
        <v>138</v>
      </c>
      <c r="D17" s="63" t="s">
        <v>254</v>
      </c>
      <c r="E17" s="58" t="str">
        <f t="shared" si="0"/>
        <v>NOMBRE DEL TIPO DE TERMINAL/EQUIPO DEL COMERCIO</v>
      </c>
      <c r="F17" s="63" t="s">
        <v>256</v>
      </c>
      <c r="G17" s="62" t="s">
        <v>135</v>
      </c>
      <c r="H17" s="65" t="s">
        <v>186</v>
      </c>
      <c r="I17" s="63" t="s">
        <v>257</v>
      </c>
      <c r="J17" s="65" t="s">
        <v>135</v>
      </c>
      <c r="K17" s="62" t="s">
        <v>182</v>
      </c>
      <c r="L17" s="62" t="s">
        <v>135</v>
      </c>
      <c r="M17" s="62" t="s">
        <v>135</v>
      </c>
    </row>
    <row r="18" spans="1:13" ht="14.4">
      <c r="A18" s="65" t="s">
        <v>128</v>
      </c>
      <c r="B18" s="56" t="s">
        <v>129</v>
      </c>
      <c r="C18" s="57" t="s">
        <v>138</v>
      </c>
      <c r="D18" s="63" t="s">
        <v>258</v>
      </c>
      <c r="E18" s="58" t="str">
        <f t="shared" si="0"/>
        <v>FECHA DE ÚLTIMA CONEXIÓN CON MCCENTER</v>
      </c>
      <c r="F18" s="63" t="s">
        <v>260</v>
      </c>
      <c r="G18" s="62" t="s">
        <v>135</v>
      </c>
      <c r="H18" s="65" t="s">
        <v>180</v>
      </c>
      <c r="I18" s="76">
        <v>45689</v>
      </c>
      <c r="J18" s="65" t="s">
        <v>135</v>
      </c>
      <c r="K18" s="62" t="s">
        <v>182</v>
      </c>
      <c r="L18" s="62" t="s">
        <v>135</v>
      </c>
      <c r="M18" s="62" t="s">
        <v>135</v>
      </c>
    </row>
    <row r="19" spans="1:13" ht="14.4">
      <c r="A19" s="61" t="s">
        <v>128</v>
      </c>
      <c r="B19" s="56" t="s">
        <v>129</v>
      </c>
      <c r="C19" s="57" t="s">
        <v>138</v>
      </c>
      <c r="D19" s="63" t="s">
        <v>261</v>
      </c>
      <c r="E19" s="58" t="str">
        <f t="shared" si="0"/>
        <v>FECHA DE ÚLTIMA TRANSACCIÓN FINANCIERA</v>
      </c>
      <c r="F19" s="63" t="s">
        <v>263</v>
      </c>
      <c r="G19" s="62" t="s">
        <v>135</v>
      </c>
      <c r="H19" s="65" t="s">
        <v>180</v>
      </c>
      <c r="I19" s="76">
        <v>45689</v>
      </c>
      <c r="J19" s="65" t="s">
        <v>135</v>
      </c>
      <c r="K19" s="62" t="s">
        <v>182</v>
      </c>
      <c r="L19" s="62" t="s">
        <v>135</v>
      </c>
      <c r="M19" s="62" t="s">
        <v>135</v>
      </c>
    </row>
    <row r="20" spans="1:13" ht="14.4">
      <c r="A20" s="65" t="s">
        <v>128</v>
      </c>
      <c r="B20" s="56" t="s">
        <v>129</v>
      </c>
      <c r="C20" s="57" t="s">
        <v>138</v>
      </c>
      <c r="D20" s="63" t="s">
        <v>264</v>
      </c>
      <c r="E20" s="58" t="str">
        <f t="shared" si="0"/>
        <v>FECHA DE ÚLTIMA TRANSACCIÓN ADMINISTRATIVA</v>
      </c>
      <c r="F20" s="63" t="s">
        <v>266</v>
      </c>
      <c r="G20" s="62" t="s">
        <v>135</v>
      </c>
      <c r="H20" s="65" t="s">
        <v>180</v>
      </c>
      <c r="I20" s="76">
        <v>45689</v>
      </c>
      <c r="J20" s="65" t="s">
        <v>135</v>
      </c>
      <c r="K20" s="62" t="s">
        <v>182</v>
      </c>
      <c r="L20" s="62" t="s">
        <v>135</v>
      </c>
      <c r="M20" s="62" t="s">
        <v>135</v>
      </c>
    </row>
    <row r="21" spans="1:13" ht="14.4">
      <c r="A21" s="61" t="s">
        <v>128</v>
      </c>
      <c r="B21" s="56" t="s">
        <v>129</v>
      </c>
      <c r="C21" s="57" t="s">
        <v>138</v>
      </c>
      <c r="D21" s="63" t="s">
        <v>267</v>
      </c>
      <c r="E21" s="58" t="str">
        <f t="shared" si="0"/>
        <v>SITUACIÓN DE TERMINAL SEGÚN LA ÚLTIMA TRANSACCIÓN DE POS</v>
      </c>
      <c r="F21" s="63" t="s">
        <v>269</v>
      </c>
      <c r="G21" s="62" t="s">
        <v>135</v>
      </c>
      <c r="H21" s="65" t="s">
        <v>186</v>
      </c>
      <c r="I21" s="58" t="s">
        <v>270</v>
      </c>
      <c r="J21" s="65" t="s">
        <v>135</v>
      </c>
      <c r="K21" s="62" t="s">
        <v>182</v>
      </c>
      <c r="L21" s="62" t="s">
        <v>135</v>
      </c>
      <c r="M21" s="62" t="s">
        <v>135</v>
      </c>
    </row>
    <row r="22" spans="1:13" ht="14.4">
      <c r="A22" s="65" t="s">
        <v>128</v>
      </c>
      <c r="B22" s="56" t="s">
        <v>129</v>
      </c>
      <c r="C22" s="57" t="s">
        <v>138</v>
      </c>
      <c r="D22" s="63" t="s">
        <v>271</v>
      </c>
      <c r="E22" s="58" t="str">
        <f t="shared" si="0"/>
        <v>MODELO DEL EQUIPO (GENERAL) PROVENIENTE DEL AS400</v>
      </c>
      <c r="F22" s="63" t="s">
        <v>474</v>
      </c>
      <c r="G22" s="62" t="s">
        <v>135</v>
      </c>
      <c r="H22" s="65" t="s">
        <v>186</v>
      </c>
      <c r="I22" s="58" t="s">
        <v>274</v>
      </c>
      <c r="J22" s="65" t="s">
        <v>135</v>
      </c>
      <c r="K22" s="62" t="s">
        <v>182</v>
      </c>
      <c r="L22" s="62" t="s">
        <v>135</v>
      </c>
      <c r="M22" s="62" t="s">
        <v>135</v>
      </c>
    </row>
    <row r="23" spans="1:13" ht="14.4">
      <c r="A23" s="61" t="s">
        <v>128</v>
      </c>
      <c r="B23" s="56" t="s">
        <v>129</v>
      </c>
      <c r="C23" s="57" t="s">
        <v>138</v>
      </c>
      <c r="D23" s="63" t="s">
        <v>275</v>
      </c>
      <c r="E23" s="58" t="str">
        <f t="shared" si="0"/>
        <v>MODELO DEL EQUIPO (CÓDIGO DEL MODELO) PROVENIENTE DEL MCCENTER</v>
      </c>
      <c r="F23" s="63" t="s">
        <v>475</v>
      </c>
      <c r="G23" s="62" t="s">
        <v>135</v>
      </c>
      <c r="H23" s="65" t="s">
        <v>186</v>
      </c>
      <c r="I23" s="58" t="s">
        <v>278</v>
      </c>
      <c r="J23" s="65" t="s">
        <v>135</v>
      </c>
      <c r="K23" s="62" t="s">
        <v>182</v>
      </c>
      <c r="L23" s="62" t="s">
        <v>135</v>
      </c>
      <c r="M23" s="62" t="s">
        <v>135</v>
      </c>
    </row>
    <row r="24" spans="1:13" ht="14.4">
      <c r="A24" s="61" t="s">
        <v>128</v>
      </c>
      <c r="B24" s="56" t="s">
        <v>129</v>
      </c>
      <c r="C24" s="57" t="s">
        <v>138</v>
      </c>
      <c r="D24" s="63" t="s">
        <v>279</v>
      </c>
      <c r="E24" s="58" t="str">
        <f t="shared" si="0"/>
        <v>VERSIÓN DEL SOFTWARE BASE (ORIGEN: MCCENTER)</v>
      </c>
      <c r="F24" s="63" t="s">
        <v>281</v>
      </c>
      <c r="G24" s="62" t="s">
        <v>135</v>
      </c>
      <c r="H24" s="65" t="s">
        <v>186</v>
      </c>
      <c r="I24" s="63" t="s">
        <v>282</v>
      </c>
      <c r="J24" s="65" t="s">
        <v>135</v>
      </c>
      <c r="K24" s="62" t="s">
        <v>182</v>
      </c>
      <c r="L24" s="62" t="s">
        <v>135</v>
      </c>
      <c r="M24" s="62" t="s">
        <v>135</v>
      </c>
    </row>
    <row r="25" spans="1:13" ht="14.4">
      <c r="A25" s="65" t="s">
        <v>128</v>
      </c>
      <c r="B25" s="56" t="s">
        <v>129</v>
      </c>
      <c r="C25" s="57" t="s">
        <v>138</v>
      </c>
      <c r="D25" s="63" t="s">
        <v>283</v>
      </c>
      <c r="E25" s="58" t="str">
        <f t="shared" si="0"/>
        <v>INDICA LA VERSIÓN DE FIRMWARE CONTACTLESS QUE POSEE EL TERMINAL</v>
      </c>
      <c r="F25" s="63" t="s">
        <v>285</v>
      </c>
      <c r="G25" s="62" t="s">
        <v>135</v>
      </c>
      <c r="H25" s="65" t="s">
        <v>186</v>
      </c>
      <c r="I25" s="77" t="s">
        <v>286</v>
      </c>
      <c r="J25" s="65" t="s">
        <v>135</v>
      </c>
      <c r="K25" s="62" t="s">
        <v>182</v>
      </c>
      <c r="L25" s="62" t="s">
        <v>135</v>
      </c>
      <c r="M25" s="62" t="s">
        <v>135</v>
      </c>
    </row>
    <row r="26" spans="1:13" ht="14.4">
      <c r="A26" s="61" t="s">
        <v>128</v>
      </c>
      <c r="B26" s="56" t="s">
        <v>129</v>
      </c>
      <c r="C26" s="57" t="s">
        <v>138</v>
      </c>
      <c r="D26" s="63" t="s">
        <v>287</v>
      </c>
      <c r="E26" s="58" t="str">
        <f t="shared" si="0"/>
        <v>NÚMERO DEL CHIP QUE SE ENCUENTRA EN EL EQUIPO.</v>
      </c>
      <c r="F26" s="63" t="s">
        <v>289</v>
      </c>
      <c r="G26" s="62" t="s">
        <v>135</v>
      </c>
      <c r="H26" s="65" t="s">
        <v>186</v>
      </c>
      <c r="I26" s="63" t="s">
        <v>290</v>
      </c>
      <c r="J26" s="65" t="s">
        <v>135</v>
      </c>
      <c r="K26" s="62" t="s">
        <v>182</v>
      </c>
      <c r="L26" s="62" t="s">
        <v>135</v>
      </c>
      <c r="M26" s="62" t="s">
        <v>135</v>
      </c>
    </row>
    <row r="27" spans="1:13" ht="14.4">
      <c r="A27" s="65" t="s">
        <v>128</v>
      </c>
      <c r="B27" s="56" t="s">
        <v>129</v>
      </c>
      <c r="C27" s="57" t="s">
        <v>138</v>
      </c>
      <c r="D27" s="68" t="s">
        <v>291</v>
      </c>
      <c r="E27" s="58" t="str">
        <f t="shared" si="0"/>
        <v>NÚMERO DE TELÉFONO DEL CHIP DEL EQUIPO</v>
      </c>
      <c r="F27" s="63" t="s">
        <v>293</v>
      </c>
      <c r="G27" s="62" t="s">
        <v>182</v>
      </c>
      <c r="H27" s="65" t="s">
        <v>227</v>
      </c>
      <c r="I27" s="63"/>
      <c r="J27" s="65" t="s">
        <v>135</v>
      </c>
      <c r="K27" s="62" t="s">
        <v>182</v>
      </c>
      <c r="L27" s="62" t="s">
        <v>135</v>
      </c>
      <c r="M27" s="62" t="s">
        <v>135</v>
      </c>
    </row>
    <row r="28" spans="1:13" ht="14.4">
      <c r="A28" s="61" t="s">
        <v>128</v>
      </c>
      <c r="B28" s="56" t="s">
        <v>129</v>
      </c>
      <c r="C28" s="57" t="s">
        <v>138</v>
      </c>
      <c r="D28" s="63" t="s">
        <v>294</v>
      </c>
      <c r="E28" s="58" t="str">
        <f t="shared" si="0"/>
        <v>OPERADOR DEL CHIP DEL EQUIPO (SI APLICA). NOMBRE COMERCIAL DE LA COMPAÑÍA TELEFÓNICA A LA CUÁL PERTENECE EL CHIP DEL EQUIPO</v>
      </c>
      <c r="F28" s="63" t="s">
        <v>296</v>
      </c>
      <c r="G28" s="62" t="s">
        <v>135</v>
      </c>
      <c r="H28" s="65" t="s">
        <v>186</v>
      </c>
      <c r="I28" s="63" t="s">
        <v>297</v>
      </c>
      <c r="J28" s="65" t="s">
        <v>135</v>
      </c>
      <c r="K28" s="62" t="s">
        <v>182</v>
      </c>
      <c r="L28" s="62" t="s">
        <v>135</v>
      </c>
      <c r="M28" s="62" t="s">
        <v>135</v>
      </c>
    </row>
    <row r="29" spans="1:13" ht="14.4">
      <c r="A29" s="65" t="s">
        <v>128</v>
      </c>
      <c r="B29" s="56" t="s">
        <v>129</v>
      </c>
      <c r="C29" s="57" t="s">
        <v>138</v>
      </c>
      <c r="D29" s="63" t="s">
        <v>298</v>
      </c>
      <c r="E29" s="58" t="str">
        <f t="shared" si="0"/>
        <v>ESTADO DEL COMERCIO</v>
      </c>
      <c r="F29" s="63" t="s">
        <v>300</v>
      </c>
      <c r="G29" s="62" t="s">
        <v>135</v>
      </c>
      <c r="H29" s="65" t="s">
        <v>186</v>
      </c>
      <c r="I29" s="63" t="s">
        <v>301</v>
      </c>
      <c r="J29" s="65" t="s">
        <v>135</v>
      </c>
      <c r="K29" s="62" t="s">
        <v>182</v>
      </c>
      <c r="L29" s="62" t="s">
        <v>135</v>
      </c>
      <c r="M29" s="62" t="s">
        <v>135</v>
      </c>
    </row>
    <row r="30" spans="1:13" ht="14.4">
      <c r="A30" s="65" t="s">
        <v>128</v>
      </c>
      <c r="B30" s="56" t="s">
        <v>129</v>
      </c>
      <c r="C30" s="57" t="s">
        <v>138</v>
      </c>
      <c r="D30" s="63" t="s">
        <v>302</v>
      </c>
      <c r="E30" s="58" t="str">
        <f t="shared" si="0"/>
        <v>ESTADO LÓGICO DEL COMERCIO</v>
      </c>
      <c r="F30" s="63" t="s">
        <v>304</v>
      </c>
      <c r="G30" s="62" t="s">
        <v>135</v>
      </c>
      <c r="H30" s="65" t="s">
        <v>186</v>
      </c>
      <c r="I30" s="63" t="s">
        <v>305</v>
      </c>
      <c r="J30" s="65" t="s">
        <v>135</v>
      </c>
      <c r="K30" s="62" t="s">
        <v>182</v>
      </c>
      <c r="L30" s="62" t="s">
        <v>135</v>
      </c>
      <c r="M30" s="62" t="s">
        <v>135</v>
      </c>
    </row>
    <row r="31" spans="1:13" ht="14.4">
      <c r="A31" s="61" t="s">
        <v>128</v>
      </c>
      <c r="B31" s="56" t="s">
        <v>129</v>
      </c>
      <c r="C31" s="57" t="s">
        <v>138</v>
      </c>
      <c r="D31" s="63" t="s">
        <v>306</v>
      </c>
      <c r="E31" s="58" t="str">
        <f t="shared" si="0"/>
        <v>ESTADO DEL TERMINAL</v>
      </c>
      <c r="F31" s="63" t="s">
        <v>308</v>
      </c>
      <c r="G31" s="62" t="s">
        <v>135</v>
      </c>
      <c r="H31" s="65" t="s">
        <v>186</v>
      </c>
      <c r="I31" s="63" t="s">
        <v>301</v>
      </c>
      <c r="J31" s="65" t="s">
        <v>135</v>
      </c>
      <c r="K31" s="62" t="s">
        <v>182</v>
      </c>
      <c r="L31" s="62" t="s">
        <v>135</v>
      </c>
      <c r="M31" s="62" t="s">
        <v>135</v>
      </c>
    </row>
    <row r="32" spans="1:13" ht="14.4">
      <c r="A32" s="65" t="s">
        <v>128</v>
      </c>
      <c r="B32" s="56" t="s">
        <v>129</v>
      </c>
      <c r="C32" s="57" t="s">
        <v>138</v>
      </c>
      <c r="D32" s="63" t="s">
        <v>309</v>
      </c>
      <c r="E32" s="58" t="str">
        <f t="shared" si="0"/>
        <v>ESTADO LÓGICO DEL TERMINAL</v>
      </c>
      <c r="F32" s="63" t="s">
        <v>311</v>
      </c>
      <c r="G32" s="62" t="s">
        <v>135</v>
      </c>
      <c r="H32" s="65" t="s">
        <v>186</v>
      </c>
      <c r="I32" s="63" t="s">
        <v>305</v>
      </c>
      <c r="J32" s="65" t="s">
        <v>135</v>
      </c>
      <c r="K32" s="62" t="s">
        <v>182</v>
      </c>
      <c r="L32" s="62" t="s">
        <v>135</v>
      </c>
      <c r="M32" s="62" t="s">
        <v>135</v>
      </c>
    </row>
    <row r="33" spans="1:13" ht="14.4">
      <c r="A33" s="61" t="s">
        <v>128</v>
      </c>
      <c r="B33" s="56" t="s">
        <v>129</v>
      </c>
      <c r="C33" s="57" t="s">
        <v>138</v>
      </c>
      <c r="D33" s="63" t="s">
        <v>312</v>
      </c>
      <c r="E33" s="58" t="str">
        <f t="shared" si="0"/>
        <v>TIPO DE APLICACIÓN DE LOS TERMINALES</v>
      </c>
      <c r="F33" s="63" t="s">
        <v>314</v>
      </c>
      <c r="G33" s="62" t="s">
        <v>135</v>
      </c>
      <c r="H33" s="65" t="s">
        <v>186</v>
      </c>
      <c r="I33" s="63" t="s">
        <v>315</v>
      </c>
      <c r="J33" s="65" t="s">
        <v>135</v>
      </c>
      <c r="K33" s="62" t="s">
        <v>182</v>
      </c>
      <c r="L33" s="62" t="s">
        <v>135</v>
      </c>
      <c r="M33" s="62" t="s">
        <v>135</v>
      </c>
    </row>
    <row r="34" spans="1:13" ht="14.4">
      <c r="A34" s="65" t="s">
        <v>128</v>
      </c>
      <c r="B34" s="56" t="s">
        <v>129</v>
      </c>
      <c r="C34" s="57" t="s">
        <v>138</v>
      </c>
      <c r="D34" s="63" t="s">
        <v>316</v>
      </c>
      <c r="E34" s="58" t="str">
        <f t="shared" si="0"/>
        <v>DESCRIPCIÓN DE LA APLICACIÓN DE LOS TERMINALES</v>
      </c>
      <c r="F34" s="63" t="s">
        <v>318</v>
      </c>
      <c r="G34" s="62" t="s">
        <v>135</v>
      </c>
      <c r="H34" s="65" t="s">
        <v>186</v>
      </c>
      <c r="I34" s="63" t="s">
        <v>319</v>
      </c>
      <c r="J34" s="65" t="s">
        <v>135</v>
      </c>
      <c r="K34" s="62" t="s">
        <v>182</v>
      </c>
      <c r="L34" s="62" t="s">
        <v>135</v>
      </c>
      <c r="M34" s="62" t="s">
        <v>135</v>
      </c>
    </row>
    <row r="35" spans="1:13" ht="14.4">
      <c r="A35" s="61" t="s">
        <v>128</v>
      </c>
      <c r="B35" s="56" t="s">
        <v>129</v>
      </c>
      <c r="C35" s="57" t="s">
        <v>138</v>
      </c>
      <c r="D35" s="63" t="s">
        <v>323</v>
      </c>
      <c r="E35" s="58" t="str">
        <f t="shared" si="0"/>
        <v>NÚMERO DE SERIE DEL TERMINAL POS. AUTOGENERADO DE LOS MPOS</v>
      </c>
      <c r="F35" s="63" t="s">
        <v>325</v>
      </c>
      <c r="G35" s="62" t="s">
        <v>135</v>
      </c>
      <c r="H35" s="65" t="s">
        <v>186</v>
      </c>
      <c r="I35" s="63">
        <v>103837580</v>
      </c>
      <c r="J35" s="65" t="s">
        <v>135</v>
      </c>
      <c r="K35" s="62" t="s">
        <v>182</v>
      </c>
      <c r="L35" s="62" t="s">
        <v>135</v>
      </c>
      <c r="M35" s="62" t="s">
        <v>135</v>
      </c>
    </row>
    <row r="36" spans="1:13" ht="14.4">
      <c r="A36" s="65" t="s">
        <v>128</v>
      </c>
      <c r="B36" s="56" t="s">
        <v>129</v>
      </c>
      <c r="C36" s="57" t="s">
        <v>138</v>
      </c>
      <c r="D36" s="63" t="s">
        <v>326</v>
      </c>
      <c r="E36" s="58" t="str">
        <f t="shared" si="0"/>
        <v>ID CORRESPONDIENTE A LA VERSIÓN DE FLUJO (PERMITE IDENTIFICAR SI ESTÁ ACTUALIZADO)</v>
      </c>
      <c r="F36" s="63" t="s">
        <v>328</v>
      </c>
      <c r="G36" s="62" t="s">
        <v>135</v>
      </c>
      <c r="H36" s="65" t="s">
        <v>186</v>
      </c>
      <c r="I36" s="63">
        <v>241</v>
      </c>
      <c r="J36" s="65" t="s">
        <v>135</v>
      </c>
      <c r="K36" s="62" t="s">
        <v>182</v>
      </c>
      <c r="L36" s="62" t="s">
        <v>135</v>
      </c>
      <c r="M36" s="62" t="s">
        <v>135</v>
      </c>
    </row>
    <row r="37" spans="1:13" ht="14.4">
      <c r="A37" s="61" t="s">
        <v>128</v>
      </c>
      <c r="B37" s="56" t="s">
        <v>129</v>
      </c>
      <c r="C37" s="57" t="s">
        <v>138</v>
      </c>
      <c r="D37" s="63" t="s">
        <v>329</v>
      </c>
      <c r="E37" s="58" t="str">
        <f t="shared" si="0"/>
        <v>ID CORRESPONDIENTE A LA VERSIÓN DE CARGA BASE (PERMITE IDENTIFICAR SI ESTÁ ACTUALIZADO)</v>
      </c>
      <c r="F37" s="63" t="s">
        <v>331</v>
      </c>
      <c r="G37" s="62" t="s">
        <v>135</v>
      </c>
      <c r="H37" s="65" t="s">
        <v>186</v>
      </c>
      <c r="I37" s="63">
        <v>241</v>
      </c>
      <c r="J37" s="65" t="s">
        <v>135</v>
      </c>
      <c r="K37" s="62" t="s">
        <v>182</v>
      </c>
      <c r="L37" s="62" t="s">
        <v>135</v>
      </c>
      <c r="M37" s="62" t="s">
        <v>135</v>
      </c>
    </row>
    <row r="38" spans="1:13" ht="14.4">
      <c r="A38" s="65" t="s">
        <v>128</v>
      </c>
      <c r="B38" s="56" t="s">
        <v>129</v>
      </c>
      <c r="C38" s="57" t="s">
        <v>138</v>
      </c>
      <c r="D38" s="63" t="s">
        <v>332</v>
      </c>
      <c r="E38" s="58" t="str">
        <f t="shared" si="0"/>
        <v>NÚMERO DE SERIE COMPLETA DEL POS, LA QUE SE APRECIA VISUALMENTE EN EL TERMINAL Y AL CUÁL SE LE PUEDE APLICAR LAS ACTUALIZACIONES RESPECTIVAS.</v>
      </c>
      <c r="F38" s="63" t="s">
        <v>334</v>
      </c>
      <c r="G38" s="62" t="s">
        <v>135</v>
      </c>
      <c r="H38" s="65" t="s">
        <v>186</v>
      </c>
      <c r="I38" s="63" t="s">
        <v>335</v>
      </c>
      <c r="J38" s="65" t="s">
        <v>135</v>
      </c>
      <c r="K38" s="62" t="s">
        <v>182</v>
      </c>
      <c r="L38" s="62" t="s">
        <v>135</v>
      </c>
      <c r="M38" s="62" t="s">
        <v>182</v>
      </c>
    </row>
    <row r="39" spans="1:13" ht="14.4">
      <c r="A39" s="61" t="s">
        <v>128</v>
      </c>
      <c r="B39" s="56" t="s">
        <v>129</v>
      </c>
      <c r="C39" s="57" t="s">
        <v>138</v>
      </c>
      <c r="D39" s="63" t="s">
        <v>336</v>
      </c>
      <c r="E39" s="58" t="str">
        <f t="shared" si="0"/>
        <v>MARCA DEL EQUIPO</v>
      </c>
      <c r="F39" s="63" t="s">
        <v>338</v>
      </c>
      <c r="G39" s="62" t="s">
        <v>135</v>
      </c>
      <c r="H39" s="65" t="s">
        <v>186</v>
      </c>
      <c r="I39" s="63" t="s">
        <v>339</v>
      </c>
      <c r="J39" s="65" t="s">
        <v>135</v>
      </c>
      <c r="K39" s="62" t="s">
        <v>182</v>
      </c>
      <c r="L39" s="62" t="s">
        <v>135</v>
      </c>
      <c r="M39" s="62" t="s">
        <v>135</v>
      </c>
    </row>
    <row r="40" spans="1:13" ht="14.4">
      <c r="A40" s="61" t="s">
        <v>128</v>
      </c>
      <c r="B40" s="56" t="s">
        <v>129</v>
      </c>
      <c r="C40" s="57" t="s">
        <v>138</v>
      </c>
      <c r="D40" s="63" t="s">
        <v>361</v>
      </c>
      <c r="E40" s="58" t="str">
        <f t="shared" si="0"/>
        <v>INDICA EL TIPO DE OPCIÓN DE RECIBIMIENTO DE PROPINA</v>
      </c>
      <c r="F40" s="63" t="s">
        <v>363</v>
      </c>
      <c r="G40" s="62" t="s">
        <v>135</v>
      </c>
      <c r="H40" s="65" t="s">
        <v>186</v>
      </c>
      <c r="I40" s="63" t="s">
        <v>364</v>
      </c>
      <c r="J40" s="65" t="s">
        <v>135</v>
      </c>
      <c r="K40" s="62" t="s">
        <v>182</v>
      </c>
      <c r="L40" s="62" t="s">
        <v>135</v>
      </c>
      <c r="M40" s="62" t="s">
        <v>135</v>
      </c>
    </row>
    <row r="41" spans="1:13" ht="14.4">
      <c r="A41" s="65" t="s">
        <v>128</v>
      </c>
      <c r="B41" s="56" t="s">
        <v>129</v>
      </c>
      <c r="C41" s="57" t="s">
        <v>138</v>
      </c>
      <c r="D41" s="63" t="s">
        <v>365</v>
      </c>
      <c r="E41" s="58" t="str">
        <f t="shared" si="0"/>
        <v>FECHA DE ACTUALIZACIÓN DE LA APLICACIÓN</v>
      </c>
      <c r="F41" s="63" t="s">
        <v>367</v>
      </c>
      <c r="G41" s="62" t="s">
        <v>135</v>
      </c>
      <c r="H41" s="65" t="s">
        <v>180</v>
      </c>
      <c r="I41" s="76">
        <v>45789</v>
      </c>
      <c r="J41" s="65" t="s">
        <v>135</v>
      </c>
      <c r="K41" s="62" t="s">
        <v>182</v>
      </c>
      <c r="L41" s="62" t="s">
        <v>135</v>
      </c>
      <c r="M41" s="62" t="s">
        <v>135</v>
      </c>
    </row>
    <row r="42" spans="1:13" ht="14.4">
      <c r="A42" s="61" t="s">
        <v>128</v>
      </c>
      <c r="B42" s="56" t="s">
        <v>129</v>
      </c>
      <c r="C42" s="57" t="s">
        <v>138</v>
      </c>
      <c r="D42" s="63" t="s">
        <v>368</v>
      </c>
      <c r="E42" s="58" t="str">
        <f t="shared" si="0"/>
        <v>HORA DE ACTUALIZACIÓN DE LA APLICACIÓN EN FORMATO 24H</v>
      </c>
      <c r="F42" s="63" t="s">
        <v>370</v>
      </c>
      <c r="G42" s="62" t="s">
        <v>135</v>
      </c>
      <c r="H42" s="65" t="s">
        <v>186</v>
      </c>
      <c r="I42" s="79">
        <v>0.63201388888888888</v>
      </c>
      <c r="J42" s="65" t="s">
        <v>135</v>
      </c>
      <c r="K42" s="62" t="s">
        <v>182</v>
      </c>
      <c r="L42" s="62" t="s">
        <v>135</v>
      </c>
      <c r="M42" s="62" t="s">
        <v>135</v>
      </c>
    </row>
    <row r="43" spans="1:13" ht="14.4">
      <c r="A43" s="61" t="s">
        <v>128</v>
      </c>
      <c r="B43" s="56" t="s">
        <v>129</v>
      </c>
      <c r="C43" s="57" t="s">
        <v>138</v>
      </c>
      <c r="D43" s="63" t="s">
        <v>371</v>
      </c>
      <c r="E43" s="58" t="str">
        <f t="shared" si="0"/>
        <v>FECHA Y HORA DE ACTUALIZACIÓN DE LA APLICACIÓN</v>
      </c>
      <c r="F43" s="63" t="s">
        <v>372</v>
      </c>
      <c r="G43" s="62" t="s">
        <v>135</v>
      </c>
      <c r="H43" s="65" t="s">
        <v>476</v>
      </c>
      <c r="I43" s="80">
        <v>45789.632013888891</v>
      </c>
      <c r="J43" s="65" t="s">
        <v>135</v>
      </c>
      <c r="K43" s="62" t="s">
        <v>182</v>
      </c>
      <c r="L43" s="62" t="s">
        <v>135</v>
      </c>
      <c r="M43" s="62" t="s">
        <v>135</v>
      </c>
    </row>
    <row r="44" spans="1:13" ht="14.4">
      <c r="A44" s="61" t="s">
        <v>128</v>
      </c>
      <c r="B44" s="56" t="s">
        <v>129</v>
      </c>
      <c r="C44" s="57" t="s">
        <v>138</v>
      </c>
      <c r="D44" s="63" t="s">
        <v>378</v>
      </c>
      <c r="E44" s="58" t="str">
        <f t="shared" si="0"/>
        <v>FECHA DE ÚLTIMA ACTUALIZACIÓN DE APP</v>
      </c>
      <c r="F44" s="63" t="s">
        <v>380</v>
      </c>
      <c r="G44" s="62" t="s">
        <v>135</v>
      </c>
      <c r="H44" s="65" t="s">
        <v>180</v>
      </c>
      <c r="I44" s="76">
        <v>45818</v>
      </c>
      <c r="J44" s="65" t="s">
        <v>135</v>
      </c>
      <c r="K44" s="62" t="s">
        <v>182</v>
      </c>
      <c r="L44" s="62" t="s">
        <v>135</v>
      </c>
      <c r="M44" s="62" t="s">
        <v>135</v>
      </c>
    </row>
    <row r="45" spans="1:13" ht="14.4">
      <c r="A45" s="65" t="s">
        <v>128</v>
      </c>
      <c r="B45" s="56" t="s">
        <v>129</v>
      </c>
      <c r="C45" s="57" t="s">
        <v>138</v>
      </c>
      <c r="D45" s="63" t="s">
        <v>381</v>
      </c>
      <c r="E45" s="58" t="str">
        <f t="shared" si="0"/>
        <v>HORA DE ÚLTIMA ACTUALIZACIÓN DE LA APLICACIÓN</v>
      </c>
      <c r="F45" s="63" t="s">
        <v>383</v>
      </c>
      <c r="G45" s="62" t="s">
        <v>135</v>
      </c>
      <c r="H45" s="65" t="s">
        <v>186</v>
      </c>
      <c r="I45" s="79">
        <v>0.9236805555555555</v>
      </c>
      <c r="J45" s="65" t="s">
        <v>135</v>
      </c>
      <c r="K45" s="62" t="s">
        <v>182</v>
      </c>
      <c r="L45" s="62" t="s">
        <v>135</v>
      </c>
      <c r="M45" s="62" t="s">
        <v>135</v>
      </c>
    </row>
    <row r="46" spans="1:13" ht="14.4">
      <c r="A46" s="65" t="s">
        <v>128</v>
      </c>
      <c r="B46" s="56" t="s">
        <v>129</v>
      </c>
      <c r="C46" s="57" t="s">
        <v>138</v>
      </c>
      <c r="D46" s="63" t="s">
        <v>384</v>
      </c>
      <c r="E46" s="58" t="str">
        <f t="shared" si="0"/>
        <v>FECHA Y HORA DE ÚLTIMA ACTUALIZACIÓN DE LA APLICACIÓN</v>
      </c>
      <c r="F46" s="63" t="s">
        <v>385</v>
      </c>
      <c r="G46" s="62" t="s">
        <v>135</v>
      </c>
      <c r="H46" s="65" t="s">
        <v>476</v>
      </c>
      <c r="I46" s="80">
        <v>45789.632013888891</v>
      </c>
      <c r="J46" s="65" t="s">
        <v>135</v>
      </c>
      <c r="K46" s="62" t="s">
        <v>182</v>
      </c>
      <c r="L46" s="62" t="s">
        <v>135</v>
      </c>
      <c r="M46" s="62" t="s">
        <v>135</v>
      </c>
    </row>
    <row r="47" spans="1:13" ht="14.4">
      <c r="A47" s="61" t="s">
        <v>128</v>
      </c>
      <c r="B47" s="56" t="s">
        <v>129</v>
      </c>
      <c r="C47" s="57" t="s">
        <v>138</v>
      </c>
      <c r="D47" s="63" t="s">
        <v>391</v>
      </c>
      <c r="E47" s="58" t="str">
        <f t="shared" si="0"/>
        <v>ID CORRESPONDIENTE A LA VERSIÓN DE LA APLICACIÓN</v>
      </c>
      <c r="F47" s="63" t="s">
        <v>393</v>
      </c>
      <c r="G47" s="62" t="s">
        <v>135</v>
      </c>
      <c r="H47" s="65" t="s">
        <v>186</v>
      </c>
      <c r="I47" s="63">
        <v>466</v>
      </c>
      <c r="J47" s="65" t="s">
        <v>135</v>
      </c>
      <c r="K47" s="62" t="s">
        <v>182</v>
      </c>
      <c r="L47" s="62" t="s">
        <v>135</v>
      </c>
      <c r="M47" s="62" t="s">
        <v>135</v>
      </c>
    </row>
    <row r="48" spans="1:13" ht="14.4">
      <c r="A48" s="65" t="s">
        <v>128</v>
      </c>
      <c r="B48" s="56" t="s">
        <v>129</v>
      </c>
      <c r="C48" s="57" t="s">
        <v>138</v>
      </c>
      <c r="D48" s="63" t="s">
        <v>394</v>
      </c>
      <c r="E48" s="58" t="str">
        <f t="shared" si="0"/>
        <v>VERSIÓN DE LA APLICACIÓN</v>
      </c>
      <c r="F48" s="63" t="s">
        <v>396</v>
      </c>
      <c r="G48" s="62" t="s">
        <v>135</v>
      </c>
      <c r="H48" s="65" t="s">
        <v>186</v>
      </c>
      <c r="I48" s="63" t="s">
        <v>397</v>
      </c>
      <c r="J48" s="65" t="s">
        <v>135</v>
      </c>
      <c r="K48" s="62" t="s">
        <v>182</v>
      </c>
      <c r="L48" s="62" t="s">
        <v>135</v>
      </c>
      <c r="M48" s="62" t="s">
        <v>135</v>
      </c>
    </row>
    <row r="49" spans="1:13" ht="14.4">
      <c r="A49" s="61" t="s">
        <v>128</v>
      </c>
      <c r="B49" s="56" t="s">
        <v>129</v>
      </c>
      <c r="C49" s="57" t="s">
        <v>138</v>
      </c>
      <c r="D49" s="63" t="s">
        <v>398</v>
      </c>
      <c r="E49" s="58" t="str">
        <f t="shared" si="0"/>
        <v>VERSIÓN DEL FLUJO</v>
      </c>
      <c r="F49" s="63" t="s">
        <v>400</v>
      </c>
      <c r="G49" s="62" t="s">
        <v>135</v>
      </c>
      <c r="H49" s="65" t="s">
        <v>186</v>
      </c>
      <c r="I49" s="63" t="s">
        <v>401</v>
      </c>
      <c r="J49" s="65" t="s">
        <v>135</v>
      </c>
      <c r="K49" s="62" t="s">
        <v>182</v>
      </c>
      <c r="L49" s="62" t="s">
        <v>135</v>
      </c>
      <c r="M49" s="62" t="s">
        <v>135</v>
      </c>
    </row>
    <row r="50" spans="1:13" ht="14.4">
      <c r="A50" s="65" t="s">
        <v>128</v>
      </c>
      <c r="B50" s="56" t="s">
        <v>129</v>
      </c>
      <c r="C50" s="57" t="s">
        <v>138</v>
      </c>
      <c r="D50" s="63" t="s">
        <v>402</v>
      </c>
      <c r="E50" s="58" t="str">
        <f t="shared" si="0"/>
        <v>CÓDIGO DEL ACTIVO FIJO. MARQUESI DEL EQUIPO</v>
      </c>
      <c r="F50" s="63" t="s">
        <v>404</v>
      </c>
      <c r="G50" s="62" t="s">
        <v>135</v>
      </c>
      <c r="H50" s="65" t="s">
        <v>186</v>
      </c>
      <c r="I50" s="81" t="s">
        <v>405</v>
      </c>
      <c r="J50" s="65" t="s">
        <v>135</v>
      </c>
      <c r="K50" s="62" t="s">
        <v>182</v>
      </c>
      <c r="L50" s="62" t="s">
        <v>135</v>
      </c>
      <c r="M50" s="62" t="s">
        <v>135</v>
      </c>
    </row>
    <row r="51" spans="1:13" ht="14.4">
      <c r="A51" s="61" t="s">
        <v>128</v>
      </c>
      <c r="B51" s="56" t="s">
        <v>129</v>
      </c>
      <c r="C51" s="57" t="s">
        <v>138</v>
      </c>
      <c r="D51" s="63" t="s">
        <v>406</v>
      </c>
      <c r="E51" s="58" t="str">
        <f t="shared" si="0"/>
        <v>FECHA DE COMPRA</v>
      </c>
      <c r="F51" s="63" t="s">
        <v>408</v>
      </c>
      <c r="G51" s="62" t="s">
        <v>135</v>
      </c>
      <c r="H51" s="65" t="s">
        <v>180</v>
      </c>
      <c r="I51" s="76">
        <v>44275</v>
      </c>
      <c r="J51" s="65" t="s">
        <v>135</v>
      </c>
      <c r="K51" s="62" t="s">
        <v>182</v>
      </c>
      <c r="L51" s="62" t="s">
        <v>135</v>
      </c>
      <c r="M51" s="62" t="s">
        <v>135</v>
      </c>
    </row>
    <row r="52" spans="1:13" ht="14.4">
      <c r="A52" s="65" t="s">
        <v>128</v>
      </c>
      <c r="B52" s="56" t="s">
        <v>129</v>
      </c>
      <c r="C52" s="57" t="s">
        <v>138</v>
      </c>
      <c r="D52" s="63" t="s">
        <v>409</v>
      </c>
      <c r="E52" s="58" t="str">
        <f t="shared" si="0"/>
        <v>ESTADO SEGÚN CRUCE DE LA INFORMACIÓN DEL TERMINAL CON LA DEL AS400. (BAJA, ALQUILER, VENTA, ACTIVO)</v>
      </c>
      <c r="F52" s="63" t="s">
        <v>411</v>
      </c>
      <c r="G52" s="62" t="s">
        <v>135</v>
      </c>
      <c r="H52" s="65" t="s">
        <v>186</v>
      </c>
      <c r="I52" s="63" t="s">
        <v>412</v>
      </c>
      <c r="J52" s="65" t="s">
        <v>135</v>
      </c>
      <c r="K52" s="62" t="s">
        <v>182</v>
      </c>
      <c r="L52" s="62" t="s">
        <v>135</v>
      </c>
      <c r="M52" s="62" t="s">
        <v>135</v>
      </c>
    </row>
    <row r="53" spans="1:13" ht="14.4">
      <c r="A53" s="61" t="s">
        <v>128</v>
      </c>
      <c r="B53" s="56" t="s">
        <v>129</v>
      </c>
      <c r="C53" s="57" t="s">
        <v>138</v>
      </c>
      <c r="D53" s="63" t="s">
        <v>440</v>
      </c>
      <c r="E53" s="58" t="str">
        <f t="shared" si="0"/>
        <v>CAMPO CALCULADO QUE PERMITE IDENTIFICAR LA ANTIGÜEDAD DE UN COMERCIO AFILIADO DE ACUERDO A SU FECHA DE APERTURA Y LA FECHA ACTUAL</v>
      </c>
      <c r="F53" s="63" t="s">
        <v>442</v>
      </c>
      <c r="G53" s="62" t="s">
        <v>135</v>
      </c>
      <c r="H53" s="65" t="s">
        <v>186</v>
      </c>
      <c r="I53" s="63" t="s">
        <v>477</v>
      </c>
      <c r="J53" s="65" t="s">
        <v>135</v>
      </c>
      <c r="K53" s="62" t="s">
        <v>182</v>
      </c>
      <c r="L53" s="62" t="s">
        <v>135</v>
      </c>
      <c r="M53" s="62" t="s">
        <v>135</v>
      </c>
    </row>
    <row r="54" spans="1:13" ht="14.4">
      <c r="A54" s="61" t="s">
        <v>128</v>
      </c>
      <c r="B54" s="56" t="s">
        <v>129</v>
      </c>
      <c r="C54" s="57" t="s">
        <v>138</v>
      </c>
      <c r="D54" s="63" t="s">
        <v>444</v>
      </c>
      <c r="E54" s="58" t="str">
        <f t="shared" si="0"/>
        <v>UBICACIÓN DE OFICINA ASOCIADA AL COMERCIO</v>
      </c>
      <c r="F54" s="63" t="s">
        <v>446</v>
      </c>
      <c r="G54" s="62" t="s">
        <v>135</v>
      </c>
      <c r="H54" s="65" t="s">
        <v>186</v>
      </c>
      <c r="I54" s="63" t="s">
        <v>447</v>
      </c>
      <c r="J54" s="65" t="s">
        <v>135</v>
      </c>
      <c r="K54" s="62" t="s">
        <v>182</v>
      </c>
      <c r="L54" s="62" t="s">
        <v>135</v>
      </c>
      <c r="M54" s="62" t="s">
        <v>135</v>
      </c>
    </row>
    <row r="55" spans="1:13" ht="14.4">
      <c r="A55" s="65" t="s">
        <v>128</v>
      </c>
      <c r="B55" s="56" t="s">
        <v>129</v>
      </c>
      <c r="C55" s="57" t="s">
        <v>138</v>
      </c>
      <c r="D55" s="63" t="s">
        <v>448</v>
      </c>
      <c r="E55" s="58" t="str">
        <f t="shared" si="0"/>
        <v>MODELO DEL EQUIPO (ESPECÍFICO), SE DETALLA EL MODELO ESPECÍFICO DEL TERMINAL SEGÚN UNA LISTA ESTÁTICA DE MODELOS ANTIGUOS, CASO CONTRARIO ES EL MODELO PROVENIENTE DEL MCCENTER</v>
      </c>
      <c r="F55" s="63" t="s">
        <v>478</v>
      </c>
      <c r="G55" s="62" t="s">
        <v>135</v>
      </c>
      <c r="H55" s="65" t="s">
        <v>186</v>
      </c>
      <c r="I55" s="63" t="s">
        <v>451</v>
      </c>
      <c r="J55" s="65" t="s">
        <v>135</v>
      </c>
      <c r="K55" s="62" t="s">
        <v>182</v>
      </c>
      <c r="L55" s="62" t="s">
        <v>135</v>
      </c>
      <c r="M55" s="62" t="s">
        <v>135</v>
      </c>
    </row>
    <row r="56" spans="1:13" ht="14.4">
      <c r="A56" s="61" t="s">
        <v>128</v>
      </c>
      <c r="B56" s="56" t="s">
        <v>129</v>
      </c>
      <c r="C56" s="57" t="s">
        <v>138</v>
      </c>
      <c r="D56" s="63" t="s">
        <v>454</v>
      </c>
      <c r="E56" s="58" t="str">
        <f t="shared" si="0"/>
        <v>FECHA DE INSTALACIÓN</v>
      </c>
      <c r="F56" s="63" t="s">
        <v>456</v>
      </c>
      <c r="G56" s="62" t="s">
        <v>135</v>
      </c>
      <c r="H56" s="65" t="s">
        <v>180</v>
      </c>
      <c r="I56" s="76">
        <v>44275</v>
      </c>
      <c r="J56" s="65" t="s">
        <v>135</v>
      </c>
      <c r="K56" s="62" t="s">
        <v>182</v>
      </c>
      <c r="L56" s="62" t="s">
        <v>135</v>
      </c>
      <c r="M56" s="62" t="s">
        <v>135</v>
      </c>
    </row>
    <row r="57" spans="1:13" ht="14.4">
      <c r="A57" s="29" t="s">
        <v>128</v>
      </c>
      <c r="B57" s="89" t="s">
        <v>129</v>
      </c>
      <c r="C57" s="57" t="s">
        <v>138</v>
      </c>
      <c r="D57" s="31" t="s">
        <v>374</v>
      </c>
      <c r="E57" s="91" t="str">
        <f t="shared" si="0"/>
        <v>CANTIDAD DE INTENTOS QUE REALIZÓ EL TERMINAL PARA ACTUALIZARSE</v>
      </c>
      <c r="F57" s="31" t="s">
        <v>376</v>
      </c>
      <c r="G57" s="2" t="s">
        <v>135</v>
      </c>
      <c r="H57" s="29" t="s">
        <v>377</v>
      </c>
      <c r="I57" s="31"/>
      <c r="J57" s="65" t="s">
        <v>135</v>
      </c>
      <c r="K57" s="62" t="s">
        <v>182</v>
      </c>
      <c r="L57" s="62" t="s">
        <v>135</v>
      </c>
      <c r="M57" s="62" t="s">
        <v>135</v>
      </c>
    </row>
    <row r="58" spans="1:13" ht="14.4">
      <c r="A58" s="16" t="s">
        <v>128</v>
      </c>
      <c r="B58" s="89" t="s">
        <v>129</v>
      </c>
      <c r="C58" s="57" t="s">
        <v>138</v>
      </c>
      <c r="D58" s="31" t="s">
        <v>479</v>
      </c>
      <c r="E58" s="91" t="str">
        <f t="shared" si="0"/>
        <v>FLAG QUE INDICA SI EL TERMINAL HA TRANSACCIONADO EN LOS ÚLTIMOS 3 MESES</v>
      </c>
      <c r="F58" s="31" t="s">
        <v>480</v>
      </c>
      <c r="G58" s="2" t="s">
        <v>135</v>
      </c>
      <c r="H58" s="29" t="s">
        <v>222</v>
      </c>
      <c r="I58" s="31" t="s">
        <v>223</v>
      </c>
      <c r="J58" s="65" t="s">
        <v>135</v>
      </c>
      <c r="K58" s="62" t="s">
        <v>182</v>
      </c>
      <c r="L58" s="62" t="s">
        <v>135</v>
      </c>
      <c r="M58" s="62" t="s">
        <v>135</v>
      </c>
    </row>
    <row r="59" spans="1:13" ht="14.4">
      <c r="A59" s="16" t="s">
        <v>128</v>
      </c>
      <c r="B59" s="89" t="s">
        <v>129</v>
      </c>
      <c r="C59" s="57" t="s">
        <v>138</v>
      </c>
      <c r="D59" s="31" t="s">
        <v>320</v>
      </c>
      <c r="E59" s="91" t="str">
        <f t="shared" si="0"/>
        <v>FLAG QUE INDICA SI EL COMERCIO ADMITE FACTURACIÓN. TRUE = SÍ, FALSE, NO</v>
      </c>
      <c r="F59" s="31" t="s">
        <v>322</v>
      </c>
      <c r="G59" s="2" t="s">
        <v>135</v>
      </c>
      <c r="H59" s="29" t="s">
        <v>222</v>
      </c>
      <c r="I59" s="31" t="s">
        <v>223</v>
      </c>
      <c r="J59" s="65" t="s">
        <v>135</v>
      </c>
      <c r="K59" s="62" t="s">
        <v>182</v>
      </c>
      <c r="L59" s="62" t="s">
        <v>135</v>
      </c>
      <c r="M59" s="62" t="s">
        <v>135</v>
      </c>
    </row>
    <row r="60" spans="1:13" ht="14.4">
      <c r="A60" s="16" t="s">
        <v>128</v>
      </c>
      <c r="B60" s="89" t="s">
        <v>129</v>
      </c>
      <c r="C60" s="57" t="s">
        <v>138</v>
      </c>
      <c r="D60" s="31" t="s">
        <v>343</v>
      </c>
      <c r="E60" s="91" t="str">
        <f t="shared" si="0"/>
        <v>FLAG QUE INDICA SI EL POS TIENE SOFTWARE CONTACTLESS</v>
      </c>
      <c r="F60" s="31" t="s">
        <v>345</v>
      </c>
      <c r="G60" s="2" t="s">
        <v>135</v>
      </c>
      <c r="H60" s="29" t="s">
        <v>222</v>
      </c>
      <c r="I60" s="31" t="s">
        <v>223</v>
      </c>
      <c r="J60" s="65" t="s">
        <v>135</v>
      </c>
      <c r="K60" s="62" t="s">
        <v>182</v>
      </c>
      <c r="L60" s="62" t="s">
        <v>135</v>
      </c>
      <c r="M60" s="62" t="s">
        <v>135</v>
      </c>
    </row>
    <row r="61" spans="1:13" ht="14.4">
      <c r="A61" s="29" t="s">
        <v>128</v>
      </c>
      <c r="B61" s="89" t="s">
        <v>129</v>
      </c>
      <c r="C61" s="57" t="s">
        <v>138</v>
      </c>
      <c r="D61" s="31" t="s">
        <v>346</v>
      </c>
      <c r="E61" s="91" t="str">
        <f t="shared" si="0"/>
        <v>FLAG QUE INDICA SI EL POS TIENE HARDWARE CONTACTLESS</v>
      </c>
      <c r="F61" s="31" t="s">
        <v>348</v>
      </c>
      <c r="G61" s="2" t="s">
        <v>135</v>
      </c>
      <c r="H61" s="29" t="s">
        <v>222</v>
      </c>
      <c r="I61" s="31" t="s">
        <v>223</v>
      </c>
      <c r="J61" s="65" t="s">
        <v>135</v>
      </c>
      <c r="K61" s="62" t="s">
        <v>182</v>
      </c>
      <c r="L61" s="62" t="s">
        <v>135</v>
      </c>
      <c r="M61" s="62" t="s">
        <v>135</v>
      </c>
    </row>
    <row r="62" spans="1:13" ht="14.4">
      <c r="A62" s="16" t="s">
        <v>128</v>
      </c>
      <c r="B62" s="89" t="s">
        <v>129</v>
      </c>
      <c r="C62" s="57" t="s">
        <v>138</v>
      </c>
      <c r="D62" s="31" t="s">
        <v>349</v>
      </c>
      <c r="E62" s="91" t="str">
        <f t="shared" si="0"/>
        <v>FLAG QUE INDICA SI APLICA LA PRE AUTORIZACIÓN A NIVEL DEL COMERCIO</v>
      </c>
      <c r="F62" s="31" t="s">
        <v>351</v>
      </c>
      <c r="G62" s="2" t="s">
        <v>135</v>
      </c>
      <c r="H62" s="29" t="s">
        <v>222</v>
      </c>
      <c r="I62" s="31" t="s">
        <v>223</v>
      </c>
      <c r="J62" s="65" t="s">
        <v>135</v>
      </c>
      <c r="K62" s="62" t="s">
        <v>182</v>
      </c>
      <c r="L62" s="62" t="s">
        <v>135</v>
      </c>
      <c r="M62" s="62" t="s">
        <v>135</v>
      </c>
    </row>
    <row r="63" spans="1:13" ht="14.4">
      <c r="A63" s="29" t="s">
        <v>128</v>
      </c>
      <c r="B63" s="89" t="s">
        <v>129</v>
      </c>
      <c r="C63" s="57" t="s">
        <v>138</v>
      </c>
      <c r="D63" s="31" t="s">
        <v>352</v>
      </c>
      <c r="E63" s="91" t="str">
        <f t="shared" si="0"/>
        <v>FLAG QUE INDICA SI APLICA LA PRE AUTORIZACIÓN A NIVEL DEL TERMINAL</v>
      </c>
      <c r="F63" s="31" t="s">
        <v>354</v>
      </c>
      <c r="G63" s="2" t="s">
        <v>135</v>
      </c>
      <c r="H63" s="29" t="s">
        <v>222</v>
      </c>
      <c r="I63" s="31" t="s">
        <v>223</v>
      </c>
      <c r="J63" s="65" t="s">
        <v>135</v>
      </c>
      <c r="K63" s="62" t="s">
        <v>182</v>
      </c>
      <c r="L63" s="62" t="s">
        <v>135</v>
      </c>
      <c r="M63" s="62" t="s">
        <v>135</v>
      </c>
    </row>
    <row r="64" spans="1:13" ht="14.4">
      <c r="A64" s="16" t="s">
        <v>128</v>
      </c>
      <c r="B64" s="89" t="s">
        <v>129</v>
      </c>
      <c r="C64" s="57" t="s">
        <v>138</v>
      </c>
      <c r="D64" s="31" t="s">
        <v>355</v>
      </c>
      <c r="E64" s="91" t="str">
        <f t="shared" si="0"/>
        <v>FLAG QUE INDICA SI APLICA LA DIGITACIÓN MANUAL A NIVEL DEL COMERCIO</v>
      </c>
      <c r="F64" s="31" t="s">
        <v>357</v>
      </c>
      <c r="G64" s="2" t="s">
        <v>135</v>
      </c>
      <c r="H64" s="29" t="s">
        <v>222</v>
      </c>
      <c r="I64" s="31" t="s">
        <v>223</v>
      </c>
      <c r="J64" s="65" t="s">
        <v>135</v>
      </c>
      <c r="K64" s="62" t="s">
        <v>182</v>
      </c>
      <c r="L64" s="62" t="s">
        <v>135</v>
      </c>
      <c r="M64" s="62" t="s">
        <v>135</v>
      </c>
    </row>
    <row r="65" spans="1:13" ht="14.4">
      <c r="A65" s="29" t="s">
        <v>128</v>
      </c>
      <c r="B65" s="89" t="s">
        <v>129</v>
      </c>
      <c r="C65" s="57" t="s">
        <v>138</v>
      </c>
      <c r="D65" s="31" t="s">
        <v>358</v>
      </c>
      <c r="E65" s="91" t="str">
        <f t="shared" si="0"/>
        <v>FLAG QUE INDICA SI APLICA LA DIGITACIÓN MANUAL A NIVEL DEL TERMINAL</v>
      </c>
      <c r="F65" s="31" t="s">
        <v>360</v>
      </c>
      <c r="G65" s="2" t="s">
        <v>135</v>
      </c>
      <c r="H65" s="29" t="s">
        <v>222</v>
      </c>
      <c r="I65" s="31" t="s">
        <v>223</v>
      </c>
      <c r="J65" s="65" t="s">
        <v>135</v>
      </c>
      <c r="K65" s="62" t="s">
        <v>182</v>
      </c>
      <c r="L65" s="62" t="s">
        <v>135</v>
      </c>
      <c r="M65" s="62" t="s">
        <v>135</v>
      </c>
    </row>
    <row r="66" spans="1:13" ht="14.4">
      <c r="A66" s="16" t="s">
        <v>128</v>
      </c>
      <c r="B66" s="89" t="s">
        <v>129</v>
      </c>
      <c r="C66" s="57" t="s">
        <v>138</v>
      </c>
      <c r="D66" s="31" t="s">
        <v>386</v>
      </c>
      <c r="E66" s="91" t="str">
        <f t="shared" si="0"/>
        <v>FLAG QUE INDICA SI LA VERSIÓN SE HA ACTUALIZADO</v>
      </c>
      <c r="F66" s="31" t="s">
        <v>388</v>
      </c>
      <c r="G66" s="2" t="s">
        <v>135</v>
      </c>
      <c r="H66" s="29" t="s">
        <v>222</v>
      </c>
      <c r="I66" s="31" t="s">
        <v>223</v>
      </c>
      <c r="J66" s="65" t="s">
        <v>135</v>
      </c>
      <c r="K66" s="62" t="s">
        <v>182</v>
      </c>
      <c r="L66" s="62" t="s">
        <v>135</v>
      </c>
      <c r="M66" s="62" t="s">
        <v>135</v>
      </c>
    </row>
    <row r="67" spans="1:13" ht="14.4">
      <c r="A67" s="16" t="s">
        <v>128</v>
      </c>
      <c r="B67" s="89" t="s">
        <v>129</v>
      </c>
      <c r="C67" s="57" t="s">
        <v>138</v>
      </c>
      <c r="D67" s="31" t="s">
        <v>413</v>
      </c>
      <c r="E67" s="91" t="str">
        <f t="shared" si="0"/>
        <v>FLAG QUE INDICA SI EL COMERCIO TIENE POS EMV DINERS</v>
      </c>
      <c r="F67" s="31" t="s">
        <v>415</v>
      </c>
      <c r="G67" s="2" t="s">
        <v>135</v>
      </c>
      <c r="H67" s="29" t="s">
        <v>222</v>
      </c>
      <c r="I67" s="31" t="s">
        <v>223</v>
      </c>
      <c r="J67" s="65" t="s">
        <v>135</v>
      </c>
      <c r="K67" s="62" t="s">
        <v>182</v>
      </c>
      <c r="L67" s="62" t="s">
        <v>135</v>
      </c>
      <c r="M67" s="62" t="s">
        <v>135</v>
      </c>
    </row>
    <row r="68" spans="1:13" ht="14.4">
      <c r="A68" s="29" t="s">
        <v>128</v>
      </c>
      <c r="B68" s="89" t="s">
        <v>129</v>
      </c>
      <c r="C68" s="57" t="s">
        <v>138</v>
      </c>
      <c r="D68" s="31" t="s">
        <v>422</v>
      </c>
      <c r="E68" s="91" t="str">
        <f t="shared" si="0"/>
        <v>FLAG QUE INDICA SI EL TERMINAL TIENE PINPAD O NO</v>
      </c>
      <c r="F68" s="31" t="s">
        <v>424</v>
      </c>
      <c r="G68" s="2" t="s">
        <v>135</v>
      </c>
      <c r="H68" s="29" t="s">
        <v>222</v>
      </c>
      <c r="I68" s="31" t="s">
        <v>425</v>
      </c>
      <c r="J68" s="65" t="s">
        <v>135</v>
      </c>
      <c r="K68" s="62" t="s">
        <v>182</v>
      </c>
      <c r="L68" s="62" t="s">
        <v>135</v>
      </c>
      <c r="M68" s="62" t="s">
        <v>135</v>
      </c>
    </row>
    <row r="69" spans="1:13" ht="14.4">
      <c r="A69" s="16" t="s">
        <v>128</v>
      </c>
      <c r="B69" s="89" t="s">
        <v>129</v>
      </c>
      <c r="C69" s="57" t="s">
        <v>138</v>
      </c>
      <c r="D69" s="31" t="s">
        <v>426</v>
      </c>
      <c r="E69" s="91" t="str">
        <f t="shared" si="0"/>
        <v>FLAG QUE INDICA SI EL TERMINAL ES MULTICOMERCIO. OCURRE CUANDO EL POS ESTÁ ASIGNADO A MÁS DE 1 CÓDIGO DE COMERCIO</v>
      </c>
      <c r="F69" s="31" t="s">
        <v>481</v>
      </c>
      <c r="G69" s="2" t="s">
        <v>135</v>
      </c>
      <c r="H69" s="29" t="s">
        <v>222</v>
      </c>
      <c r="I69" s="31" t="s">
        <v>425</v>
      </c>
      <c r="J69" s="65" t="s">
        <v>135</v>
      </c>
      <c r="K69" s="62" t="s">
        <v>182</v>
      </c>
      <c r="L69" s="62" t="s">
        <v>135</v>
      </c>
      <c r="M69" s="62" t="s">
        <v>135</v>
      </c>
    </row>
    <row r="70" spans="1:13" ht="14.4">
      <c r="A70" s="65" t="s">
        <v>128</v>
      </c>
      <c r="B70" s="56" t="s">
        <v>129</v>
      </c>
      <c r="C70" s="57" t="s">
        <v>138</v>
      </c>
      <c r="D70" s="63" t="s">
        <v>463</v>
      </c>
      <c r="E70" s="58" t="str">
        <f t="shared" si="0"/>
        <v>DATO DE AUDITORÍA: DESCRIPCIÓN DEL APLICATIVO ORIGEN DE LOS DATOS.</v>
      </c>
      <c r="F70" s="63" t="s">
        <v>464</v>
      </c>
      <c r="G70" s="62" t="s">
        <v>135</v>
      </c>
      <c r="H70" s="62" t="s">
        <v>186</v>
      </c>
      <c r="I70" s="63"/>
      <c r="J70" s="65" t="s">
        <v>135</v>
      </c>
      <c r="K70" s="65" t="s">
        <v>135</v>
      </c>
      <c r="L70" s="62" t="s">
        <v>135</v>
      </c>
      <c r="M70" s="62" t="s">
        <v>135</v>
      </c>
    </row>
    <row r="71" spans="1:13" ht="14.4">
      <c r="A71" s="61" t="s">
        <v>128</v>
      </c>
      <c r="B71" s="56" t="s">
        <v>129</v>
      </c>
      <c r="C71" s="57" t="s">
        <v>138</v>
      </c>
      <c r="D71" s="63" t="s">
        <v>465</v>
      </c>
      <c r="E71" s="58" t="str">
        <f t="shared" si="0"/>
        <v>FECHA Y HORA DE INSERCIÓN DEL REGISTRO EN EL MODELO</v>
      </c>
      <c r="F71" s="63" t="s">
        <v>466</v>
      </c>
      <c r="G71" s="60" t="s">
        <v>135</v>
      </c>
      <c r="H71" s="65" t="s">
        <v>476</v>
      </c>
      <c r="I71" s="80">
        <v>45916.750542782189</v>
      </c>
      <c r="J71" s="65" t="s">
        <v>135</v>
      </c>
      <c r="K71" s="65" t="s">
        <v>135</v>
      </c>
      <c r="L71" s="62" t="s">
        <v>135</v>
      </c>
      <c r="M71" s="62" t="s">
        <v>135</v>
      </c>
    </row>
    <row r="72" spans="1:13" ht="14.4">
      <c r="A72" s="65" t="s">
        <v>128</v>
      </c>
      <c r="B72" s="56" t="s">
        <v>129</v>
      </c>
      <c r="C72" s="57" t="s">
        <v>138</v>
      </c>
      <c r="D72" s="63" t="s">
        <v>468</v>
      </c>
      <c r="E72" s="58" t="str">
        <f t="shared" si="0"/>
        <v>USUARIO QUE CREA EL REGISTRO EN LA BD</v>
      </c>
      <c r="F72" s="63" t="s">
        <v>469</v>
      </c>
      <c r="G72" s="62" t="s">
        <v>135</v>
      </c>
      <c r="H72" s="62" t="s">
        <v>186</v>
      </c>
      <c r="I72" s="63"/>
      <c r="J72" s="65" t="s">
        <v>135</v>
      </c>
      <c r="K72" s="65" t="s">
        <v>135</v>
      </c>
      <c r="L72" s="62" t="s">
        <v>135</v>
      </c>
      <c r="M72" s="62" t="s">
        <v>135</v>
      </c>
    </row>
    <row r="73" spans="1:13" ht="14.4"/>
    <row r="74" spans="1:13" ht="14.4"/>
    <row r="75" spans="1:13" ht="14.4"/>
    <row r="76" spans="1:13" ht="14.4"/>
    <row r="77" spans="1:13" ht="14.4"/>
    <row r="78" spans="1:13" ht="14.4"/>
    <row r="79" spans="1:13" ht="14.4"/>
    <row r="80" spans="1:13" ht="14.4"/>
    <row r="81" ht="14.4"/>
    <row r="82" ht="14.4"/>
    <row r="83" ht="14.4"/>
    <row r="84" ht="14.4"/>
    <row r="85" ht="14.4"/>
    <row r="86" ht="14.4"/>
    <row r="87" ht="14.4"/>
    <row r="88" ht="14.4"/>
    <row r="89" ht="14.4"/>
    <row r="90" ht="14.4"/>
    <row r="91" ht="14.4"/>
    <row r="92" ht="14.4"/>
    <row r="93" ht="14.4"/>
    <row r="94" ht="14.4"/>
    <row r="95" ht="14.4"/>
    <row r="96" ht="14.4"/>
    <row r="97" ht="14.4"/>
    <row r="98" ht="14.4"/>
    <row r="99" ht="14.4"/>
    <row r="100" ht="14.4"/>
    <row r="101" ht="14.4"/>
    <row r="102" ht="14.4"/>
    <row r="103" ht="14.4"/>
    <row r="104" ht="14.4"/>
    <row r="105" ht="14.4"/>
    <row r="106" ht="14.4"/>
    <row r="107" ht="14.4"/>
    <row r="108" ht="14.4"/>
    <row r="109" ht="14.4"/>
    <row r="110" ht="14.4"/>
    <row r="111" ht="14.4"/>
    <row r="112" ht="14.4"/>
    <row r="113" ht="14.4"/>
    <row r="114" ht="14.4"/>
    <row r="115" ht="14.4"/>
    <row r="116" ht="14.4"/>
    <row r="117" ht="14.4"/>
    <row r="118" ht="14.4"/>
    <row r="119" ht="14.4"/>
    <row r="120" ht="14.4"/>
    <row r="121" ht="14.4"/>
    <row r="122" ht="14.4"/>
    <row r="123" ht="14.4"/>
    <row r="124" ht="14.4"/>
    <row r="125" ht="14.4"/>
    <row r="126" ht="14.4"/>
    <row r="127" ht="14.4"/>
    <row r="128" ht="14.4"/>
    <row r="129" ht="14.4"/>
    <row r="130" ht="14.4"/>
    <row r="131" ht="14.4"/>
    <row r="132" ht="14.4"/>
    <row r="133" ht="14.4"/>
    <row r="134" ht="14.4"/>
    <row r="135" ht="14.4"/>
    <row r="136" ht="14.4"/>
    <row r="137" ht="14.4"/>
    <row r="138" ht="14.4"/>
    <row r="139" ht="14.4"/>
    <row r="140" ht="14.4"/>
    <row r="141" ht="14.4"/>
    <row r="142" ht="14.4"/>
    <row r="143" ht="14.4"/>
    <row r="144" ht="14.4"/>
    <row r="145" ht="14.4"/>
    <row r="146" ht="14.4"/>
    <row r="147" ht="14.4"/>
    <row r="148" ht="14.4"/>
    <row r="149" ht="14.4"/>
    <row r="150" ht="14.4"/>
    <row r="151" ht="14.4"/>
    <row r="152" ht="14.4"/>
    <row r="153" ht="14.4"/>
    <row r="154" ht="14.4"/>
    <row r="155" ht="14.4"/>
    <row r="156" ht="14.4"/>
    <row r="157" ht="14.4"/>
    <row r="158" ht="14.4"/>
    <row r="159" ht="14.4"/>
    <row r="160" ht="14.4"/>
    <row r="161" ht="14.4"/>
    <row r="162" ht="14.4"/>
    <row r="163" ht="14.4"/>
    <row r="164" ht="14.4"/>
    <row r="165" ht="14.4"/>
    <row r="166" ht="14.4"/>
    <row r="167" ht="14.4"/>
    <row r="168" ht="14.4"/>
    <row r="169" ht="14.4"/>
    <row r="170" ht="14.4"/>
    <row r="171" ht="14.4"/>
    <row r="172" ht="14.4"/>
    <row r="173" ht="14.4"/>
    <row r="174" ht="14.4"/>
    <row r="175" ht="14.4"/>
    <row r="176" ht="14.4"/>
    <row r="177" ht="14.4"/>
    <row r="178" ht="14.4"/>
    <row r="179" ht="14.4"/>
    <row r="180" ht="14.4"/>
    <row r="181" ht="14.4"/>
    <row r="182" ht="14.4"/>
    <row r="183" ht="14.4"/>
    <row r="184" ht="14.4"/>
    <row r="185" ht="14.4"/>
    <row r="186" ht="14.4"/>
    <row r="187" ht="14.4"/>
    <row r="188" ht="14.4"/>
    <row r="189" ht="14.4"/>
    <row r="190" ht="14.4"/>
    <row r="191" ht="14.4"/>
    <row r="192" ht="14.4"/>
    <row r="193" ht="14.4"/>
    <row r="194" ht="14.4"/>
    <row r="195" ht="14.4"/>
    <row r="196" ht="14.4"/>
    <row r="197" ht="14.4"/>
    <row r="198" ht="14.4"/>
    <row r="199" ht="14.4"/>
    <row r="200" ht="14.4"/>
    <row r="201" ht="14.4"/>
    <row r="202" ht="14.4"/>
    <row r="203" ht="14.4"/>
    <row r="204" ht="14.4"/>
    <row r="205" ht="14.4"/>
    <row r="206" ht="14.4"/>
    <row r="207" ht="14.4"/>
    <row r="208" ht="14.4"/>
    <row r="209" ht="14.4"/>
    <row r="210" ht="14.4"/>
    <row r="211" ht="14.4"/>
    <row r="212" ht="14.4"/>
    <row r="213" ht="14.4"/>
    <row r="214" ht="14.4"/>
    <row r="215" ht="14.4"/>
    <row r="216" ht="14.4"/>
    <row r="217" ht="14.4"/>
    <row r="218" ht="14.4"/>
    <row r="219" ht="14.4"/>
    <row r="220" ht="14.4"/>
    <row r="221" ht="14.4"/>
    <row r="222" ht="14.4"/>
    <row r="223" ht="14.4"/>
    <row r="224" ht="14.4"/>
    <row r="225" ht="14.4"/>
    <row r="226" ht="14.4"/>
    <row r="227" ht="14.4"/>
    <row r="228" ht="14.4"/>
    <row r="229" ht="14.4"/>
    <row r="230" ht="14.4"/>
    <row r="231" ht="14.4"/>
    <row r="232" ht="14.4"/>
    <row r="233" ht="14.4"/>
    <row r="234" ht="14.4"/>
    <row r="235" ht="14.4"/>
    <row r="236" ht="14.4"/>
    <row r="237" ht="14.4"/>
    <row r="238" ht="14.4"/>
    <row r="239" ht="14.4"/>
    <row r="240" ht="14.4"/>
    <row r="241" ht="14.4"/>
    <row r="242" ht="14.4"/>
    <row r="243" ht="14.4"/>
    <row r="244" ht="14.4"/>
    <row r="245" ht="14.4"/>
    <row r="246" ht="14.4"/>
    <row r="247" ht="14.4"/>
    <row r="248" ht="14.4"/>
    <row r="249" ht="14.4"/>
    <row r="250" ht="14.4"/>
    <row r="251" ht="14.4"/>
    <row r="252" ht="14.4"/>
    <row r="253" ht="14.4"/>
    <row r="254" ht="14.4"/>
    <row r="255" ht="14.4"/>
    <row r="256" ht="14.4"/>
    <row r="257" ht="14.4"/>
    <row r="258" ht="14.4"/>
    <row r="259" ht="14.4"/>
    <row r="260" ht="14.4"/>
    <row r="261" ht="14.4"/>
    <row r="262" ht="14.4"/>
    <row r="263" ht="14.4"/>
    <row r="264" ht="14.4"/>
    <row r="265" ht="14.4"/>
    <row r="266" ht="14.4"/>
    <row r="267" ht="14.4"/>
    <row r="268" ht="14.4"/>
    <row r="269" ht="14.4"/>
    <row r="270" ht="14.4"/>
    <row r="271" ht="14.4"/>
    <row r="272" ht="14.4"/>
    <row r="273" ht="14.4"/>
    <row r="274" ht="14.4"/>
    <row r="275" ht="14.4"/>
    <row r="276" ht="14.4"/>
    <row r="277" ht="14.4"/>
    <row r="278" ht="14.4"/>
    <row r="279" ht="14.4"/>
    <row r="280" ht="14.4"/>
    <row r="281" ht="14.4"/>
    <row r="282" ht="14.4"/>
    <row r="283" ht="14.4"/>
    <row r="284" ht="14.4"/>
    <row r="285" ht="14.4"/>
    <row r="286" ht="14.4"/>
    <row r="287" ht="14.4"/>
    <row r="288" ht="14.4"/>
    <row r="289" ht="14.4"/>
    <row r="290" ht="14.4"/>
    <row r="291" ht="14.4"/>
    <row r="292" ht="14.4"/>
    <row r="293" ht="14.4"/>
    <row r="294" ht="14.4"/>
    <row r="295" ht="14.4"/>
    <row r="296" ht="14.4"/>
    <row r="297" ht="14.4"/>
    <row r="298" ht="14.4"/>
    <row r="299" ht="14.4"/>
    <row r="300" ht="14.4"/>
    <row r="301" ht="14.4"/>
    <row r="302" ht="14.4"/>
    <row r="303" ht="14.4"/>
    <row r="304" ht="14.4"/>
    <row r="305" ht="14.4"/>
    <row r="306" ht="14.4"/>
    <row r="307" ht="14.4"/>
    <row r="308" ht="14.4"/>
    <row r="309" ht="14.4"/>
    <row r="310" ht="14.4"/>
    <row r="311" ht="14.4"/>
    <row r="312" ht="14.4"/>
    <row r="313" ht="14.4"/>
    <row r="314" ht="14.4"/>
    <row r="315" ht="14.4"/>
    <row r="316" ht="14.4"/>
    <row r="317" ht="14.4"/>
    <row r="318" ht="14.4"/>
    <row r="319" ht="14.4"/>
    <row r="320" ht="14.4"/>
    <row r="321" ht="14.4"/>
    <row r="322" ht="14.4"/>
    <row r="323" ht="14.4"/>
    <row r="324" ht="14.4"/>
    <row r="325" ht="14.4"/>
    <row r="326" ht="14.4"/>
    <row r="327" ht="14.4"/>
    <row r="328" ht="14.4"/>
    <row r="329" ht="14.4"/>
    <row r="330" ht="14.4"/>
    <row r="331" ht="14.4"/>
    <row r="332" ht="14.4"/>
    <row r="333" ht="14.4"/>
    <row r="334" ht="14.4"/>
    <row r="335" ht="14.4"/>
    <row r="336" ht="14.4"/>
    <row r="337" ht="14.4"/>
    <row r="338" ht="14.4"/>
    <row r="339" ht="14.4"/>
    <row r="340" ht="14.4"/>
    <row r="341" ht="14.4"/>
    <row r="342" ht="14.4"/>
    <row r="343" ht="14.4"/>
    <row r="344" ht="14.4"/>
    <row r="345" ht="14.4"/>
    <row r="346" ht="14.4"/>
    <row r="347" ht="14.4"/>
    <row r="348" ht="14.4"/>
    <row r="349" ht="14.4"/>
    <row r="350" ht="14.4"/>
    <row r="351" ht="14.4"/>
    <row r="352" ht="14.4"/>
    <row r="353" ht="14.4"/>
    <row r="354" ht="14.4"/>
    <row r="355" ht="14.4"/>
    <row r="356" ht="14.4"/>
    <row r="357" ht="14.4"/>
    <row r="358" ht="14.4"/>
    <row r="359" ht="14.4"/>
    <row r="360" ht="14.4"/>
    <row r="361" ht="14.4"/>
    <row r="362" ht="14.4"/>
    <row r="363" ht="14.4"/>
    <row r="364" ht="14.4"/>
    <row r="365" ht="14.4"/>
    <row r="366" ht="14.4"/>
    <row r="367" ht="14.4"/>
    <row r="368" ht="14.4"/>
    <row r="369" ht="14.4"/>
    <row r="370" ht="14.4"/>
    <row r="371" ht="14.4"/>
    <row r="372" ht="14.4"/>
    <row r="373" ht="14.4"/>
    <row r="374" ht="14.4"/>
    <row r="375" ht="14.4"/>
    <row r="376" ht="14.4"/>
    <row r="377" ht="14.4"/>
    <row r="378" ht="14.4"/>
    <row r="379" ht="14.4"/>
    <row r="380" ht="14.4"/>
    <row r="381" ht="14.4"/>
    <row r="382" ht="14.4"/>
    <row r="383" ht="14.4"/>
    <row r="384" ht="14.4"/>
    <row r="385" ht="14.4"/>
    <row r="386" ht="14.4"/>
    <row r="387" ht="14.4"/>
    <row r="388" ht="14.4"/>
    <row r="389" ht="14.4"/>
    <row r="390" ht="14.4"/>
    <row r="391" ht="14.4"/>
    <row r="392" ht="14.4"/>
    <row r="393" ht="14.4"/>
    <row r="394" ht="14.4"/>
    <row r="395" ht="14.4"/>
    <row r="396" ht="14.4"/>
    <row r="397" ht="14.4"/>
    <row r="398" ht="14.4"/>
    <row r="399" ht="14.4"/>
    <row r="400" ht="14.4"/>
    <row r="401" ht="14.4"/>
    <row r="402" ht="14.4"/>
    <row r="403" ht="14.4"/>
    <row r="404" ht="14.4"/>
    <row r="405" ht="14.4"/>
    <row r="406" ht="14.4"/>
    <row r="407" ht="14.4"/>
    <row r="408" ht="14.4"/>
    <row r="409" ht="14.4"/>
    <row r="410" ht="14.4"/>
    <row r="411" ht="14.4"/>
    <row r="412" ht="14.4"/>
    <row r="413" ht="14.4"/>
    <row r="414" ht="14.4"/>
    <row r="415" ht="14.4"/>
    <row r="416" ht="14.4"/>
    <row r="417" ht="14.4"/>
    <row r="418" ht="14.4"/>
    <row r="419" ht="14.4"/>
    <row r="420" ht="14.4"/>
    <row r="421" ht="14.4"/>
    <row r="422" ht="14.4"/>
    <row r="423" ht="14.4"/>
    <row r="424" ht="14.4"/>
    <row r="425" ht="14.4"/>
    <row r="426" ht="14.4"/>
    <row r="427" ht="14.4"/>
    <row r="428" ht="14.4"/>
    <row r="429" ht="14.4"/>
    <row r="430" ht="14.4"/>
    <row r="431" ht="14.4"/>
    <row r="432" ht="14.4"/>
    <row r="433" ht="14.4"/>
    <row r="434" ht="14.4"/>
    <row r="435" ht="14.4"/>
    <row r="436" ht="14.4"/>
    <row r="437" ht="14.4"/>
    <row r="438" ht="14.4"/>
    <row r="439" ht="14.4"/>
    <row r="440" ht="14.4"/>
    <row r="441" ht="14.4"/>
    <row r="442" ht="14.4"/>
    <row r="443" ht="14.4"/>
    <row r="444" ht="14.4"/>
    <row r="445" ht="14.4"/>
    <row r="446" ht="14.4"/>
    <row r="447" ht="14.4"/>
    <row r="448" ht="14.4"/>
    <row r="449" ht="14.4"/>
    <row r="450" ht="14.4"/>
    <row r="451" ht="14.4"/>
    <row r="452" ht="14.4"/>
    <row r="453" ht="14.4"/>
    <row r="454" ht="14.4"/>
    <row r="455" ht="14.4"/>
    <row r="456" ht="14.4"/>
    <row r="457" ht="14.4"/>
    <row r="458" ht="14.4"/>
    <row r="459" ht="14.4"/>
    <row r="460" ht="14.4"/>
    <row r="461" ht="14.4"/>
    <row r="462" ht="14.4"/>
    <row r="463" ht="14.4"/>
    <row r="464" ht="14.4"/>
    <row r="465" ht="14.4"/>
    <row r="466" ht="14.4"/>
    <row r="467" ht="14.4"/>
    <row r="468" ht="14.4"/>
    <row r="469" ht="14.4"/>
    <row r="470" ht="14.4"/>
    <row r="471" ht="14.4"/>
    <row r="472" ht="14.4"/>
    <row r="473" ht="14.4"/>
    <row r="474" ht="14.4"/>
    <row r="475" ht="14.4"/>
    <row r="476" ht="14.4"/>
    <row r="477" ht="14.4"/>
    <row r="478" ht="14.4"/>
    <row r="479" ht="14.4"/>
    <row r="480" ht="14.4"/>
    <row r="481" ht="14.4"/>
    <row r="482" ht="14.4"/>
    <row r="483" ht="14.4"/>
    <row r="484" ht="14.4"/>
    <row r="485" ht="14.4"/>
    <row r="486" ht="14.4"/>
    <row r="487" ht="14.4"/>
    <row r="488" ht="14.4"/>
    <row r="489" ht="14.4"/>
    <row r="490" ht="14.4"/>
    <row r="491" ht="14.4"/>
    <row r="492" ht="14.4"/>
    <row r="493" ht="14.4"/>
    <row r="494" ht="14.4"/>
    <row r="495" ht="14.4"/>
    <row r="496" ht="14.4"/>
    <row r="497" ht="14.4"/>
    <row r="498" ht="14.4"/>
    <row r="499" ht="14.4"/>
    <row r="500" ht="14.4"/>
    <row r="501" ht="14.4"/>
    <row r="502" ht="14.4"/>
    <row r="503" ht="14.4"/>
    <row r="504" ht="14.4"/>
    <row r="505" ht="14.4"/>
    <row r="506" ht="14.4"/>
    <row r="507" ht="14.4"/>
    <row r="508" ht="14.4"/>
    <row r="509" ht="14.4"/>
    <row r="510" ht="14.4"/>
    <row r="511" ht="14.4"/>
    <row r="512" ht="14.4"/>
    <row r="513" ht="14.4"/>
    <row r="514" ht="14.4"/>
    <row r="515" ht="14.4"/>
    <row r="516" ht="14.4"/>
    <row r="517" ht="14.4"/>
    <row r="518" ht="14.4"/>
    <row r="519" ht="14.4"/>
    <row r="520" ht="14.4"/>
    <row r="521" ht="14.4"/>
    <row r="522" ht="14.4"/>
    <row r="523" ht="14.4"/>
    <row r="524" ht="14.4"/>
    <row r="525" ht="14.4"/>
    <row r="526" ht="14.4"/>
    <row r="527" ht="14.4"/>
    <row r="528" ht="14.4"/>
    <row r="529" ht="14.4"/>
    <row r="530" ht="14.4"/>
    <row r="531" ht="14.4"/>
    <row r="532" ht="14.4"/>
    <row r="533" ht="14.4"/>
    <row r="534" ht="14.4"/>
    <row r="535" ht="14.4"/>
    <row r="536" ht="14.4"/>
    <row r="537" ht="14.4"/>
    <row r="538" ht="14.4"/>
    <row r="539" ht="14.4"/>
    <row r="540" ht="14.4"/>
    <row r="541" ht="14.4"/>
    <row r="542" ht="14.4"/>
    <row r="543" ht="14.4"/>
    <row r="544" ht="14.4"/>
    <row r="545" ht="14.4"/>
    <row r="546" ht="14.4"/>
    <row r="547" ht="14.4"/>
    <row r="548" ht="14.4"/>
    <row r="549" ht="14.4"/>
    <row r="550" ht="14.4"/>
    <row r="551" ht="14.4"/>
    <row r="552" ht="14.4"/>
    <row r="553" ht="14.4"/>
    <row r="554" ht="14.4"/>
    <row r="555" ht="14.4"/>
    <row r="556" ht="14.4"/>
    <row r="557" ht="14.4"/>
    <row r="558" ht="14.4"/>
    <row r="559" ht="14.4"/>
    <row r="560" ht="14.4"/>
    <row r="561" ht="14.4"/>
    <row r="562" ht="14.4"/>
    <row r="563" ht="14.4"/>
    <row r="564" ht="14.4"/>
    <row r="565" ht="14.4"/>
    <row r="566" ht="14.4"/>
    <row r="567" ht="14.4"/>
    <row r="568" ht="14.4"/>
    <row r="569" ht="14.4"/>
    <row r="570" ht="14.4"/>
    <row r="571" ht="14.4"/>
    <row r="572" ht="14.4"/>
    <row r="573" ht="14.4"/>
    <row r="574" ht="14.4"/>
    <row r="575" ht="14.4"/>
    <row r="576" ht="14.4"/>
    <row r="577" ht="14.4"/>
    <row r="578" ht="14.4"/>
    <row r="579" ht="14.4"/>
    <row r="580" ht="14.4"/>
    <row r="581" ht="14.4"/>
    <row r="582" ht="14.4"/>
    <row r="583" ht="14.4"/>
    <row r="584" ht="14.4"/>
    <row r="585" ht="14.4"/>
    <row r="586" ht="14.4"/>
    <row r="587" ht="14.4"/>
    <row r="588" ht="14.4"/>
    <row r="589" ht="14.4"/>
    <row r="590" ht="14.4"/>
    <row r="591" ht="14.4"/>
    <row r="592" ht="14.4"/>
    <row r="593" ht="14.4"/>
    <row r="594" ht="14.4"/>
    <row r="595" ht="14.4"/>
    <row r="596" ht="14.4"/>
    <row r="597" ht="14.4"/>
    <row r="598" ht="14.4"/>
    <row r="599" ht="14.4"/>
    <row r="600" ht="14.4"/>
    <row r="601" ht="14.4"/>
    <row r="602" ht="14.4"/>
    <row r="603" ht="14.4"/>
    <row r="604" ht="14.4"/>
    <row r="605" ht="14.4"/>
    <row r="606" ht="14.4"/>
    <row r="607" ht="14.4"/>
    <row r="608" ht="14.4"/>
    <row r="609" ht="14.4"/>
    <row r="610" ht="14.4"/>
    <row r="611" ht="14.4"/>
    <row r="612" ht="14.4"/>
    <row r="613" ht="14.4"/>
    <row r="614" ht="14.4"/>
    <row r="615" ht="14.4"/>
    <row r="616" ht="14.4"/>
    <row r="617" ht="14.4"/>
    <row r="618" ht="14.4"/>
    <row r="619" ht="14.4"/>
    <row r="620" ht="14.4"/>
    <row r="621" ht="14.4"/>
    <row r="622" ht="14.4"/>
    <row r="623" ht="14.4"/>
    <row r="624" ht="14.4"/>
    <row r="625" ht="14.4"/>
    <row r="626" ht="14.4"/>
    <row r="627" ht="14.4"/>
    <row r="628" ht="14.4"/>
    <row r="629" ht="14.4"/>
    <row r="630" ht="14.4"/>
    <row r="631" ht="14.4"/>
    <row r="632" ht="14.4"/>
    <row r="633" ht="14.4"/>
    <row r="634" ht="14.4"/>
    <row r="635" ht="14.4"/>
    <row r="636" ht="14.4"/>
    <row r="637" ht="14.4"/>
    <row r="638" ht="14.4"/>
    <row r="639" ht="14.4"/>
    <row r="640" ht="14.4"/>
    <row r="641" ht="14.4"/>
    <row r="642" ht="14.4"/>
    <row r="643" ht="14.4"/>
    <row r="644" ht="14.4"/>
    <row r="645" ht="14.4"/>
    <row r="646" ht="14.4"/>
    <row r="647" ht="14.4"/>
    <row r="648" ht="14.4"/>
    <row r="649" ht="14.4"/>
    <row r="650" ht="14.4"/>
    <row r="651" ht="14.4"/>
    <row r="652" ht="14.4"/>
    <row r="653" ht="14.4"/>
    <row r="654" ht="14.4"/>
    <row r="655" ht="14.4"/>
    <row r="656" ht="14.4"/>
    <row r="657" ht="14.4"/>
    <row r="658" ht="14.4"/>
    <row r="659" ht="14.4"/>
    <row r="660" ht="14.4"/>
    <row r="661" ht="14.4"/>
    <row r="662" ht="14.4"/>
    <row r="663" ht="14.4"/>
    <row r="664" ht="14.4"/>
    <row r="665" ht="14.4"/>
    <row r="666" ht="14.4"/>
    <row r="667" ht="14.4"/>
    <row r="668" ht="14.4"/>
    <row r="669" ht="14.4"/>
    <row r="670" ht="14.4"/>
    <row r="671" ht="14.4"/>
    <row r="672" ht="14.4"/>
    <row r="673" ht="14.4"/>
    <row r="674" ht="14.4"/>
    <row r="675" ht="14.4"/>
    <row r="676" ht="14.4"/>
    <row r="677" ht="14.4"/>
    <row r="678" ht="14.4"/>
    <row r="679" ht="14.4"/>
    <row r="680" ht="14.4"/>
    <row r="681" ht="14.4"/>
    <row r="682" ht="14.4"/>
    <row r="683" ht="14.4"/>
    <row r="684" ht="14.4"/>
    <row r="685" ht="14.4"/>
    <row r="686" ht="14.4"/>
    <row r="687" ht="14.4"/>
    <row r="688" ht="14.4"/>
    <row r="689" ht="14.4"/>
    <row r="690" ht="14.4"/>
    <row r="691" ht="14.4"/>
    <row r="692" ht="14.4"/>
    <row r="693" ht="14.4"/>
    <row r="694" ht="14.4"/>
    <row r="695" ht="14.4"/>
    <row r="696" ht="14.4"/>
    <row r="697" ht="14.4"/>
    <row r="698" ht="14.4"/>
    <row r="699" ht="14.4"/>
    <row r="700" ht="14.4"/>
    <row r="701" ht="14.4"/>
    <row r="702" ht="14.4"/>
    <row r="703" ht="14.4"/>
    <row r="704" ht="14.4"/>
    <row r="705" ht="14.4"/>
    <row r="706" ht="14.4"/>
    <row r="707" ht="14.4"/>
    <row r="708" ht="14.4"/>
    <row r="709" ht="14.4"/>
    <row r="710" ht="14.4"/>
    <row r="711" ht="14.4"/>
    <row r="712" ht="14.4"/>
    <row r="713" ht="14.4"/>
    <row r="714" ht="14.4"/>
    <row r="715" ht="14.4"/>
    <row r="716" ht="14.4"/>
    <row r="717" ht="14.4"/>
    <row r="718" ht="14.4"/>
    <row r="719" ht="14.4"/>
    <row r="720" ht="14.4"/>
    <row r="721" ht="14.4"/>
    <row r="722" ht="14.4"/>
    <row r="723" ht="14.4"/>
    <row r="724" ht="14.4"/>
    <row r="725" ht="14.4"/>
    <row r="726" ht="14.4"/>
    <row r="727" ht="14.4"/>
    <row r="728" ht="14.4"/>
    <row r="729" ht="14.4"/>
    <row r="730" ht="14.4"/>
    <row r="731" ht="14.4"/>
    <row r="732" ht="14.4"/>
    <row r="733" ht="14.4"/>
    <row r="734" ht="14.4"/>
    <row r="735" ht="14.4"/>
    <row r="736" ht="14.4"/>
    <row r="737" ht="14.4"/>
    <row r="738" ht="14.4"/>
    <row r="739" ht="14.4"/>
    <row r="740" ht="14.4"/>
    <row r="741" ht="14.4"/>
    <row r="742" ht="14.4"/>
    <row r="743" ht="14.4"/>
    <row r="744" ht="14.4"/>
    <row r="745" ht="14.4"/>
    <row r="746" ht="14.4"/>
    <row r="747" ht="14.4"/>
    <row r="748" ht="14.4"/>
    <row r="749" ht="14.4"/>
    <row r="750" ht="14.4"/>
    <row r="751" ht="14.4"/>
    <row r="752" ht="14.4"/>
    <row r="753" ht="14.4"/>
    <row r="754" ht="14.4"/>
    <row r="755" ht="14.4"/>
    <row r="756" ht="14.4"/>
    <row r="757" ht="14.4"/>
    <row r="758" ht="14.4"/>
    <row r="759" ht="14.4"/>
    <row r="760" ht="14.4"/>
    <row r="761" ht="14.4"/>
    <row r="762" ht="14.4"/>
    <row r="763" ht="14.4"/>
    <row r="764" ht="14.4"/>
    <row r="765" ht="14.4"/>
    <row r="766" ht="14.4"/>
    <row r="767" ht="14.4"/>
    <row r="768" ht="14.4"/>
    <row r="769" ht="14.4"/>
    <row r="770" ht="14.4"/>
    <row r="771" ht="14.4"/>
    <row r="772" ht="14.4"/>
    <row r="773" ht="14.4"/>
    <row r="774" ht="14.4"/>
    <row r="775" ht="14.4"/>
    <row r="776" ht="14.4"/>
    <row r="777" ht="14.4"/>
    <row r="778" ht="14.4"/>
    <row r="779" ht="14.4"/>
    <row r="780" ht="14.4"/>
    <row r="781" ht="14.4"/>
    <row r="782" ht="14.4"/>
    <row r="783" ht="14.4"/>
    <row r="784" ht="14.4"/>
    <row r="785" ht="14.4"/>
    <row r="786" ht="14.4"/>
    <row r="787" ht="14.4"/>
    <row r="788" ht="14.4"/>
    <row r="789" ht="14.4"/>
    <row r="790" ht="14.4"/>
    <row r="791" ht="14.4"/>
    <row r="792" ht="14.4"/>
    <row r="793" ht="14.4"/>
    <row r="794" ht="14.4"/>
    <row r="795" ht="14.4"/>
    <row r="796" ht="14.4"/>
    <row r="797" ht="14.4"/>
    <row r="798" ht="14.4"/>
    <row r="799" ht="14.4"/>
    <row r="800" ht="14.4"/>
    <row r="801" ht="14.4"/>
    <row r="802" ht="14.4"/>
    <row r="803" ht="14.4"/>
    <row r="804" ht="14.4"/>
    <row r="805" ht="14.4"/>
    <row r="806" ht="14.4"/>
    <row r="807" ht="14.4"/>
    <row r="808" ht="14.4"/>
    <row r="809" ht="14.4"/>
    <row r="810" ht="14.4"/>
    <row r="811" ht="14.4"/>
    <row r="812" ht="14.4"/>
    <row r="813" ht="14.4"/>
    <row r="814" ht="14.4"/>
    <row r="815" ht="14.4"/>
    <row r="816" ht="14.4"/>
    <row r="817" ht="14.4"/>
    <row r="818" ht="14.4"/>
    <row r="819" ht="14.4"/>
    <row r="820" ht="14.4"/>
    <row r="821" ht="14.4"/>
    <row r="822" ht="14.4"/>
    <row r="823" ht="14.4"/>
    <row r="824" ht="14.4"/>
    <row r="825" ht="14.4"/>
    <row r="826" ht="14.4"/>
    <row r="827" ht="14.4"/>
    <row r="828" ht="14.4"/>
    <row r="829" ht="14.4"/>
    <row r="830" ht="14.4"/>
    <row r="831" ht="14.4"/>
    <row r="832" ht="14.4"/>
    <row r="833" ht="14.4"/>
    <row r="834" ht="14.4"/>
    <row r="835" ht="14.4"/>
    <row r="836" ht="14.4"/>
    <row r="837" ht="14.4"/>
    <row r="838" ht="14.4"/>
    <row r="839" ht="14.4"/>
    <row r="840" ht="14.4"/>
    <row r="841" ht="14.4"/>
    <row r="842" ht="14.4"/>
    <row r="843" ht="14.4"/>
    <row r="844" ht="14.4"/>
    <row r="845" ht="14.4"/>
    <row r="846" ht="14.4"/>
    <row r="847" ht="14.4"/>
    <row r="848" ht="14.4"/>
    <row r="849" ht="14.4"/>
    <row r="850" ht="14.4"/>
    <row r="851" ht="14.4"/>
    <row r="852" ht="14.4"/>
    <row r="853" ht="14.4"/>
    <row r="854" ht="14.4"/>
    <row r="855" ht="14.4"/>
    <row r="856" ht="14.4"/>
    <row r="857" ht="14.4"/>
    <row r="858" ht="14.4"/>
    <row r="859" ht="14.4"/>
    <row r="860" ht="14.4"/>
    <row r="861" ht="14.4"/>
    <row r="862" ht="14.4"/>
    <row r="863" ht="14.4"/>
    <row r="864" ht="14.4"/>
    <row r="865" ht="14.4"/>
    <row r="866" ht="14.4"/>
    <row r="867" ht="14.4"/>
    <row r="868" ht="14.4"/>
    <row r="869" ht="14.4"/>
    <row r="870" ht="14.4"/>
    <row r="871" ht="14.4"/>
    <row r="872" ht="14.4"/>
    <row r="873" ht="14.4"/>
    <row r="874" ht="14.4"/>
    <row r="875" ht="14.4"/>
    <row r="876" ht="14.4"/>
    <row r="877" ht="14.4"/>
    <row r="878" ht="14.4"/>
    <row r="879" ht="14.4"/>
    <row r="880" ht="14.4"/>
    <row r="881" ht="14.4"/>
    <row r="882" ht="14.4"/>
    <row r="883" ht="14.4"/>
    <row r="884" ht="14.4"/>
    <row r="885" ht="14.4"/>
    <row r="886" ht="14.4"/>
    <row r="887" ht="14.4"/>
    <row r="888" ht="14.4"/>
    <row r="889" ht="14.4"/>
    <row r="890" ht="14.4"/>
    <row r="891" ht="14.4"/>
    <row r="892" ht="14.4"/>
    <row r="893" ht="14.4"/>
    <row r="894" ht="14.4"/>
    <row r="895" ht="14.4"/>
    <row r="896" ht="14.4"/>
    <row r="897" ht="14.4"/>
    <row r="898" ht="14.4"/>
    <row r="899" ht="14.4"/>
    <row r="900" ht="14.4"/>
    <row r="901" ht="14.4"/>
    <row r="902" ht="14.4"/>
    <row r="903" ht="14.4"/>
    <row r="904" ht="14.4"/>
    <row r="905" ht="14.4"/>
    <row r="906" ht="14.4"/>
    <row r="907" ht="14.4"/>
    <row r="908" ht="14.4"/>
    <row r="909" ht="14.4"/>
    <row r="910" ht="14.4"/>
    <row r="911" ht="14.4"/>
    <row r="912" ht="14.4"/>
    <row r="913" ht="14.4"/>
    <row r="914" ht="14.4"/>
    <row r="915" ht="14.4"/>
    <row r="916" ht="14.4"/>
    <row r="917" ht="14.4"/>
    <row r="918" ht="14.4"/>
    <row r="919" ht="14.4"/>
    <row r="920" ht="14.4"/>
    <row r="921" ht="14.4"/>
    <row r="922" ht="14.4"/>
    <row r="923" ht="14.4"/>
    <row r="924" ht="14.4"/>
    <row r="925" ht="14.4"/>
    <row r="926" ht="14.4"/>
    <row r="927" ht="14.4"/>
    <row r="928" ht="14.4"/>
    <row r="929" ht="14.4"/>
    <row r="930" ht="14.4"/>
    <row r="931" ht="14.4"/>
    <row r="932" ht="14.4"/>
    <row r="933" ht="14.4"/>
    <row r="934" ht="14.4"/>
    <row r="935" ht="14.4"/>
    <row r="936" ht="14.4"/>
    <row r="937" ht="14.4"/>
    <row r="938" ht="14.4"/>
    <row r="939" ht="14.4"/>
    <row r="940" ht="14.4"/>
    <row r="941" ht="14.4"/>
    <row r="942" ht="14.4"/>
    <row r="943" ht="14.4"/>
    <row r="944" ht="14.4"/>
    <row r="945" ht="14.4"/>
    <row r="946" ht="14.4"/>
    <row r="947" ht="14.4"/>
    <row r="948" ht="14.4"/>
    <row r="949" ht="14.4"/>
    <row r="950" ht="14.4"/>
    <row r="951" ht="14.4"/>
    <row r="952" ht="14.4"/>
    <row r="953" ht="14.4"/>
    <row r="954" ht="14.4"/>
    <row r="955" ht="14.4"/>
    <row r="956" ht="14.4"/>
    <row r="957" ht="14.4"/>
    <row r="958" ht="14.4"/>
    <row r="959" ht="14.4"/>
    <row r="960" ht="14.4"/>
    <row r="961" ht="14.4"/>
    <row r="962" ht="14.4"/>
    <row r="963" ht="14.4"/>
    <row r="964" ht="14.4"/>
    <row r="965" ht="14.4"/>
    <row r="966" ht="14.4"/>
    <row r="967" ht="14.4"/>
    <row r="968" ht="14.4"/>
    <row r="969" ht="14.4"/>
    <row r="970" ht="14.4"/>
    <row r="971" ht="14.4"/>
    <row r="972" ht="14.4"/>
    <row r="973" ht="14.4"/>
    <row r="974" ht="14.4"/>
    <row r="975" ht="14.4"/>
    <row r="976" ht="14.4"/>
    <row r="977" ht="14.4"/>
    <row r="978" ht="14.4"/>
    <row r="979" ht="14.4"/>
    <row r="980" ht="14.4"/>
    <row r="981" ht="14.4"/>
    <row r="982" ht="14.4"/>
    <row r="983" ht="14.4"/>
    <row r="984" ht="14.4"/>
    <row r="985" ht="14.4"/>
    <row r="986" ht="14.4"/>
    <row r="987" ht="14.4"/>
    <row r="988" ht="14.4"/>
    <row r="989" ht="14.4"/>
    <row r="990" ht="14.4"/>
    <row r="991" ht="14.4"/>
    <row r="992" ht="14.4"/>
    <row r="993" ht="14.4"/>
    <row r="994" ht="14.4"/>
    <row r="995" ht="14.4"/>
    <row r="996" ht="14.4"/>
    <row r="997" ht="14.4"/>
    <row r="998" ht="14.4"/>
    <row r="999" ht="14.4"/>
    <row r="1000" ht="14.4"/>
    <row r="1001" ht="14.4"/>
    <row r="1002" ht="14.4"/>
    <row r="1003" ht="14.4"/>
    <row r="1004" ht="14.4"/>
    <row r="1005" ht="14.4"/>
    <row r="1006" ht="14.4"/>
    <row r="1007" ht="14.4"/>
    <row r="1008" ht="14.4"/>
    <row r="1009" ht="14.4"/>
    <row r="1010" ht="14.4"/>
    <row r="1011" ht="14.4"/>
    <row r="1012" ht="14.4"/>
    <row r="1013" ht="14.4"/>
    <row r="1014" ht="14.4"/>
    <row r="1015" ht="14.4"/>
    <row r="1016" ht="14.4"/>
    <row r="1017" ht="14.4"/>
    <row r="1018" ht="14.4"/>
    <row r="1019" ht="14.4"/>
    <row r="1020" ht="14.4"/>
    <row r="1021" ht="14.4"/>
    <row r="1022" ht="14.4"/>
    <row r="1023" ht="14.4"/>
    <row r="1024" ht="14.4"/>
    <row r="1025" ht="14.4"/>
    <row r="1026" ht="14.4"/>
    <row r="1027" ht="14.4"/>
    <row r="1028" ht="14.4"/>
    <row r="1029" ht="14.4"/>
    <row r="1030" ht="14.4"/>
    <row r="1031" ht="14.4"/>
    <row r="1032" ht="14.4"/>
    <row r="1033" ht="14.4"/>
    <row r="1034" ht="14.4"/>
    <row r="1035" ht="14.4"/>
    <row r="1036" ht="14.4"/>
    <row r="1037" ht="14.4"/>
    <row r="1038" ht="14.4"/>
    <row r="1039" ht="14.4"/>
    <row r="1040" ht="14.4"/>
    <row r="1041" ht="14.4"/>
    <row r="1042" ht="14.4"/>
    <row r="1043" ht="14.4"/>
    <row r="1044" ht="14.4"/>
    <row r="1045" ht="14.4"/>
    <row r="1046" ht="14.4"/>
    <row r="1047" ht="14.4"/>
    <row r="1048" ht="14.4"/>
    <row r="1049" ht="14.4"/>
    <row r="1050" ht="14.4"/>
    <row r="1051" ht="14.4"/>
    <row r="1052" ht="14.4"/>
    <row r="1053" ht="14.4"/>
    <row r="1054" ht="14.4"/>
    <row r="1055" ht="14.4"/>
    <row r="1056" ht="14.4"/>
    <row r="1057" ht="14.4"/>
    <row r="1058" ht="14.4"/>
    <row r="1059" ht="14.4"/>
    <row r="1060" ht="14.4"/>
    <row r="1061" ht="14.4"/>
    <row r="1062" ht="14.4"/>
    <row r="1063" ht="14.4"/>
    <row r="1064" ht="14.4"/>
    <row r="1065" ht="14.4"/>
    <row r="1066" ht="14.4"/>
    <row r="1067" ht="14.4"/>
    <row r="1068" ht="14.4"/>
    <row r="1069" ht="14.4"/>
    <row r="1070" ht="14.4"/>
    <row r="1071" ht="14.4"/>
    <row r="1072" ht="14.4"/>
    <row r="1073" ht="14.4"/>
    <row r="1074" ht="14.4"/>
    <row r="1075" ht="14.4"/>
    <row r="1076" ht="14.4"/>
    <row r="1077" ht="14.4"/>
    <row r="1078" ht="14.4"/>
    <row r="1079" ht="14.4"/>
    <row r="1080" ht="14.4"/>
    <row r="1081" ht="14.4"/>
    <row r="1082" ht="14.4"/>
    <row r="1083" ht="14.4"/>
    <row r="1084" ht="14.4"/>
    <row r="1085" ht="14.4"/>
    <row r="1086" ht="14.4"/>
    <row r="1087" ht="14.4"/>
    <row r="1088" ht="14.4"/>
    <row r="1089" ht="14.4"/>
    <row r="1090" ht="14.4"/>
    <row r="1091" ht="14.4"/>
    <row r="1092" ht="14.4"/>
    <row r="1093" ht="14.4"/>
    <row r="1094" ht="14.4"/>
    <row r="1095" ht="14.4"/>
    <row r="1096" ht="14.4"/>
    <row r="1097" ht="14.4"/>
    <row r="1098" ht="14.4"/>
    <row r="1099" ht="14.4"/>
    <row r="1100" ht="14.4"/>
    <row r="1101" ht="14.4"/>
    <row r="1102" ht="14.4"/>
    <row r="1103" ht="14.4"/>
    <row r="1104" ht="14.4"/>
    <row r="1105" ht="14.4"/>
    <row r="1106" ht="14.4"/>
    <row r="1107" ht="14.4"/>
    <row r="1108" ht="14.4"/>
    <row r="1109" ht="14.4"/>
    <row r="1110" ht="14.4"/>
    <row r="1111" ht="14.4"/>
    <row r="1112" ht="14.4"/>
    <row r="1113" ht="14.4"/>
    <row r="1114" ht="14.4"/>
    <row r="1115" ht="14.4"/>
    <row r="1116" ht="14.4"/>
    <row r="1117" ht="14.4"/>
    <row r="1118" ht="14.4"/>
    <row r="1119" ht="14.4"/>
    <row r="1120" ht="14.4"/>
    <row r="1121" ht="14.4"/>
    <row r="1122" ht="14.4"/>
    <row r="1123" ht="14.4"/>
    <row r="1124" ht="14.4"/>
    <row r="1125" ht="14.4"/>
    <row r="1126" ht="14.4"/>
    <row r="1127" ht="14.4"/>
    <row r="1128" ht="14.4"/>
    <row r="1129" ht="14.4"/>
    <row r="1130" ht="14.4"/>
    <row r="1131" ht="14.4"/>
    <row r="1132" ht="14.4"/>
    <row r="1133" ht="14.4"/>
    <row r="1134" ht="14.4"/>
    <row r="1135" ht="14.4"/>
    <row r="1136" ht="14.4"/>
    <row r="1137" ht="14.4"/>
    <row r="1138" ht="14.4"/>
    <row r="1139" ht="14.4"/>
    <row r="1140" ht="14.4"/>
    <row r="1141" ht="14.4"/>
    <row r="1142" ht="14.4"/>
    <row r="1143" ht="14.4"/>
    <row r="1144" ht="14.4"/>
    <row r="1145" ht="14.4"/>
    <row r="1146" ht="14.4"/>
    <row r="1147" ht="14.4"/>
    <row r="1148" ht="14.4"/>
    <row r="1149" ht="14.4"/>
    <row r="1150" ht="14.4"/>
    <row r="1151" ht="14.4"/>
    <row r="1152" ht="14.4"/>
    <row r="1153" ht="14.4"/>
    <row r="1154" ht="14.4"/>
    <row r="1155" ht="14.4"/>
    <row r="1156" ht="14.4"/>
    <row r="1157" ht="14.4"/>
    <row r="1158" ht="14.4"/>
    <row r="1159" ht="14.4"/>
    <row r="1160" ht="14.4"/>
    <row r="1161" ht="14.4"/>
    <row r="1162" ht="14.4"/>
    <row r="1163" ht="14.4"/>
    <row r="1164" ht="14.4"/>
    <row r="1165" ht="14.4"/>
    <row r="1166" ht="14.4"/>
    <row r="1167" ht="14.4"/>
    <row r="1168" ht="14.4"/>
    <row r="1169" ht="14.4"/>
    <row r="1170" ht="14.4"/>
    <row r="1171" ht="14.4"/>
    <row r="1172" ht="14.4"/>
    <row r="1173" ht="14.4"/>
    <row r="1174" ht="14.4"/>
    <row r="1175" ht="14.4"/>
    <row r="1176" ht="14.4"/>
    <row r="1177" ht="14.4"/>
    <row r="1178" ht="14.4"/>
    <row r="1179" ht="14.4"/>
    <row r="1180" ht="14.4"/>
    <row r="1181" ht="14.4"/>
    <row r="1182" ht="14.4"/>
    <row r="1183" ht="14.4"/>
    <row r="1184" ht="14.4"/>
    <row r="1185" ht="14.4"/>
    <row r="1186" ht="14.4"/>
    <row r="1187" ht="14.4"/>
    <row r="1188" ht="14.4"/>
    <row r="1189" ht="14.4"/>
    <row r="1190" ht="14.4"/>
    <row r="1191" ht="14.4"/>
    <row r="1192" ht="14.4"/>
    <row r="1193" ht="14.4"/>
    <row r="1194" ht="14.4"/>
    <row r="1195" ht="14.4"/>
    <row r="1196" ht="14.4"/>
    <row r="1197" ht="14.4"/>
    <row r="1198" ht="14.4"/>
    <row r="1199" ht="14.4"/>
    <row r="1200" ht="14.4"/>
    <row r="1201" ht="14.4"/>
    <row r="1202" ht="14.4"/>
    <row r="1203" ht="14.4"/>
    <row r="1204" ht="14.4"/>
  </sheetData>
  <autoFilter ref="A2:M70" xr:uid="{00000000-0009-0000-0000-000006000000}"/>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M1204"/>
  <sheetViews>
    <sheetView showGridLines="0" workbookViewId="0">
      <pane ySplit="2" topLeftCell="A3" activePane="bottomLeft" state="frozen"/>
      <selection pane="bottomLeft" activeCell="B4" sqref="B4"/>
    </sheetView>
  </sheetViews>
  <sheetFormatPr baseColWidth="10" defaultColWidth="14.44140625" defaultRowHeight="15" customHeight="1"/>
  <cols>
    <col min="1" max="1" width="31.33203125" customWidth="1"/>
    <col min="2" max="2" width="18.5546875" customWidth="1"/>
    <col min="3" max="3" width="22.5546875" customWidth="1"/>
    <col min="4" max="4" width="32.88671875" customWidth="1"/>
    <col min="5" max="5" width="66.6640625" customWidth="1"/>
    <col min="6" max="6" width="74.44140625" customWidth="1"/>
    <col min="7" max="7" width="13.5546875" customWidth="1"/>
    <col min="8" max="8" width="24.44140625" customWidth="1"/>
    <col min="9" max="9" width="60.6640625" customWidth="1"/>
    <col min="10" max="10" width="32.109375" customWidth="1"/>
    <col min="11" max="11" width="28.109375" customWidth="1"/>
    <col min="12" max="12" width="30.44140625" customWidth="1"/>
    <col min="13" max="13" width="27" customWidth="1"/>
    <col min="14" max="14" width="23.88671875" customWidth="1"/>
    <col min="15" max="18" width="47.6640625" customWidth="1"/>
  </cols>
  <sheetData>
    <row r="1" spans="1:13" ht="31.2">
      <c r="A1" s="47" t="s">
        <v>92</v>
      </c>
      <c r="B1" s="48" t="s">
        <v>93</v>
      </c>
      <c r="C1" s="48" t="s">
        <v>94</v>
      </c>
      <c r="D1" s="48" t="s">
        <v>156</v>
      </c>
      <c r="E1" s="48" t="s">
        <v>159</v>
      </c>
      <c r="F1" s="48" t="s">
        <v>160</v>
      </c>
      <c r="G1" s="48" t="s">
        <v>161</v>
      </c>
      <c r="H1" s="48" t="s">
        <v>162</v>
      </c>
      <c r="I1" s="48" t="s">
        <v>163</v>
      </c>
      <c r="J1" s="48" t="s">
        <v>164</v>
      </c>
      <c r="K1" s="48" t="s">
        <v>165</v>
      </c>
      <c r="L1" s="50" t="s">
        <v>166</v>
      </c>
      <c r="M1" s="50" t="s">
        <v>167</v>
      </c>
    </row>
    <row r="2" spans="1:13" ht="62.4">
      <c r="A2" s="52" t="s">
        <v>112</v>
      </c>
      <c r="B2" s="52" t="s">
        <v>113</v>
      </c>
      <c r="C2" s="52" t="s">
        <v>168</v>
      </c>
      <c r="D2" s="53" t="s">
        <v>169</v>
      </c>
      <c r="E2" s="53" t="s">
        <v>170</v>
      </c>
      <c r="F2" s="53" t="s">
        <v>171</v>
      </c>
      <c r="G2" s="53" t="s">
        <v>172</v>
      </c>
      <c r="H2" s="53" t="s">
        <v>173</v>
      </c>
      <c r="I2" s="53" t="s">
        <v>174</v>
      </c>
      <c r="J2" s="53" t="s">
        <v>175</v>
      </c>
      <c r="K2" s="53" t="s">
        <v>176</v>
      </c>
      <c r="L2" s="53" t="s">
        <v>177</v>
      </c>
      <c r="M2" s="53" t="s">
        <v>176</v>
      </c>
    </row>
    <row r="3" spans="1:13" ht="14.4">
      <c r="A3" s="61" t="s">
        <v>128</v>
      </c>
      <c r="B3" s="56" t="s">
        <v>129</v>
      </c>
      <c r="C3" s="57" t="s">
        <v>142</v>
      </c>
      <c r="D3" s="58" t="s">
        <v>178</v>
      </c>
      <c r="E3" s="58" t="str">
        <f t="shared" ref="E3:E72" si="0">UPPER(F3)</f>
        <v>FECHA DE PROCESAMIENTO DE LA TABLA (DÍA ACTUAL) QUE CONTIENE DATA AL CIERRE DEL DÍA ANTERIOR</v>
      </c>
      <c r="F3" s="58" t="s">
        <v>470</v>
      </c>
      <c r="G3" s="60" t="s">
        <v>135</v>
      </c>
      <c r="H3" s="60" t="s">
        <v>180</v>
      </c>
      <c r="I3" s="58" t="s">
        <v>181</v>
      </c>
      <c r="J3" s="61" t="s">
        <v>135</v>
      </c>
      <c r="K3" s="60" t="s">
        <v>135</v>
      </c>
      <c r="L3" s="60" t="s">
        <v>182</v>
      </c>
      <c r="M3" s="62" t="s">
        <v>135</v>
      </c>
    </row>
    <row r="4" spans="1:13" ht="14.4">
      <c r="A4" s="61" t="s">
        <v>128</v>
      </c>
      <c r="B4" s="56" t="s">
        <v>129</v>
      </c>
      <c r="C4" s="57" t="s">
        <v>142</v>
      </c>
      <c r="D4" s="63" t="s">
        <v>183</v>
      </c>
      <c r="E4" s="58" t="str">
        <f t="shared" si="0"/>
        <v>CÓDIGO DEL COMERCIO ADAPTADO A LOS 7 PRIMEROS DÍGITOS</v>
      </c>
      <c r="F4" s="63" t="s">
        <v>471</v>
      </c>
      <c r="G4" s="62" t="s">
        <v>135</v>
      </c>
      <c r="H4" s="65" t="s">
        <v>186</v>
      </c>
      <c r="I4" s="63">
        <v>5680791</v>
      </c>
      <c r="J4" s="65" t="s">
        <v>135</v>
      </c>
      <c r="K4" s="62" t="s">
        <v>182</v>
      </c>
      <c r="L4" s="62" t="s">
        <v>135</v>
      </c>
      <c r="M4" s="62" t="s">
        <v>182</v>
      </c>
    </row>
    <row r="5" spans="1:13" ht="14.4">
      <c r="A5" s="61" t="s">
        <v>128</v>
      </c>
      <c r="B5" s="56" t="s">
        <v>129</v>
      </c>
      <c r="C5" s="57" t="s">
        <v>142</v>
      </c>
      <c r="D5" s="63" t="s">
        <v>472</v>
      </c>
      <c r="E5" s="58" t="str">
        <f t="shared" si="0"/>
        <v>CÓDIGO DEL COMERCIO ORIGINAL PROVENIENTE DEL MCCENTER</v>
      </c>
      <c r="F5" s="63" t="s">
        <v>473</v>
      </c>
      <c r="G5" s="62" t="s">
        <v>135</v>
      </c>
      <c r="H5" s="65" t="s">
        <v>186</v>
      </c>
      <c r="I5" s="63">
        <v>568079190000</v>
      </c>
      <c r="J5" s="65" t="s">
        <v>135</v>
      </c>
      <c r="K5" s="62" t="s">
        <v>182</v>
      </c>
      <c r="L5" s="62" t="s">
        <v>135</v>
      </c>
      <c r="M5" s="62" t="s">
        <v>135</v>
      </c>
    </row>
    <row r="6" spans="1:13" ht="14.4">
      <c r="A6" s="65" t="s">
        <v>128</v>
      </c>
      <c r="B6" s="56" t="s">
        <v>129</v>
      </c>
      <c r="C6" s="57" t="s">
        <v>142</v>
      </c>
      <c r="D6" s="63" t="s">
        <v>187</v>
      </c>
      <c r="E6" s="58" t="str">
        <f t="shared" si="0"/>
        <v>TIPO DE ADQUIRENTE/CAJERO CORRESPONSAL</v>
      </c>
      <c r="F6" s="63" t="s">
        <v>189</v>
      </c>
      <c r="G6" s="62" t="s">
        <v>135</v>
      </c>
      <c r="H6" s="65" t="s">
        <v>186</v>
      </c>
      <c r="I6" s="63" t="s">
        <v>190</v>
      </c>
      <c r="J6" s="65" t="s">
        <v>135</v>
      </c>
      <c r="K6" s="62" t="s">
        <v>182</v>
      </c>
      <c r="L6" s="62" t="s">
        <v>135</v>
      </c>
      <c r="M6" s="62" t="s">
        <v>135</v>
      </c>
    </row>
    <row r="7" spans="1:13" ht="14.4">
      <c r="A7" s="65" t="s">
        <v>128</v>
      </c>
      <c r="B7" s="56" t="s">
        <v>129</v>
      </c>
      <c r="C7" s="57" t="s">
        <v>142</v>
      </c>
      <c r="D7" s="63" t="s">
        <v>200</v>
      </c>
      <c r="E7" s="58" t="str">
        <f t="shared" si="0"/>
        <v>CATEGORÍA DEL COMERCIO SEGÚN CLASIFICACIÓN</v>
      </c>
      <c r="F7" s="63" t="s">
        <v>202</v>
      </c>
      <c r="G7" s="62" t="s">
        <v>135</v>
      </c>
      <c r="H7" s="65" t="s">
        <v>186</v>
      </c>
      <c r="I7" s="63" t="s">
        <v>203</v>
      </c>
      <c r="J7" s="65" t="s">
        <v>135</v>
      </c>
      <c r="K7" s="62" t="s">
        <v>182</v>
      </c>
      <c r="L7" s="62" t="s">
        <v>135</v>
      </c>
      <c r="M7" s="62" t="s">
        <v>135</v>
      </c>
    </row>
    <row r="8" spans="1:13" ht="14.4">
      <c r="A8" s="65" t="s">
        <v>128</v>
      </c>
      <c r="B8" s="56" t="s">
        <v>129</v>
      </c>
      <c r="C8" s="57" t="s">
        <v>142</v>
      </c>
      <c r="D8" s="68" t="s">
        <v>207</v>
      </c>
      <c r="E8" s="58" t="str">
        <f t="shared" si="0"/>
        <v>NÚMERO DE IDENTIFICACIÓN DEL COMERCIO (RUC, DNI, CARNET DE EXTRANJERÍA)</v>
      </c>
      <c r="F8" s="63" t="s">
        <v>209</v>
      </c>
      <c r="G8" s="62" t="s">
        <v>182</v>
      </c>
      <c r="H8" s="65" t="s">
        <v>186</v>
      </c>
      <c r="I8" s="63">
        <v>10400533488</v>
      </c>
      <c r="J8" s="65" t="s">
        <v>135</v>
      </c>
      <c r="K8" s="62" t="s">
        <v>182</v>
      </c>
      <c r="L8" s="62" t="s">
        <v>135</v>
      </c>
      <c r="M8" s="62" t="s">
        <v>182</v>
      </c>
    </row>
    <row r="9" spans="1:13" ht="14.4">
      <c r="A9" s="61" t="s">
        <v>128</v>
      </c>
      <c r="B9" s="56" t="s">
        <v>129</v>
      </c>
      <c r="C9" s="57" t="s">
        <v>142</v>
      </c>
      <c r="D9" s="68" t="s">
        <v>224</v>
      </c>
      <c r="E9" s="58" t="str">
        <f t="shared" si="0"/>
        <v>TELÉFONO DEL COMERCIO</v>
      </c>
      <c r="F9" s="63" t="s">
        <v>226</v>
      </c>
      <c r="G9" s="62" t="s">
        <v>182</v>
      </c>
      <c r="H9" s="65" t="s">
        <v>227</v>
      </c>
      <c r="I9" s="63"/>
      <c r="J9" s="65" t="s">
        <v>135</v>
      </c>
      <c r="K9" s="62" t="s">
        <v>182</v>
      </c>
      <c r="L9" s="62" t="s">
        <v>135</v>
      </c>
      <c r="M9" s="62" t="s">
        <v>135</v>
      </c>
    </row>
    <row r="10" spans="1:13" ht="14.4">
      <c r="A10" s="65" t="s">
        <v>128</v>
      </c>
      <c r="B10" s="56" t="s">
        <v>129</v>
      </c>
      <c r="C10" s="57" t="s">
        <v>142</v>
      </c>
      <c r="D10" s="68" t="s">
        <v>228</v>
      </c>
      <c r="E10" s="58" t="str">
        <f t="shared" si="0"/>
        <v>INDICA EL NOMBRE DEL CONTACTO DEL COMERCIO</v>
      </c>
      <c r="F10" s="63" t="s">
        <v>230</v>
      </c>
      <c r="G10" s="62" t="s">
        <v>182</v>
      </c>
      <c r="H10" s="65" t="s">
        <v>227</v>
      </c>
      <c r="I10" s="63"/>
      <c r="J10" s="65" t="s">
        <v>135</v>
      </c>
      <c r="K10" s="62" t="s">
        <v>182</v>
      </c>
      <c r="L10" s="62" t="s">
        <v>135</v>
      </c>
      <c r="M10" s="62" t="s">
        <v>135</v>
      </c>
    </row>
    <row r="11" spans="1:13" ht="14.4">
      <c r="A11" s="65" t="s">
        <v>128</v>
      </c>
      <c r="B11" s="56" t="s">
        <v>129</v>
      </c>
      <c r="C11" s="57" t="s">
        <v>142</v>
      </c>
      <c r="D11" s="63" t="s">
        <v>231</v>
      </c>
      <c r="E11" s="58" t="str">
        <f t="shared" si="0"/>
        <v>INDICA LAS OPCIONES QUE TIENE HABILITADO EL COMERCIO</v>
      </c>
      <c r="F11" s="63" t="s">
        <v>233</v>
      </c>
      <c r="G11" s="62" t="s">
        <v>135</v>
      </c>
      <c r="H11" s="65" t="s">
        <v>186</v>
      </c>
      <c r="I11" s="63" t="s">
        <v>234</v>
      </c>
      <c r="J11" s="65" t="s">
        <v>135</v>
      </c>
      <c r="K11" s="62" t="s">
        <v>182</v>
      </c>
      <c r="L11" s="62" t="s">
        <v>135</v>
      </c>
      <c r="M11" s="62" t="s">
        <v>135</v>
      </c>
    </row>
    <row r="12" spans="1:13" ht="14.4">
      <c r="A12" s="61" t="s">
        <v>128</v>
      </c>
      <c r="B12" s="56" t="s">
        <v>129</v>
      </c>
      <c r="C12" s="57" t="s">
        <v>142</v>
      </c>
      <c r="D12" s="63" t="s">
        <v>235</v>
      </c>
      <c r="E12" s="58" t="str">
        <f t="shared" si="0"/>
        <v>INDICA LA ACTUALIZACIÓN DEL POS DEL COMERCIO</v>
      </c>
      <c r="F12" s="63" t="s">
        <v>237</v>
      </c>
      <c r="G12" s="62" t="s">
        <v>135</v>
      </c>
      <c r="H12" s="65" t="s">
        <v>186</v>
      </c>
      <c r="I12" s="63" t="s">
        <v>238</v>
      </c>
      <c r="J12" s="65" t="s">
        <v>135</v>
      </c>
      <c r="K12" s="62" t="s">
        <v>182</v>
      </c>
      <c r="L12" s="62" t="s">
        <v>135</v>
      </c>
      <c r="M12" s="62" t="s">
        <v>135</v>
      </c>
    </row>
    <row r="13" spans="1:13" ht="14.4">
      <c r="A13" s="65" t="s">
        <v>128</v>
      </c>
      <c r="B13" s="56" t="s">
        <v>129</v>
      </c>
      <c r="C13" s="57" t="s">
        <v>142</v>
      </c>
      <c r="D13" s="63" t="s">
        <v>239</v>
      </c>
      <c r="E13" s="58" t="str">
        <f t="shared" si="0"/>
        <v>CÓDIGO DE TERMINAL</v>
      </c>
      <c r="F13" s="63" t="s">
        <v>241</v>
      </c>
      <c r="G13" s="62" t="s">
        <v>135</v>
      </c>
      <c r="H13" s="65" t="s">
        <v>186</v>
      </c>
      <c r="I13" s="63">
        <v>1</v>
      </c>
      <c r="J13" s="65" t="s">
        <v>135</v>
      </c>
      <c r="K13" s="62" t="s">
        <v>182</v>
      </c>
      <c r="L13" s="62" t="s">
        <v>135</v>
      </c>
      <c r="M13" s="62" t="s">
        <v>135</v>
      </c>
    </row>
    <row r="14" spans="1:13" ht="14.4">
      <c r="A14" s="61" t="s">
        <v>128</v>
      </c>
      <c r="B14" s="56" t="s">
        <v>129</v>
      </c>
      <c r="C14" s="57" t="s">
        <v>142</v>
      </c>
      <c r="D14" s="63" t="s">
        <v>242</v>
      </c>
      <c r="E14" s="58" t="str">
        <f t="shared" si="0"/>
        <v>NÚMERO DE SERIE DEL POS (INICIAL, SOLO LOS 8 ÚLTIMOS DÍGITOS). ES LA QUE FIGURA EN EL SISTEMA MCCENTER, PUEDE SER LA SERIE CORTA, ÚLTIMOS 8 Ó LA SERIE AUTOGENERADA DEL MPOS</v>
      </c>
      <c r="F14" s="63" t="s">
        <v>244</v>
      </c>
      <c r="G14" s="62" t="s">
        <v>135</v>
      </c>
      <c r="H14" s="65" t="s">
        <v>186</v>
      </c>
      <c r="I14" s="63" t="s">
        <v>245</v>
      </c>
      <c r="J14" s="65" t="s">
        <v>135</v>
      </c>
      <c r="K14" s="62" t="s">
        <v>182</v>
      </c>
      <c r="L14" s="62" t="s">
        <v>135</v>
      </c>
      <c r="M14" s="62" t="s">
        <v>182</v>
      </c>
    </row>
    <row r="15" spans="1:13" ht="14.4">
      <c r="A15" s="65" t="s">
        <v>128</v>
      </c>
      <c r="B15" s="56" t="s">
        <v>129</v>
      </c>
      <c r="C15" s="57" t="s">
        <v>142</v>
      </c>
      <c r="D15" s="63" t="s">
        <v>246</v>
      </c>
      <c r="E15" s="58" t="str">
        <f t="shared" si="0"/>
        <v>TIPO DE CONEXIÓN DEL POS ESPECÍFICO</v>
      </c>
      <c r="F15" s="63" t="s">
        <v>248</v>
      </c>
      <c r="G15" s="62" t="s">
        <v>135</v>
      </c>
      <c r="H15" s="65" t="s">
        <v>186</v>
      </c>
      <c r="I15" s="63" t="s">
        <v>249</v>
      </c>
      <c r="J15" s="65" t="s">
        <v>135</v>
      </c>
      <c r="K15" s="62" t="s">
        <v>182</v>
      </c>
      <c r="L15" s="62" t="s">
        <v>135</v>
      </c>
      <c r="M15" s="62" t="s">
        <v>135</v>
      </c>
    </row>
    <row r="16" spans="1:13" ht="14.4">
      <c r="A16" s="61" t="s">
        <v>128</v>
      </c>
      <c r="B16" s="56" t="s">
        <v>129</v>
      </c>
      <c r="C16" s="57" t="s">
        <v>142</v>
      </c>
      <c r="D16" s="63" t="s">
        <v>250</v>
      </c>
      <c r="E16" s="58" t="str">
        <f t="shared" si="0"/>
        <v>TIPO DE CONEXIÓN DEL POS</v>
      </c>
      <c r="F16" s="63" t="s">
        <v>252</v>
      </c>
      <c r="G16" s="62" t="s">
        <v>135</v>
      </c>
      <c r="H16" s="65" t="s">
        <v>186</v>
      </c>
      <c r="I16" s="63" t="s">
        <v>253</v>
      </c>
      <c r="J16" s="65" t="s">
        <v>135</v>
      </c>
      <c r="K16" s="62" t="s">
        <v>182</v>
      </c>
      <c r="L16" s="62" t="s">
        <v>135</v>
      </c>
      <c r="M16" s="62" t="s">
        <v>135</v>
      </c>
    </row>
    <row r="17" spans="1:13" ht="14.4">
      <c r="A17" s="65" t="s">
        <v>128</v>
      </c>
      <c r="B17" s="56" t="s">
        <v>129</v>
      </c>
      <c r="C17" s="57" t="s">
        <v>142</v>
      </c>
      <c r="D17" s="63" t="s">
        <v>254</v>
      </c>
      <c r="E17" s="58" t="str">
        <f t="shared" si="0"/>
        <v>NOMBRE DEL TIPO DE TERMINAL/EQUIPO DEL COMERCIO</v>
      </c>
      <c r="F17" s="63" t="s">
        <v>256</v>
      </c>
      <c r="G17" s="62" t="s">
        <v>135</v>
      </c>
      <c r="H17" s="65" t="s">
        <v>186</v>
      </c>
      <c r="I17" s="63" t="s">
        <v>257</v>
      </c>
      <c r="J17" s="65" t="s">
        <v>135</v>
      </c>
      <c r="K17" s="62" t="s">
        <v>182</v>
      </c>
      <c r="L17" s="62" t="s">
        <v>135</v>
      </c>
      <c r="M17" s="62" t="s">
        <v>135</v>
      </c>
    </row>
    <row r="18" spans="1:13" ht="14.4">
      <c r="A18" s="65" t="s">
        <v>128</v>
      </c>
      <c r="B18" s="56" t="s">
        <v>129</v>
      </c>
      <c r="C18" s="57" t="s">
        <v>142</v>
      </c>
      <c r="D18" s="63" t="s">
        <v>258</v>
      </c>
      <c r="E18" s="58" t="str">
        <f t="shared" si="0"/>
        <v>FECHA DE ÚLTIMA CONEXIÓN CON MCCENTER</v>
      </c>
      <c r="F18" s="63" t="s">
        <v>260</v>
      </c>
      <c r="G18" s="62" t="s">
        <v>135</v>
      </c>
      <c r="H18" s="65" t="s">
        <v>180</v>
      </c>
      <c r="I18" s="76">
        <v>45689</v>
      </c>
      <c r="J18" s="65" t="s">
        <v>135</v>
      </c>
      <c r="K18" s="62" t="s">
        <v>182</v>
      </c>
      <c r="L18" s="62" t="s">
        <v>135</v>
      </c>
      <c r="M18" s="62" t="s">
        <v>135</v>
      </c>
    </row>
    <row r="19" spans="1:13" ht="14.4">
      <c r="A19" s="61" t="s">
        <v>128</v>
      </c>
      <c r="B19" s="56" t="s">
        <v>129</v>
      </c>
      <c r="C19" s="57" t="s">
        <v>142</v>
      </c>
      <c r="D19" s="63" t="s">
        <v>261</v>
      </c>
      <c r="E19" s="58" t="str">
        <f t="shared" si="0"/>
        <v>FECHA DE ÚLTIMA TRANSACCIÓN FINANCIERA</v>
      </c>
      <c r="F19" s="63" t="s">
        <v>263</v>
      </c>
      <c r="G19" s="62" t="s">
        <v>135</v>
      </c>
      <c r="H19" s="65" t="s">
        <v>180</v>
      </c>
      <c r="I19" s="76">
        <v>45689</v>
      </c>
      <c r="J19" s="65" t="s">
        <v>135</v>
      </c>
      <c r="K19" s="62" t="s">
        <v>182</v>
      </c>
      <c r="L19" s="62" t="s">
        <v>135</v>
      </c>
      <c r="M19" s="62" t="s">
        <v>135</v>
      </c>
    </row>
    <row r="20" spans="1:13" ht="14.4">
      <c r="A20" s="65" t="s">
        <v>128</v>
      </c>
      <c r="B20" s="56" t="s">
        <v>129</v>
      </c>
      <c r="C20" s="57" t="s">
        <v>142</v>
      </c>
      <c r="D20" s="63" t="s">
        <v>264</v>
      </c>
      <c r="E20" s="58" t="str">
        <f t="shared" si="0"/>
        <v>FECHA DE ÚLTIMA TRANSACCIÓN ADMINISTRATIVA</v>
      </c>
      <c r="F20" s="63" t="s">
        <v>266</v>
      </c>
      <c r="G20" s="62" t="s">
        <v>135</v>
      </c>
      <c r="H20" s="65" t="s">
        <v>180</v>
      </c>
      <c r="I20" s="76">
        <v>45689</v>
      </c>
      <c r="J20" s="65" t="s">
        <v>135</v>
      </c>
      <c r="K20" s="62" t="s">
        <v>182</v>
      </c>
      <c r="L20" s="62" t="s">
        <v>135</v>
      </c>
      <c r="M20" s="62" t="s">
        <v>135</v>
      </c>
    </row>
    <row r="21" spans="1:13" ht="14.4">
      <c r="A21" s="61" t="s">
        <v>128</v>
      </c>
      <c r="B21" s="56" t="s">
        <v>129</v>
      </c>
      <c r="C21" s="57" t="s">
        <v>142</v>
      </c>
      <c r="D21" s="63" t="s">
        <v>267</v>
      </c>
      <c r="E21" s="58" t="str">
        <f t="shared" si="0"/>
        <v>SITUACIÓN DE TERMINAL SEGÚN LA ÚLTIMA TRANSACCIÓN DE POS</v>
      </c>
      <c r="F21" s="63" t="s">
        <v>269</v>
      </c>
      <c r="G21" s="62" t="s">
        <v>135</v>
      </c>
      <c r="H21" s="65" t="s">
        <v>186</v>
      </c>
      <c r="I21" s="58" t="s">
        <v>270</v>
      </c>
      <c r="J21" s="65" t="s">
        <v>135</v>
      </c>
      <c r="K21" s="62" t="s">
        <v>182</v>
      </c>
      <c r="L21" s="62" t="s">
        <v>135</v>
      </c>
      <c r="M21" s="62" t="s">
        <v>135</v>
      </c>
    </row>
    <row r="22" spans="1:13" ht="14.4">
      <c r="A22" s="65" t="s">
        <v>128</v>
      </c>
      <c r="B22" s="56" t="s">
        <v>129</v>
      </c>
      <c r="C22" s="57" t="s">
        <v>142</v>
      </c>
      <c r="D22" s="63" t="s">
        <v>271</v>
      </c>
      <c r="E22" s="58" t="str">
        <f t="shared" si="0"/>
        <v>MODELO DEL EQUIPO (GENERAL) PROVENIENTE DEL AS400</v>
      </c>
      <c r="F22" s="63" t="s">
        <v>474</v>
      </c>
      <c r="G22" s="62" t="s">
        <v>135</v>
      </c>
      <c r="H22" s="65" t="s">
        <v>186</v>
      </c>
      <c r="I22" s="58" t="s">
        <v>274</v>
      </c>
      <c r="J22" s="65" t="s">
        <v>135</v>
      </c>
      <c r="K22" s="62" t="s">
        <v>182</v>
      </c>
      <c r="L22" s="62" t="s">
        <v>135</v>
      </c>
      <c r="M22" s="62" t="s">
        <v>135</v>
      </c>
    </row>
    <row r="23" spans="1:13" ht="14.4">
      <c r="A23" s="61" t="s">
        <v>128</v>
      </c>
      <c r="B23" s="56" t="s">
        <v>129</v>
      </c>
      <c r="C23" s="57" t="s">
        <v>142</v>
      </c>
      <c r="D23" s="63" t="s">
        <v>275</v>
      </c>
      <c r="E23" s="58" t="str">
        <f t="shared" si="0"/>
        <v>MODELO DEL EQUIPO (CÓDIGO DEL MODELO) PROVENIENTE DEL MCCENTER</v>
      </c>
      <c r="F23" s="63" t="s">
        <v>475</v>
      </c>
      <c r="G23" s="62" t="s">
        <v>135</v>
      </c>
      <c r="H23" s="65" t="s">
        <v>186</v>
      </c>
      <c r="I23" s="58" t="s">
        <v>278</v>
      </c>
      <c r="J23" s="65" t="s">
        <v>135</v>
      </c>
      <c r="K23" s="62" t="s">
        <v>182</v>
      </c>
      <c r="L23" s="62" t="s">
        <v>135</v>
      </c>
      <c r="M23" s="62" t="s">
        <v>135</v>
      </c>
    </row>
    <row r="24" spans="1:13" ht="14.4">
      <c r="A24" s="61" t="s">
        <v>128</v>
      </c>
      <c r="B24" s="56" t="s">
        <v>129</v>
      </c>
      <c r="C24" s="57" t="s">
        <v>142</v>
      </c>
      <c r="D24" s="63" t="s">
        <v>279</v>
      </c>
      <c r="E24" s="58" t="str">
        <f t="shared" si="0"/>
        <v>VERSIÓN DEL SOFTWARE BASE (ORIGEN: MCCENTER)</v>
      </c>
      <c r="F24" s="63" t="s">
        <v>281</v>
      </c>
      <c r="G24" s="62" t="s">
        <v>135</v>
      </c>
      <c r="H24" s="65" t="s">
        <v>186</v>
      </c>
      <c r="I24" s="63" t="s">
        <v>282</v>
      </c>
      <c r="J24" s="65" t="s">
        <v>135</v>
      </c>
      <c r="K24" s="62" t="s">
        <v>182</v>
      </c>
      <c r="L24" s="62" t="s">
        <v>135</v>
      </c>
      <c r="M24" s="62" t="s">
        <v>135</v>
      </c>
    </row>
    <row r="25" spans="1:13" ht="14.4">
      <c r="A25" s="65" t="s">
        <v>128</v>
      </c>
      <c r="B25" s="56" t="s">
        <v>129</v>
      </c>
      <c r="C25" s="57" t="s">
        <v>142</v>
      </c>
      <c r="D25" s="63" t="s">
        <v>283</v>
      </c>
      <c r="E25" s="58" t="str">
        <f t="shared" si="0"/>
        <v>INDICA LA VERSIÓN DE FIRMWARE CONTACTLESS QUE POSEE EL TERMINAL</v>
      </c>
      <c r="F25" s="63" t="s">
        <v>285</v>
      </c>
      <c r="G25" s="62" t="s">
        <v>135</v>
      </c>
      <c r="H25" s="65" t="s">
        <v>186</v>
      </c>
      <c r="I25" s="77" t="s">
        <v>286</v>
      </c>
      <c r="J25" s="65" t="s">
        <v>135</v>
      </c>
      <c r="K25" s="62" t="s">
        <v>182</v>
      </c>
      <c r="L25" s="62" t="s">
        <v>135</v>
      </c>
      <c r="M25" s="62" t="s">
        <v>135</v>
      </c>
    </row>
    <row r="26" spans="1:13" ht="14.4">
      <c r="A26" s="61" t="s">
        <v>128</v>
      </c>
      <c r="B26" s="56" t="s">
        <v>129</v>
      </c>
      <c r="C26" s="57" t="s">
        <v>142</v>
      </c>
      <c r="D26" s="63" t="s">
        <v>287</v>
      </c>
      <c r="E26" s="58" t="str">
        <f t="shared" si="0"/>
        <v>NÚMERO DEL CHIP QUE SE ENCUENTRA EN EL EQUIPO.</v>
      </c>
      <c r="F26" s="63" t="s">
        <v>289</v>
      </c>
      <c r="G26" s="62" t="s">
        <v>135</v>
      </c>
      <c r="H26" s="65" t="s">
        <v>186</v>
      </c>
      <c r="I26" s="63" t="s">
        <v>290</v>
      </c>
      <c r="J26" s="65" t="s">
        <v>135</v>
      </c>
      <c r="K26" s="62" t="s">
        <v>182</v>
      </c>
      <c r="L26" s="62" t="s">
        <v>135</v>
      </c>
      <c r="M26" s="62" t="s">
        <v>135</v>
      </c>
    </row>
    <row r="27" spans="1:13" ht="14.4">
      <c r="A27" s="65" t="s">
        <v>128</v>
      </c>
      <c r="B27" s="56" t="s">
        <v>129</v>
      </c>
      <c r="C27" s="57" t="s">
        <v>142</v>
      </c>
      <c r="D27" s="68" t="s">
        <v>291</v>
      </c>
      <c r="E27" s="58" t="str">
        <f t="shared" si="0"/>
        <v>NÚMERO DE TELÉFONO DEL CHIP DEL EQUIPO</v>
      </c>
      <c r="F27" s="63" t="s">
        <v>293</v>
      </c>
      <c r="G27" s="62" t="s">
        <v>182</v>
      </c>
      <c r="H27" s="65" t="s">
        <v>227</v>
      </c>
      <c r="I27" s="63"/>
      <c r="J27" s="65" t="s">
        <v>135</v>
      </c>
      <c r="K27" s="62" t="s">
        <v>182</v>
      </c>
      <c r="L27" s="62" t="s">
        <v>135</v>
      </c>
      <c r="M27" s="62" t="s">
        <v>135</v>
      </c>
    </row>
    <row r="28" spans="1:13" ht="14.4">
      <c r="A28" s="61" t="s">
        <v>128</v>
      </c>
      <c r="B28" s="56" t="s">
        <v>129</v>
      </c>
      <c r="C28" s="57" t="s">
        <v>142</v>
      </c>
      <c r="D28" s="63" t="s">
        <v>294</v>
      </c>
      <c r="E28" s="58" t="str">
        <f t="shared" si="0"/>
        <v>OPERADOR DEL CHIP DEL EQUIPO (SI APLICA). NOMBRE COMERCIAL DE LA COMPAÑÍA TELEFÓNICA A LA CUÁL PERTENECE EL CHIP DEL EQUIPO</v>
      </c>
      <c r="F28" s="63" t="s">
        <v>296</v>
      </c>
      <c r="G28" s="62" t="s">
        <v>135</v>
      </c>
      <c r="H28" s="65" t="s">
        <v>186</v>
      </c>
      <c r="I28" s="63" t="s">
        <v>297</v>
      </c>
      <c r="J28" s="65" t="s">
        <v>135</v>
      </c>
      <c r="K28" s="62" t="s">
        <v>182</v>
      </c>
      <c r="L28" s="62" t="s">
        <v>135</v>
      </c>
      <c r="M28" s="62" t="s">
        <v>135</v>
      </c>
    </row>
    <row r="29" spans="1:13" ht="14.4">
      <c r="A29" s="65" t="s">
        <v>128</v>
      </c>
      <c r="B29" s="56" t="s">
        <v>129</v>
      </c>
      <c r="C29" s="57" t="s">
        <v>142</v>
      </c>
      <c r="D29" s="63" t="s">
        <v>298</v>
      </c>
      <c r="E29" s="58" t="str">
        <f t="shared" si="0"/>
        <v>ESTADO DEL COMERCIO</v>
      </c>
      <c r="F29" s="63" t="s">
        <v>300</v>
      </c>
      <c r="G29" s="62" t="s">
        <v>135</v>
      </c>
      <c r="H29" s="65" t="s">
        <v>186</v>
      </c>
      <c r="I29" s="63" t="s">
        <v>301</v>
      </c>
      <c r="J29" s="65" t="s">
        <v>135</v>
      </c>
      <c r="K29" s="62" t="s">
        <v>182</v>
      </c>
      <c r="L29" s="62" t="s">
        <v>135</v>
      </c>
      <c r="M29" s="62" t="s">
        <v>135</v>
      </c>
    </row>
    <row r="30" spans="1:13" ht="14.4">
      <c r="A30" s="65" t="s">
        <v>128</v>
      </c>
      <c r="B30" s="56" t="s">
        <v>129</v>
      </c>
      <c r="C30" s="57" t="s">
        <v>142</v>
      </c>
      <c r="D30" s="63" t="s">
        <v>302</v>
      </c>
      <c r="E30" s="58" t="str">
        <f t="shared" si="0"/>
        <v>ESTADO LÓGICO DEL COMERCIO</v>
      </c>
      <c r="F30" s="63" t="s">
        <v>304</v>
      </c>
      <c r="G30" s="62" t="s">
        <v>135</v>
      </c>
      <c r="H30" s="65" t="s">
        <v>186</v>
      </c>
      <c r="I30" s="63" t="s">
        <v>305</v>
      </c>
      <c r="J30" s="65" t="s">
        <v>135</v>
      </c>
      <c r="K30" s="62" t="s">
        <v>182</v>
      </c>
      <c r="L30" s="62" t="s">
        <v>135</v>
      </c>
      <c r="M30" s="62" t="s">
        <v>135</v>
      </c>
    </row>
    <row r="31" spans="1:13" ht="14.4">
      <c r="A31" s="61" t="s">
        <v>128</v>
      </c>
      <c r="B31" s="56" t="s">
        <v>129</v>
      </c>
      <c r="C31" s="57" t="s">
        <v>142</v>
      </c>
      <c r="D31" s="63" t="s">
        <v>306</v>
      </c>
      <c r="E31" s="58" t="str">
        <f t="shared" si="0"/>
        <v>ESTADO DEL TERMINAL</v>
      </c>
      <c r="F31" s="63" t="s">
        <v>308</v>
      </c>
      <c r="G31" s="62" t="s">
        <v>135</v>
      </c>
      <c r="H31" s="65" t="s">
        <v>186</v>
      </c>
      <c r="I31" s="63" t="s">
        <v>301</v>
      </c>
      <c r="J31" s="65" t="s">
        <v>135</v>
      </c>
      <c r="K31" s="62" t="s">
        <v>182</v>
      </c>
      <c r="L31" s="62" t="s">
        <v>135</v>
      </c>
      <c r="M31" s="62" t="s">
        <v>135</v>
      </c>
    </row>
    <row r="32" spans="1:13" ht="14.4">
      <c r="A32" s="65" t="s">
        <v>128</v>
      </c>
      <c r="B32" s="56" t="s">
        <v>129</v>
      </c>
      <c r="C32" s="57" t="s">
        <v>142</v>
      </c>
      <c r="D32" s="63" t="s">
        <v>309</v>
      </c>
      <c r="E32" s="58" t="str">
        <f t="shared" si="0"/>
        <v>ESTADO LÓGICO DEL TERMINAL</v>
      </c>
      <c r="F32" s="63" t="s">
        <v>311</v>
      </c>
      <c r="G32" s="62" t="s">
        <v>135</v>
      </c>
      <c r="H32" s="65" t="s">
        <v>186</v>
      </c>
      <c r="I32" s="63" t="s">
        <v>305</v>
      </c>
      <c r="J32" s="65" t="s">
        <v>135</v>
      </c>
      <c r="K32" s="62" t="s">
        <v>182</v>
      </c>
      <c r="L32" s="62" t="s">
        <v>135</v>
      </c>
      <c r="M32" s="62" t="s">
        <v>135</v>
      </c>
    </row>
    <row r="33" spans="1:13" ht="14.4">
      <c r="A33" s="61" t="s">
        <v>128</v>
      </c>
      <c r="B33" s="56" t="s">
        <v>129</v>
      </c>
      <c r="C33" s="57" t="s">
        <v>142</v>
      </c>
      <c r="D33" s="63" t="s">
        <v>312</v>
      </c>
      <c r="E33" s="58" t="str">
        <f t="shared" si="0"/>
        <v>TIPO DE APLICACIÓN DE LOS TERMINALES</v>
      </c>
      <c r="F33" s="63" t="s">
        <v>314</v>
      </c>
      <c r="G33" s="62" t="s">
        <v>135</v>
      </c>
      <c r="H33" s="65" t="s">
        <v>186</v>
      </c>
      <c r="I33" s="63" t="s">
        <v>315</v>
      </c>
      <c r="J33" s="65" t="s">
        <v>135</v>
      </c>
      <c r="K33" s="62" t="s">
        <v>182</v>
      </c>
      <c r="L33" s="62" t="s">
        <v>135</v>
      </c>
      <c r="M33" s="62" t="s">
        <v>135</v>
      </c>
    </row>
    <row r="34" spans="1:13" ht="14.4">
      <c r="A34" s="65" t="s">
        <v>128</v>
      </c>
      <c r="B34" s="56" t="s">
        <v>129</v>
      </c>
      <c r="C34" s="57" t="s">
        <v>142</v>
      </c>
      <c r="D34" s="63" t="s">
        <v>316</v>
      </c>
      <c r="E34" s="58" t="str">
        <f t="shared" si="0"/>
        <v>DESCRIPCIÓN DE LA APLICACIÓN DE LOS TERMINALES</v>
      </c>
      <c r="F34" s="63" t="s">
        <v>318</v>
      </c>
      <c r="G34" s="62" t="s">
        <v>135</v>
      </c>
      <c r="H34" s="65" t="s">
        <v>186</v>
      </c>
      <c r="I34" s="63" t="s">
        <v>319</v>
      </c>
      <c r="J34" s="65" t="s">
        <v>135</v>
      </c>
      <c r="K34" s="62" t="s">
        <v>182</v>
      </c>
      <c r="L34" s="62" t="s">
        <v>135</v>
      </c>
      <c r="M34" s="62" t="s">
        <v>135</v>
      </c>
    </row>
    <row r="35" spans="1:13" ht="14.4">
      <c r="A35" s="61" t="s">
        <v>128</v>
      </c>
      <c r="B35" s="56" t="s">
        <v>129</v>
      </c>
      <c r="C35" s="57" t="s">
        <v>142</v>
      </c>
      <c r="D35" s="63" t="s">
        <v>323</v>
      </c>
      <c r="E35" s="58" t="str">
        <f t="shared" si="0"/>
        <v>NÚMERO DE SERIE DEL TERMINAL POS. AUTOGENERADO DE LOS MPOS</v>
      </c>
      <c r="F35" s="63" t="s">
        <v>325</v>
      </c>
      <c r="G35" s="62" t="s">
        <v>135</v>
      </c>
      <c r="H35" s="65" t="s">
        <v>186</v>
      </c>
      <c r="I35" s="63">
        <v>103837580</v>
      </c>
      <c r="J35" s="65" t="s">
        <v>135</v>
      </c>
      <c r="K35" s="62" t="s">
        <v>182</v>
      </c>
      <c r="L35" s="62" t="s">
        <v>135</v>
      </c>
      <c r="M35" s="62" t="s">
        <v>135</v>
      </c>
    </row>
    <row r="36" spans="1:13" ht="14.4">
      <c r="A36" s="65" t="s">
        <v>128</v>
      </c>
      <c r="B36" s="56" t="s">
        <v>129</v>
      </c>
      <c r="C36" s="57" t="s">
        <v>142</v>
      </c>
      <c r="D36" s="63" t="s">
        <v>326</v>
      </c>
      <c r="E36" s="58" t="str">
        <f t="shared" si="0"/>
        <v>ID CORRESPONDIENTE A LA VERSIÓN DE FLUJO (PERMITE IDENTIFICAR SI ESTÁ ACTUALIZADO)</v>
      </c>
      <c r="F36" s="63" t="s">
        <v>328</v>
      </c>
      <c r="G36" s="62" t="s">
        <v>135</v>
      </c>
      <c r="H36" s="65" t="s">
        <v>186</v>
      </c>
      <c r="I36" s="63">
        <v>241</v>
      </c>
      <c r="J36" s="65" t="s">
        <v>135</v>
      </c>
      <c r="K36" s="62" t="s">
        <v>182</v>
      </c>
      <c r="L36" s="62" t="s">
        <v>135</v>
      </c>
      <c r="M36" s="62" t="s">
        <v>135</v>
      </c>
    </row>
    <row r="37" spans="1:13" ht="14.4">
      <c r="A37" s="61" t="s">
        <v>128</v>
      </c>
      <c r="B37" s="56" t="s">
        <v>129</v>
      </c>
      <c r="C37" s="57" t="s">
        <v>142</v>
      </c>
      <c r="D37" s="63" t="s">
        <v>329</v>
      </c>
      <c r="E37" s="58" t="str">
        <f t="shared" si="0"/>
        <v>ID CORRESPONDIENTE A LA VERSIÓN DE CARGA BASE (PERMITE IDENTIFICAR SI ESTÁ ACTUALIZADO)</v>
      </c>
      <c r="F37" s="63" t="s">
        <v>331</v>
      </c>
      <c r="G37" s="62" t="s">
        <v>135</v>
      </c>
      <c r="H37" s="65" t="s">
        <v>186</v>
      </c>
      <c r="I37" s="63">
        <v>241</v>
      </c>
      <c r="J37" s="65" t="s">
        <v>135</v>
      </c>
      <c r="K37" s="62" t="s">
        <v>182</v>
      </c>
      <c r="L37" s="62" t="s">
        <v>135</v>
      </c>
      <c r="M37" s="62" t="s">
        <v>135</v>
      </c>
    </row>
    <row r="38" spans="1:13" ht="14.4">
      <c r="A38" s="65" t="s">
        <v>128</v>
      </c>
      <c r="B38" s="56" t="s">
        <v>129</v>
      </c>
      <c r="C38" s="57" t="s">
        <v>142</v>
      </c>
      <c r="D38" s="63" t="s">
        <v>332</v>
      </c>
      <c r="E38" s="58" t="str">
        <f t="shared" si="0"/>
        <v>NÚMERO DE SERIE COMPLETA DEL POS, LA QUE SE APRECIA VISUALMENTE EN EL TERMINAL Y AL CUÁL SE LE PUEDE APLICAR LAS ACTUALIZACIONES RESPECTIVAS.</v>
      </c>
      <c r="F38" s="63" t="s">
        <v>334</v>
      </c>
      <c r="G38" s="62" t="s">
        <v>135</v>
      </c>
      <c r="H38" s="65" t="s">
        <v>186</v>
      </c>
      <c r="I38" s="63" t="s">
        <v>335</v>
      </c>
      <c r="J38" s="65" t="s">
        <v>135</v>
      </c>
      <c r="K38" s="62" t="s">
        <v>182</v>
      </c>
      <c r="L38" s="62" t="s">
        <v>135</v>
      </c>
      <c r="M38" s="62" t="s">
        <v>182</v>
      </c>
    </row>
    <row r="39" spans="1:13" ht="14.4">
      <c r="A39" s="61" t="s">
        <v>128</v>
      </c>
      <c r="B39" s="56" t="s">
        <v>129</v>
      </c>
      <c r="C39" s="57" t="s">
        <v>142</v>
      </c>
      <c r="D39" s="63" t="s">
        <v>336</v>
      </c>
      <c r="E39" s="58" t="str">
        <f t="shared" si="0"/>
        <v>MARCA DEL EQUIPO</v>
      </c>
      <c r="F39" s="63" t="s">
        <v>338</v>
      </c>
      <c r="G39" s="62" t="s">
        <v>135</v>
      </c>
      <c r="H39" s="65" t="s">
        <v>186</v>
      </c>
      <c r="I39" s="63" t="s">
        <v>339</v>
      </c>
      <c r="J39" s="65" t="s">
        <v>135</v>
      </c>
      <c r="K39" s="62" t="s">
        <v>182</v>
      </c>
      <c r="L39" s="62" t="s">
        <v>135</v>
      </c>
      <c r="M39" s="62" t="s">
        <v>135</v>
      </c>
    </row>
    <row r="40" spans="1:13" ht="14.4">
      <c r="A40" s="61" t="s">
        <v>128</v>
      </c>
      <c r="B40" s="56" t="s">
        <v>129</v>
      </c>
      <c r="C40" s="57" t="s">
        <v>142</v>
      </c>
      <c r="D40" s="63" t="s">
        <v>361</v>
      </c>
      <c r="E40" s="58" t="str">
        <f t="shared" si="0"/>
        <v>INDICA EL TIPO DE OPCIÓN DE RECIBIMIENTO DE PROPINA</v>
      </c>
      <c r="F40" s="63" t="s">
        <v>363</v>
      </c>
      <c r="G40" s="62" t="s">
        <v>135</v>
      </c>
      <c r="H40" s="65" t="s">
        <v>186</v>
      </c>
      <c r="I40" s="63" t="s">
        <v>364</v>
      </c>
      <c r="J40" s="65" t="s">
        <v>135</v>
      </c>
      <c r="K40" s="62" t="s">
        <v>182</v>
      </c>
      <c r="L40" s="62" t="s">
        <v>135</v>
      </c>
      <c r="M40" s="62" t="s">
        <v>135</v>
      </c>
    </row>
    <row r="41" spans="1:13" ht="14.4">
      <c r="A41" s="65" t="s">
        <v>128</v>
      </c>
      <c r="B41" s="56" t="s">
        <v>129</v>
      </c>
      <c r="C41" s="57" t="s">
        <v>142</v>
      </c>
      <c r="D41" s="63" t="s">
        <v>365</v>
      </c>
      <c r="E41" s="58" t="str">
        <f t="shared" si="0"/>
        <v>FECHA DE ACTUALIZACIÓN DE LA APLICACIÓN</v>
      </c>
      <c r="F41" s="63" t="s">
        <v>367</v>
      </c>
      <c r="G41" s="62" t="s">
        <v>135</v>
      </c>
      <c r="H41" s="65" t="s">
        <v>180</v>
      </c>
      <c r="I41" s="76">
        <v>45789</v>
      </c>
      <c r="J41" s="65" t="s">
        <v>135</v>
      </c>
      <c r="K41" s="62" t="s">
        <v>182</v>
      </c>
      <c r="L41" s="62" t="s">
        <v>135</v>
      </c>
      <c r="M41" s="62" t="s">
        <v>135</v>
      </c>
    </row>
    <row r="42" spans="1:13" ht="14.4">
      <c r="A42" s="61" t="s">
        <v>128</v>
      </c>
      <c r="B42" s="56" t="s">
        <v>129</v>
      </c>
      <c r="C42" s="57" t="s">
        <v>142</v>
      </c>
      <c r="D42" s="63" t="s">
        <v>368</v>
      </c>
      <c r="E42" s="58" t="str">
        <f t="shared" si="0"/>
        <v>HORA DE ACTUALIZACIÓN DE LA APLICACIÓN EN FORMATO 24H</v>
      </c>
      <c r="F42" s="63" t="s">
        <v>370</v>
      </c>
      <c r="G42" s="62" t="s">
        <v>135</v>
      </c>
      <c r="H42" s="65" t="s">
        <v>186</v>
      </c>
      <c r="I42" s="79">
        <v>0.63201388888888888</v>
      </c>
      <c r="J42" s="65" t="s">
        <v>135</v>
      </c>
      <c r="K42" s="62" t="s">
        <v>182</v>
      </c>
      <c r="L42" s="62" t="s">
        <v>135</v>
      </c>
      <c r="M42" s="62" t="s">
        <v>135</v>
      </c>
    </row>
    <row r="43" spans="1:13" ht="14.4">
      <c r="A43" s="61" t="s">
        <v>128</v>
      </c>
      <c r="B43" s="56" t="s">
        <v>129</v>
      </c>
      <c r="C43" s="57" t="s">
        <v>142</v>
      </c>
      <c r="D43" s="63" t="s">
        <v>371</v>
      </c>
      <c r="E43" s="58" t="str">
        <f t="shared" si="0"/>
        <v>FECHA Y HORA DE ACTUALIZACIÓN DE LA APLICACIÓN</v>
      </c>
      <c r="F43" s="63" t="s">
        <v>372</v>
      </c>
      <c r="G43" s="62" t="s">
        <v>135</v>
      </c>
      <c r="H43" s="65" t="s">
        <v>476</v>
      </c>
      <c r="I43" s="80">
        <v>45789.632013888891</v>
      </c>
      <c r="J43" s="65" t="s">
        <v>135</v>
      </c>
      <c r="K43" s="62" t="s">
        <v>182</v>
      </c>
      <c r="L43" s="62" t="s">
        <v>135</v>
      </c>
      <c r="M43" s="62" t="s">
        <v>135</v>
      </c>
    </row>
    <row r="44" spans="1:13" ht="14.4">
      <c r="A44" s="61" t="s">
        <v>128</v>
      </c>
      <c r="B44" s="56" t="s">
        <v>129</v>
      </c>
      <c r="C44" s="57" t="s">
        <v>142</v>
      </c>
      <c r="D44" s="63" t="s">
        <v>378</v>
      </c>
      <c r="E44" s="58" t="str">
        <f t="shared" si="0"/>
        <v>FECHA DE ÚLTIMA ACTUALIZACIÓN DE APP</v>
      </c>
      <c r="F44" s="63" t="s">
        <v>380</v>
      </c>
      <c r="G44" s="62" t="s">
        <v>135</v>
      </c>
      <c r="H44" s="65" t="s">
        <v>180</v>
      </c>
      <c r="I44" s="76">
        <v>45818</v>
      </c>
      <c r="J44" s="65" t="s">
        <v>135</v>
      </c>
      <c r="K44" s="62" t="s">
        <v>182</v>
      </c>
      <c r="L44" s="62" t="s">
        <v>135</v>
      </c>
      <c r="M44" s="62" t="s">
        <v>135</v>
      </c>
    </row>
    <row r="45" spans="1:13" ht="14.4">
      <c r="A45" s="65" t="s">
        <v>128</v>
      </c>
      <c r="B45" s="56" t="s">
        <v>129</v>
      </c>
      <c r="C45" s="57" t="s">
        <v>142</v>
      </c>
      <c r="D45" s="63" t="s">
        <v>381</v>
      </c>
      <c r="E45" s="58" t="str">
        <f t="shared" si="0"/>
        <v>HORA DE ÚLTIMA ACTUALIZACIÓN DE LA APLICACIÓN</v>
      </c>
      <c r="F45" s="63" t="s">
        <v>383</v>
      </c>
      <c r="G45" s="62" t="s">
        <v>135</v>
      </c>
      <c r="H45" s="65" t="s">
        <v>186</v>
      </c>
      <c r="I45" s="79">
        <v>0.9236805555555555</v>
      </c>
      <c r="J45" s="65" t="s">
        <v>135</v>
      </c>
      <c r="K45" s="62" t="s">
        <v>182</v>
      </c>
      <c r="L45" s="62" t="s">
        <v>135</v>
      </c>
      <c r="M45" s="62" t="s">
        <v>135</v>
      </c>
    </row>
    <row r="46" spans="1:13" ht="14.4">
      <c r="A46" s="65" t="s">
        <v>128</v>
      </c>
      <c r="B46" s="56" t="s">
        <v>129</v>
      </c>
      <c r="C46" s="57" t="s">
        <v>142</v>
      </c>
      <c r="D46" s="63" t="s">
        <v>384</v>
      </c>
      <c r="E46" s="58" t="str">
        <f t="shared" si="0"/>
        <v>FECHA Y HORA DE ÚLTIMA ACTUALIZACIÓN DE LA APLICACIÓN</v>
      </c>
      <c r="F46" s="63" t="s">
        <v>385</v>
      </c>
      <c r="G46" s="62" t="s">
        <v>135</v>
      </c>
      <c r="H46" s="65" t="s">
        <v>476</v>
      </c>
      <c r="I46" s="80">
        <v>45789.632013888891</v>
      </c>
      <c r="J46" s="65" t="s">
        <v>135</v>
      </c>
      <c r="K46" s="62" t="s">
        <v>182</v>
      </c>
      <c r="L46" s="62" t="s">
        <v>135</v>
      </c>
      <c r="M46" s="62" t="s">
        <v>135</v>
      </c>
    </row>
    <row r="47" spans="1:13" ht="14.4">
      <c r="A47" s="61" t="s">
        <v>128</v>
      </c>
      <c r="B47" s="56" t="s">
        <v>129</v>
      </c>
      <c r="C47" s="57" t="s">
        <v>142</v>
      </c>
      <c r="D47" s="63" t="s">
        <v>391</v>
      </c>
      <c r="E47" s="58" t="str">
        <f t="shared" si="0"/>
        <v>ID CORRESPONDIENTE A LA VERSIÓN DE LA APLICACIÓN</v>
      </c>
      <c r="F47" s="63" t="s">
        <v>393</v>
      </c>
      <c r="G47" s="62" t="s">
        <v>135</v>
      </c>
      <c r="H47" s="65" t="s">
        <v>186</v>
      </c>
      <c r="I47" s="63">
        <v>466</v>
      </c>
      <c r="J47" s="65" t="s">
        <v>135</v>
      </c>
      <c r="K47" s="62" t="s">
        <v>182</v>
      </c>
      <c r="L47" s="62" t="s">
        <v>135</v>
      </c>
      <c r="M47" s="62" t="s">
        <v>135</v>
      </c>
    </row>
    <row r="48" spans="1:13" ht="14.4">
      <c r="A48" s="65" t="s">
        <v>128</v>
      </c>
      <c r="B48" s="56" t="s">
        <v>129</v>
      </c>
      <c r="C48" s="57" t="s">
        <v>142</v>
      </c>
      <c r="D48" s="63" t="s">
        <v>394</v>
      </c>
      <c r="E48" s="58" t="str">
        <f t="shared" si="0"/>
        <v>VERSIÓN DE LA APLICACIÓN</v>
      </c>
      <c r="F48" s="63" t="s">
        <v>396</v>
      </c>
      <c r="G48" s="62" t="s">
        <v>135</v>
      </c>
      <c r="H48" s="65" t="s">
        <v>186</v>
      </c>
      <c r="I48" s="63" t="s">
        <v>397</v>
      </c>
      <c r="J48" s="65" t="s">
        <v>135</v>
      </c>
      <c r="K48" s="62" t="s">
        <v>182</v>
      </c>
      <c r="L48" s="62" t="s">
        <v>135</v>
      </c>
      <c r="M48" s="62" t="s">
        <v>135</v>
      </c>
    </row>
    <row r="49" spans="1:13" ht="14.4">
      <c r="A49" s="61" t="s">
        <v>128</v>
      </c>
      <c r="B49" s="56" t="s">
        <v>129</v>
      </c>
      <c r="C49" s="57" t="s">
        <v>142</v>
      </c>
      <c r="D49" s="63" t="s">
        <v>398</v>
      </c>
      <c r="E49" s="58" t="str">
        <f t="shared" si="0"/>
        <v>VERSIÓN DEL FLUJO</v>
      </c>
      <c r="F49" s="63" t="s">
        <v>400</v>
      </c>
      <c r="G49" s="62" t="s">
        <v>135</v>
      </c>
      <c r="H49" s="65" t="s">
        <v>186</v>
      </c>
      <c r="I49" s="63" t="s">
        <v>401</v>
      </c>
      <c r="J49" s="65" t="s">
        <v>135</v>
      </c>
      <c r="K49" s="62" t="s">
        <v>182</v>
      </c>
      <c r="L49" s="62" t="s">
        <v>135</v>
      </c>
      <c r="M49" s="62" t="s">
        <v>135</v>
      </c>
    </row>
    <row r="50" spans="1:13" ht="14.4">
      <c r="A50" s="65" t="s">
        <v>128</v>
      </c>
      <c r="B50" s="56" t="s">
        <v>129</v>
      </c>
      <c r="C50" s="57" t="s">
        <v>142</v>
      </c>
      <c r="D50" s="63" t="s">
        <v>402</v>
      </c>
      <c r="E50" s="58" t="str">
        <f t="shared" si="0"/>
        <v>CÓDIGO DEL ACTIVO FIJO. MARQUESI DEL EQUIPO</v>
      </c>
      <c r="F50" s="63" t="s">
        <v>404</v>
      </c>
      <c r="G50" s="62" t="s">
        <v>135</v>
      </c>
      <c r="H50" s="65" t="s">
        <v>186</v>
      </c>
      <c r="I50" s="81" t="s">
        <v>405</v>
      </c>
      <c r="J50" s="65" t="s">
        <v>135</v>
      </c>
      <c r="K50" s="62" t="s">
        <v>182</v>
      </c>
      <c r="L50" s="62" t="s">
        <v>135</v>
      </c>
      <c r="M50" s="62" t="s">
        <v>135</v>
      </c>
    </row>
    <row r="51" spans="1:13" ht="14.4">
      <c r="A51" s="61" t="s">
        <v>128</v>
      </c>
      <c r="B51" s="56" t="s">
        <v>129</v>
      </c>
      <c r="C51" s="57" t="s">
        <v>142</v>
      </c>
      <c r="D51" s="63" t="s">
        <v>406</v>
      </c>
      <c r="E51" s="58" t="str">
        <f t="shared" si="0"/>
        <v>FECHA DE COMPRA</v>
      </c>
      <c r="F51" s="63" t="s">
        <v>408</v>
      </c>
      <c r="G51" s="62" t="s">
        <v>135</v>
      </c>
      <c r="H51" s="65" t="s">
        <v>180</v>
      </c>
      <c r="I51" s="76">
        <v>44275</v>
      </c>
      <c r="J51" s="65" t="s">
        <v>135</v>
      </c>
      <c r="K51" s="62" t="s">
        <v>182</v>
      </c>
      <c r="L51" s="62" t="s">
        <v>135</v>
      </c>
      <c r="M51" s="62" t="s">
        <v>135</v>
      </c>
    </row>
    <row r="52" spans="1:13" ht="14.4">
      <c r="A52" s="65" t="s">
        <v>128</v>
      </c>
      <c r="B52" s="56" t="s">
        <v>129</v>
      </c>
      <c r="C52" s="57" t="s">
        <v>142</v>
      </c>
      <c r="D52" s="63" t="s">
        <v>409</v>
      </c>
      <c r="E52" s="58" t="str">
        <f t="shared" si="0"/>
        <v>ESTADO SEGÚN CRUCE DE LA INFORMACIÓN DEL TERMINAL CON LA DEL AS400. (BAJA, ALQUILER, VENTA, ACTIVO)</v>
      </c>
      <c r="F52" s="63" t="s">
        <v>411</v>
      </c>
      <c r="G52" s="62" t="s">
        <v>135</v>
      </c>
      <c r="H52" s="65" t="s">
        <v>186</v>
      </c>
      <c r="I52" s="63" t="s">
        <v>412</v>
      </c>
      <c r="J52" s="65" t="s">
        <v>135</v>
      </c>
      <c r="K52" s="62" t="s">
        <v>182</v>
      </c>
      <c r="L52" s="62" t="s">
        <v>135</v>
      </c>
      <c r="M52" s="62" t="s">
        <v>135</v>
      </c>
    </row>
    <row r="53" spans="1:13" ht="14.4">
      <c r="A53" s="61" t="s">
        <v>128</v>
      </c>
      <c r="B53" s="56" t="s">
        <v>129</v>
      </c>
      <c r="C53" s="57" t="s">
        <v>142</v>
      </c>
      <c r="D53" s="63" t="s">
        <v>440</v>
      </c>
      <c r="E53" s="58" t="str">
        <f t="shared" si="0"/>
        <v>CAMPO CALCULADO QUE PERMITE IDENTIFICAR LA ANTIGÜEDAD DE UN COMERCIO AFILIADO DE ACUERDO A SU FECHA DE APERTURA Y LA FECHA ACTUAL</v>
      </c>
      <c r="F53" s="63" t="s">
        <v>442</v>
      </c>
      <c r="G53" s="62" t="s">
        <v>135</v>
      </c>
      <c r="H53" s="65" t="s">
        <v>186</v>
      </c>
      <c r="I53" s="63" t="s">
        <v>477</v>
      </c>
      <c r="J53" s="65" t="s">
        <v>135</v>
      </c>
      <c r="K53" s="62" t="s">
        <v>182</v>
      </c>
      <c r="L53" s="62" t="s">
        <v>135</v>
      </c>
      <c r="M53" s="62" t="s">
        <v>135</v>
      </c>
    </row>
    <row r="54" spans="1:13" ht="14.4">
      <c r="A54" s="61" t="s">
        <v>128</v>
      </c>
      <c r="B54" s="56" t="s">
        <v>129</v>
      </c>
      <c r="C54" s="57" t="s">
        <v>142</v>
      </c>
      <c r="D54" s="63" t="s">
        <v>444</v>
      </c>
      <c r="E54" s="58" t="str">
        <f t="shared" si="0"/>
        <v>UBICACIÓN DE OFICINA ASOCIADA AL COMERCIO</v>
      </c>
      <c r="F54" s="63" t="s">
        <v>446</v>
      </c>
      <c r="G54" s="62" t="s">
        <v>135</v>
      </c>
      <c r="H54" s="65" t="s">
        <v>186</v>
      </c>
      <c r="I54" s="63" t="s">
        <v>447</v>
      </c>
      <c r="J54" s="65" t="s">
        <v>135</v>
      </c>
      <c r="K54" s="62" t="s">
        <v>182</v>
      </c>
      <c r="L54" s="62" t="s">
        <v>135</v>
      </c>
      <c r="M54" s="62" t="s">
        <v>135</v>
      </c>
    </row>
    <row r="55" spans="1:13" ht="14.4">
      <c r="A55" s="65" t="s">
        <v>128</v>
      </c>
      <c r="B55" s="56" t="s">
        <v>129</v>
      </c>
      <c r="C55" s="57" t="s">
        <v>142</v>
      </c>
      <c r="D55" s="63" t="s">
        <v>448</v>
      </c>
      <c r="E55" s="58" t="str">
        <f t="shared" si="0"/>
        <v>MODELO DEL EQUIPO (ESPECÍFICO), SE DETALLA EL MODELO ESPECÍFICO DEL TERMINAL SEGÚN UNA LISTA ESTÁTICA DE MODELOS ANTIGUOS, CASO CONTRARIO ES EL MODELO PROVENIENTE DEL MCCENTER</v>
      </c>
      <c r="F55" s="63" t="s">
        <v>478</v>
      </c>
      <c r="G55" s="62" t="s">
        <v>135</v>
      </c>
      <c r="H55" s="65" t="s">
        <v>186</v>
      </c>
      <c r="I55" s="63" t="s">
        <v>451</v>
      </c>
      <c r="J55" s="65" t="s">
        <v>135</v>
      </c>
      <c r="K55" s="62" t="s">
        <v>182</v>
      </c>
      <c r="L55" s="62" t="s">
        <v>135</v>
      </c>
      <c r="M55" s="62" t="s">
        <v>135</v>
      </c>
    </row>
    <row r="56" spans="1:13" ht="14.4">
      <c r="A56" s="61" t="s">
        <v>128</v>
      </c>
      <c r="B56" s="56" t="s">
        <v>129</v>
      </c>
      <c r="C56" s="57" t="s">
        <v>142</v>
      </c>
      <c r="D56" s="63" t="s">
        <v>454</v>
      </c>
      <c r="E56" s="58" t="str">
        <f t="shared" si="0"/>
        <v>FECHA DE INSTALACIÓN</v>
      </c>
      <c r="F56" s="63" t="s">
        <v>456</v>
      </c>
      <c r="G56" s="62" t="s">
        <v>135</v>
      </c>
      <c r="H56" s="65" t="s">
        <v>180</v>
      </c>
      <c r="I56" s="76">
        <v>44275</v>
      </c>
      <c r="J56" s="65" t="s">
        <v>135</v>
      </c>
      <c r="K56" s="62" t="s">
        <v>182</v>
      </c>
      <c r="L56" s="62" t="s">
        <v>135</v>
      </c>
      <c r="M56" s="62" t="s">
        <v>135</v>
      </c>
    </row>
    <row r="57" spans="1:13" ht="14.4">
      <c r="A57" s="29" t="s">
        <v>128</v>
      </c>
      <c r="B57" s="89" t="s">
        <v>129</v>
      </c>
      <c r="C57" s="57" t="s">
        <v>142</v>
      </c>
      <c r="D57" s="31" t="s">
        <v>374</v>
      </c>
      <c r="E57" s="91" t="str">
        <f t="shared" si="0"/>
        <v>CANTIDAD DE INTENTOS QUE REALIZÓ EL TERMINAL PARA ACTUALIZARSE</v>
      </c>
      <c r="F57" s="31" t="s">
        <v>376</v>
      </c>
      <c r="G57" s="2" t="s">
        <v>135</v>
      </c>
      <c r="H57" s="29" t="s">
        <v>377</v>
      </c>
      <c r="I57" s="31"/>
      <c r="J57" s="65" t="s">
        <v>135</v>
      </c>
      <c r="K57" s="62" t="s">
        <v>182</v>
      </c>
      <c r="L57" s="62" t="s">
        <v>135</v>
      </c>
      <c r="M57" s="62" t="s">
        <v>135</v>
      </c>
    </row>
    <row r="58" spans="1:13" ht="14.4">
      <c r="A58" s="16" t="s">
        <v>128</v>
      </c>
      <c r="B58" s="89" t="s">
        <v>129</v>
      </c>
      <c r="C58" s="57" t="s">
        <v>142</v>
      </c>
      <c r="D58" s="31" t="s">
        <v>479</v>
      </c>
      <c r="E58" s="91" t="str">
        <f t="shared" si="0"/>
        <v>FLAG QUE INDICA SI EL TERMINAL HA TRANSACCIONADO EN LOS ÚLTIMOS 3 MESES</v>
      </c>
      <c r="F58" s="31" t="s">
        <v>480</v>
      </c>
      <c r="G58" s="2" t="s">
        <v>135</v>
      </c>
      <c r="H58" s="29" t="s">
        <v>222</v>
      </c>
      <c r="I58" s="31" t="s">
        <v>223</v>
      </c>
      <c r="J58" s="65" t="s">
        <v>135</v>
      </c>
      <c r="K58" s="62" t="s">
        <v>182</v>
      </c>
      <c r="L58" s="62" t="s">
        <v>135</v>
      </c>
      <c r="M58" s="62" t="s">
        <v>135</v>
      </c>
    </row>
    <row r="59" spans="1:13" ht="14.4">
      <c r="A59" s="16" t="s">
        <v>128</v>
      </c>
      <c r="B59" s="89" t="s">
        <v>129</v>
      </c>
      <c r="C59" s="57" t="s">
        <v>142</v>
      </c>
      <c r="D59" s="31" t="s">
        <v>320</v>
      </c>
      <c r="E59" s="91" t="str">
        <f t="shared" si="0"/>
        <v>FLAG QUE INDICA SI EL COMERCIO ADMITE FACTURACIÓN. TRUE = SÍ, FALSE, NO</v>
      </c>
      <c r="F59" s="31" t="s">
        <v>322</v>
      </c>
      <c r="G59" s="2" t="s">
        <v>135</v>
      </c>
      <c r="H59" s="29" t="s">
        <v>222</v>
      </c>
      <c r="I59" s="31" t="s">
        <v>223</v>
      </c>
      <c r="J59" s="65" t="s">
        <v>135</v>
      </c>
      <c r="K59" s="62" t="s">
        <v>182</v>
      </c>
      <c r="L59" s="62" t="s">
        <v>135</v>
      </c>
      <c r="M59" s="62" t="s">
        <v>135</v>
      </c>
    </row>
    <row r="60" spans="1:13" ht="14.4">
      <c r="A60" s="16" t="s">
        <v>128</v>
      </c>
      <c r="B60" s="89" t="s">
        <v>129</v>
      </c>
      <c r="C60" s="57" t="s">
        <v>142</v>
      </c>
      <c r="D60" s="31" t="s">
        <v>343</v>
      </c>
      <c r="E60" s="91" t="str">
        <f t="shared" si="0"/>
        <v>FLAG QUE INDICA SI EL POS TIENE SOFTWARE CONTACTLESS</v>
      </c>
      <c r="F60" s="31" t="s">
        <v>345</v>
      </c>
      <c r="G60" s="2" t="s">
        <v>135</v>
      </c>
      <c r="H60" s="29" t="s">
        <v>222</v>
      </c>
      <c r="I60" s="31" t="s">
        <v>223</v>
      </c>
      <c r="J60" s="65" t="s">
        <v>135</v>
      </c>
      <c r="K60" s="62" t="s">
        <v>182</v>
      </c>
      <c r="L60" s="62" t="s">
        <v>135</v>
      </c>
      <c r="M60" s="62" t="s">
        <v>135</v>
      </c>
    </row>
    <row r="61" spans="1:13" ht="14.4">
      <c r="A61" s="29" t="s">
        <v>128</v>
      </c>
      <c r="B61" s="89" t="s">
        <v>129</v>
      </c>
      <c r="C61" s="57" t="s">
        <v>142</v>
      </c>
      <c r="D61" s="31" t="s">
        <v>346</v>
      </c>
      <c r="E61" s="91" t="str">
        <f t="shared" si="0"/>
        <v>FLAG QUE INDICA SI EL POS TIENE HARDWARE CONTACTLESS</v>
      </c>
      <c r="F61" s="31" t="s">
        <v>348</v>
      </c>
      <c r="G61" s="2" t="s">
        <v>135</v>
      </c>
      <c r="H61" s="29" t="s">
        <v>222</v>
      </c>
      <c r="I61" s="31" t="s">
        <v>223</v>
      </c>
      <c r="J61" s="65" t="s">
        <v>135</v>
      </c>
      <c r="K61" s="62" t="s">
        <v>182</v>
      </c>
      <c r="L61" s="62" t="s">
        <v>135</v>
      </c>
      <c r="M61" s="62" t="s">
        <v>135</v>
      </c>
    </row>
    <row r="62" spans="1:13" ht="14.4">
      <c r="A62" s="16" t="s">
        <v>128</v>
      </c>
      <c r="B62" s="89" t="s">
        <v>129</v>
      </c>
      <c r="C62" s="57" t="s">
        <v>142</v>
      </c>
      <c r="D62" s="31" t="s">
        <v>349</v>
      </c>
      <c r="E62" s="91" t="str">
        <f t="shared" si="0"/>
        <v>FLAG QUE INDICA SI APLICA LA PRE AUTORIZACIÓN A NIVEL DEL COMERCIO</v>
      </c>
      <c r="F62" s="31" t="s">
        <v>351</v>
      </c>
      <c r="G62" s="2" t="s">
        <v>135</v>
      </c>
      <c r="H62" s="29" t="s">
        <v>222</v>
      </c>
      <c r="I62" s="31" t="s">
        <v>223</v>
      </c>
      <c r="J62" s="65" t="s">
        <v>135</v>
      </c>
      <c r="K62" s="62" t="s">
        <v>182</v>
      </c>
      <c r="L62" s="62" t="s">
        <v>135</v>
      </c>
      <c r="M62" s="62" t="s">
        <v>135</v>
      </c>
    </row>
    <row r="63" spans="1:13" ht="14.4">
      <c r="A63" s="29" t="s">
        <v>128</v>
      </c>
      <c r="B63" s="89" t="s">
        <v>129</v>
      </c>
      <c r="C63" s="57" t="s">
        <v>142</v>
      </c>
      <c r="D63" s="31" t="s">
        <v>352</v>
      </c>
      <c r="E63" s="91" t="str">
        <f t="shared" si="0"/>
        <v>FLAG QUE INDICA SI APLICA LA PRE AUTORIZACIÓN A NIVEL DEL TERMINAL</v>
      </c>
      <c r="F63" s="31" t="s">
        <v>354</v>
      </c>
      <c r="G63" s="2" t="s">
        <v>135</v>
      </c>
      <c r="H63" s="29" t="s">
        <v>222</v>
      </c>
      <c r="I63" s="31" t="s">
        <v>223</v>
      </c>
      <c r="J63" s="65" t="s">
        <v>135</v>
      </c>
      <c r="K63" s="62" t="s">
        <v>182</v>
      </c>
      <c r="L63" s="62" t="s">
        <v>135</v>
      </c>
      <c r="M63" s="62" t="s">
        <v>135</v>
      </c>
    </row>
    <row r="64" spans="1:13" ht="14.4">
      <c r="A64" s="16" t="s">
        <v>128</v>
      </c>
      <c r="B64" s="89" t="s">
        <v>129</v>
      </c>
      <c r="C64" s="57" t="s">
        <v>142</v>
      </c>
      <c r="D64" s="31" t="s">
        <v>355</v>
      </c>
      <c r="E64" s="91" t="str">
        <f t="shared" si="0"/>
        <v>FLAG QUE INDICA SI APLICA LA DIGITACIÓN MANUAL A NIVEL DEL COMERCIO</v>
      </c>
      <c r="F64" s="31" t="s">
        <v>357</v>
      </c>
      <c r="G64" s="2" t="s">
        <v>135</v>
      </c>
      <c r="H64" s="29" t="s">
        <v>222</v>
      </c>
      <c r="I64" s="31" t="s">
        <v>223</v>
      </c>
      <c r="J64" s="65" t="s">
        <v>135</v>
      </c>
      <c r="K64" s="62" t="s">
        <v>182</v>
      </c>
      <c r="L64" s="62" t="s">
        <v>135</v>
      </c>
      <c r="M64" s="62" t="s">
        <v>135</v>
      </c>
    </row>
    <row r="65" spans="1:13" ht="14.4">
      <c r="A65" s="29" t="s">
        <v>128</v>
      </c>
      <c r="B65" s="89" t="s">
        <v>129</v>
      </c>
      <c r="C65" s="57" t="s">
        <v>142</v>
      </c>
      <c r="D65" s="31" t="s">
        <v>358</v>
      </c>
      <c r="E65" s="91" t="str">
        <f t="shared" si="0"/>
        <v>FLAG QUE INDICA SI APLICA LA DIGITACIÓN MANUAL A NIVEL DEL TERMINAL</v>
      </c>
      <c r="F65" s="31" t="s">
        <v>360</v>
      </c>
      <c r="G65" s="2" t="s">
        <v>135</v>
      </c>
      <c r="H65" s="29" t="s">
        <v>222</v>
      </c>
      <c r="I65" s="31" t="s">
        <v>223</v>
      </c>
      <c r="J65" s="65" t="s">
        <v>135</v>
      </c>
      <c r="K65" s="62" t="s">
        <v>182</v>
      </c>
      <c r="L65" s="62" t="s">
        <v>135</v>
      </c>
      <c r="M65" s="62" t="s">
        <v>135</v>
      </c>
    </row>
    <row r="66" spans="1:13" ht="14.4">
      <c r="A66" s="16" t="s">
        <v>128</v>
      </c>
      <c r="B66" s="89" t="s">
        <v>129</v>
      </c>
      <c r="C66" s="57" t="s">
        <v>142</v>
      </c>
      <c r="D66" s="31" t="s">
        <v>386</v>
      </c>
      <c r="E66" s="91" t="str">
        <f t="shared" si="0"/>
        <v>FLAG QUE INDICA SI LA VERSIÓN SE HA ACTUALIZADO</v>
      </c>
      <c r="F66" s="31" t="s">
        <v>388</v>
      </c>
      <c r="G66" s="2" t="s">
        <v>135</v>
      </c>
      <c r="H66" s="29" t="s">
        <v>222</v>
      </c>
      <c r="I66" s="31" t="s">
        <v>223</v>
      </c>
      <c r="J66" s="65" t="s">
        <v>135</v>
      </c>
      <c r="K66" s="62" t="s">
        <v>182</v>
      </c>
      <c r="L66" s="62" t="s">
        <v>135</v>
      </c>
      <c r="M66" s="62" t="s">
        <v>135</v>
      </c>
    </row>
    <row r="67" spans="1:13" ht="14.4">
      <c r="A67" s="16" t="s">
        <v>128</v>
      </c>
      <c r="B67" s="89" t="s">
        <v>129</v>
      </c>
      <c r="C67" s="57" t="s">
        <v>142</v>
      </c>
      <c r="D67" s="31" t="s">
        <v>413</v>
      </c>
      <c r="E67" s="91" t="str">
        <f t="shared" si="0"/>
        <v>FLAG QUE INDICA SI EL COMERCIO TIENE POS EMV DINERS</v>
      </c>
      <c r="F67" s="31" t="s">
        <v>415</v>
      </c>
      <c r="G67" s="2" t="s">
        <v>135</v>
      </c>
      <c r="H67" s="29" t="s">
        <v>222</v>
      </c>
      <c r="I67" s="31" t="s">
        <v>223</v>
      </c>
      <c r="J67" s="65" t="s">
        <v>135</v>
      </c>
      <c r="K67" s="62" t="s">
        <v>182</v>
      </c>
      <c r="L67" s="62" t="s">
        <v>135</v>
      </c>
      <c r="M67" s="62" t="s">
        <v>135</v>
      </c>
    </row>
    <row r="68" spans="1:13" ht="14.4">
      <c r="A68" s="29" t="s">
        <v>128</v>
      </c>
      <c r="B68" s="89" t="s">
        <v>129</v>
      </c>
      <c r="C68" s="57" t="s">
        <v>142</v>
      </c>
      <c r="D68" s="31" t="s">
        <v>422</v>
      </c>
      <c r="E68" s="91" t="str">
        <f t="shared" si="0"/>
        <v>FLAG QUE INDICA SI EL TERMINAL TIENE PINPAD O NO</v>
      </c>
      <c r="F68" s="31" t="s">
        <v>424</v>
      </c>
      <c r="G68" s="2" t="s">
        <v>135</v>
      </c>
      <c r="H68" s="29" t="s">
        <v>222</v>
      </c>
      <c r="I68" s="31" t="s">
        <v>425</v>
      </c>
      <c r="J68" s="65" t="s">
        <v>135</v>
      </c>
      <c r="K68" s="62" t="s">
        <v>182</v>
      </c>
      <c r="L68" s="62" t="s">
        <v>135</v>
      </c>
      <c r="M68" s="62" t="s">
        <v>135</v>
      </c>
    </row>
    <row r="69" spans="1:13" ht="14.4">
      <c r="A69" s="16" t="s">
        <v>128</v>
      </c>
      <c r="B69" s="89" t="s">
        <v>129</v>
      </c>
      <c r="C69" s="57" t="s">
        <v>142</v>
      </c>
      <c r="D69" s="31" t="s">
        <v>426</v>
      </c>
      <c r="E69" s="91" t="str">
        <f t="shared" si="0"/>
        <v>FLAG QUE INDICA SI EL TERMINAL ES MULTICOMERCIO. OCURRE CUANDO EL POS ESTÁ ASIGNADO A MÁS DE 1 CÓDIGO DE COMERCIO</v>
      </c>
      <c r="F69" s="31" t="s">
        <v>481</v>
      </c>
      <c r="G69" s="2" t="s">
        <v>135</v>
      </c>
      <c r="H69" s="29" t="s">
        <v>222</v>
      </c>
      <c r="I69" s="31" t="s">
        <v>425</v>
      </c>
      <c r="J69" s="65" t="s">
        <v>135</v>
      </c>
      <c r="K69" s="62" t="s">
        <v>182</v>
      </c>
      <c r="L69" s="62" t="s">
        <v>135</v>
      </c>
      <c r="M69" s="62" t="s">
        <v>135</v>
      </c>
    </row>
    <row r="70" spans="1:13" ht="14.4">
      <c r="A70" s="65" t="s">
        <v>128</v>
      </c>
      <c r="B70" s="56" t="s">
        <v>129</v>
      </c>
      <c r="C70" s="57" t="s">
        <v>142</v>
      </c>
      <c r="D70" s="63" t="s">
        <v>463</v>
      </c>
      <c r="E70" s="58" t="str">
        <f t="shared" si="0"/>
        <v>DATO DE AUDITORÍA: DESCRIPCIÓN DEL APLICATIVO ORIGEN DE LOS DATOS.</v>
      </c>
      <c r="F70" s="63" t="s">
        <v>464</v>
      </c>
      <c r="G70" s="62" t="s">
        <v>135</v>
      </c>
      <c r="H70" s="62" t="s">
        <v>186</v>
      </c>
      <c r="I70" s="63"/>
      <c r="J70" s="65" t="s">
        <v>135</v>
      </c>
      <c r="K70" s="65" t="s">
        <v>135</v>
      </c>
      <c r="L70" s="62" t="s">
        <v>135</v>
      </c>
      <c r="M70" s="62" t="s">
        <v>135</v>
      </c>
    </row>
    <row r="71" spans="1:13" ht="14.4">
      <c r="A71" s="61" t="s">
        <v>128</v>
      </c>
      <c r="B71" s="56" t="s">
        <v>129</v>
      </c>
      <c r="C71" s="57" t="s">
        <v>142</v>
      </c>
      <c r="D71" s="63" t="s">
        <v>465</v>
      </c>
      <c r="E71" s="58" t="str">
        <f t="shared" si="0"/>
        <v>FECHA Y HORA DE INSERCIÓN DEL REGISTRO EN EL MODELO</v>
      </c>
      <c r="F71" s="63" t="s">
        <v>466</v>
      </c>
      <c r="G71" s="60" t="s">
        <v>135</v>
      </c>
      <c r="H71" s="65" t="s">
        <v>476</v>
      </c>
      <c r="I71" s="80">
        <v>45916.750542782189</v>
      </c>
      <c r="J71" s="65" t="s">
        <v>135</v>
      </c>
      <c r="K71" s="65" t="s">
        <v>135</v>
      </c>
      <c r="L71" s="62" t="s">
        <v>135</v>
      </c>
      <c r="M71" s="62" t="s">
        <v>135</v>
      </c>
    </row>
    <row r="72" spans="1:13" ht="14.4">
      <c r="A72" s="65" t="s">
        <v>128</v>
      </c>
      <c r="B72" s="56" t="s">
        <v>129</v>
      </c>
      <c r="C72" s="57" t="s">
        <v>142</v>
      </c>
      <c r="D72" s="63" t="s">
        <v>468</v>
      </c>
      <c r="E72" s="58" t="str">
        <f t="shared" si="0"/>
        <v>USUARIO QUE CREA EL REGISTRO EN LA BD</v>
      </c>
      <c r="F72" s="63" t="s">
        <v>469</v>
      </c>
      <c r="G72" s="62" t="s">
        <v>135</v>
      </c>
      <c r="H72" s="62" t="s">
        <v>186</v>
      </c>
      <c r="I72" s="63"/>
      <c r="J72" s="65" t="s">
        <v>135</v>
      </c>
      <c r="K72" s="65" t="s">
        <v>135</v>
      </c>
      <c r="L72" s="62" t="s">
        <v>135</v>
      </c>
      <c r="M72" s="62" t="s">
        <v>135</v>
      </c>
    </row>
    <row r="73" spans="1:13" ht="14.4"/>
    <row r="74" spans="1:13" ht="14.4"/>
    <row r="75" spans="1:13" ht="14.4"/>
    <row r="76" spans="1:13" ht="14.4"/>
    <row r="77" spans="1:13" ht="14.4"/>
    <row r="78" spans="1:13" ht="14.4"/>
    <row r="79" spans="1:13" ht="14.4"/>
    <row r="80" spans="1:13" ht="14.4"/>
    <row r="81" ht="14.4"/>
    <row r="82" ht="14.4"/>
    <row r="83" ht="14.4"/>
    <row r="84" ht="14.4"/>
    <row r="85" ht="14.4"/>
    <row r="86" ht="14.4"/>
    <row r="87" ht="14.4"/>
    <row r="88" ht="14.4"/>
    <row r="89" ht="14.4"/>
    <row r="90" ht="14.4"/>
    <row r="91" ht="14.4"/>
    <row r="92" ht="14.4"/>
    <row r="93" ht="14.4"/>
    <row r="94" ht="14.4"/>
    <row r="95" ht="14.4"/>
    <row r="96" ht="14.4"/>
    <row r="97" ht="14.4"/>
    <row r="98" ht="14.4"/>
    <row r="99" ht="14.4"/>
    <row r="100" ht="14.4"/>
    <row r="101" ht="14.4"/>
    <row r="102" ht="14.4"/>
    <row r="103" ht="14.4"/>
    <row r="104" ht="14.4"/>
    <row r="105" ht="14.4"/>
    <row r="106" ht="14.4"/>
    <row r="107" ht="14.4"/>
    <row r="108" ht="14.4"/>
    <row r="109" ht="14.4"/>
    <row r="110" ht="14.4"/>
    <row r="111" ht="14.4"/>
    <row r="112" ht="14.4"/>
    <row r="113" ht="14.4"/>
    <row r="114" ht="14.4"/>
    <row r="115" ht="14.4"/>
    <row r="116" ht="14.4"/>
    <row r="117" ht="14.4"/>
    <row r="118" ht="14.4"/>
    <row r="119" ht="14.4"/>
    <row r="120" ht="14.4"/>
    <row r="121" ht="14.4"/>
    <row r="122" ht="14.4"/>
    <row r="123" ht="14.4"/>
    <row r="124" ht="14.4"/>
    <row r="125" ht="14.4"/>
    <row r="126" ht="14.4"/>
    <row r="127" ht="14.4"/>
    <row r="128" ht="14.4"/>
    <row r="129" ht="14.4"/>
    <row r="130" ht="14.4"/>
    <row r="131" ht="14.4"/>
    <row r="132" ht="14.4"/>
    <row r="133" ht="14.4"/>
    <row r="134" ht="14.4"/>
    <row r="135" ht="14.4"/>
    <row r="136" ht="14.4"/>
    <row r="137" ht="14.4"/>
    <row r="138" ht="14.4"/>
    <row r="139" ht="14.4"/>
    <row r="140" ht="14.4"/>
    <row r="141" ht="14.4"/>
    <row r="142" ht="14.4"/>
    <row r="143" ht="14.4"/>
    <row r="144" ht="14.4"/>
    <row r="145" ht="14.4"/>
    <row r="146" ht="14.4"/>
    <row r="147" ht="14.4"/>
    <row r="148" ht="14.4"/>
    <row r="149" ht="14.4"/>
    <row r="150" ht="14.4"/>
    <row r="151" ht="14.4"/>
    <row r="152" ht="14.4"/>
    <row r="153" ht="14.4"/>
    <row r="154" ht="14.4"/>
    <row r="155" ht="14.4"/>
    <row r="156" ht="14.4"/>
    <row r="157" ht="14.4"/>
    <row r="158" ht="14.4"/>
    <row r="159" ht="14.4"/>
    <row r="160" ht="14.4"/>
    <row r="161" ht="14.4"/>
    <row r="162" ht="14.4"/>
    <row r="163" ht="14.4"/>
    <row r="164" ht="14.4"/>
    <row r="165" ht="14.4"/>
    <row r="166" ht="14.4"/>
    <row r="167" ht="14.4"/>
    <row r="168" ht="14.4"/>
    <row r="169" ht="14.4"/>
    <row r="170" ht="14.4"/>
    <row r="171" ht="14.4"/>
    <row r="172" ht="14.4"/>
    <row r="173" ht="14.4"/>
    <row r="174" ht="14.4"/>
    <row r="175" ht="14.4"/>
    <row r="176" ht="14.4"/>
    <row r="177" ht="14.4"/>
    <row r="178" ht="14.4"/>
    <row r="179" ht="14.4"/>
    <row r="180" ht="14.4"/>
    <row r="181" ht="14.4"/>
    <row r="182" ht="14.4"/>
    <row r="183" ht="14.4"/>
    <row r="184" ht="14.4"/>
    <row r="185" ht="14.4"/>
    <row r="186" ht="14.4"/>
    <row r="187" ht="14.4"/>
    <row r="188" ht="14.4"/>
    <row r="189" ht="14.4"/>
    <row r="190" ht="14.4"/>
    <row r="191" ht="14.4"/>
    <row r="192" ht="14.4"/>
    <row r="193" ht="14.4"/>
    <row r="194" ht="14.4"/>
    <row r="195" ht="14.4"/>
    <row r="196" ht="14.4"/>
    <row r="197" ht="14.4"/>
    <row r="198" ht="14.4"/>
    <row r="199" ht="14.4"/>
    <row r="200" ht="14.4"/>
    <row r="201" ht="14.4"/>
    <row r="202" ht="14.4"/>
    <row r="203" ht="14.4"/>
    <row r="204" ht="14.4"/>
    <row r="205" ht="14.4"/>
    <row r="206" ht="14.4"/>
    <row r="207" ht="14.4"/>
    <row r="208" ht="14.4"/>
    <row r="209" ht="14.4"/>
    <row r="210" ht="14.4"/>
    <row r="211" ht="14.4"/>
    <row r="212" ht="14.4"/>
    <row r="213" ht="14.4"/>
    <row r="214" ht="14.4"/>
    <row r="215" ht="14.4"/>
    <row r="216" ht="14.4"/>
    <row r="217" ht="14.4"/>
    <row r="218" ht="14.4"/>
    <row r="219" ht="14.4"/>
    <row r="220" ht="14.4"/>
    <row r="221" ht="14.4"/>
    <row r="222" ht="14.4"/>
    <row r="223" ht="14.4"/>
    <row r="224" ht="14.4"/>
    <row r="225" ht="14.4"/>
    <row r="226" ht="14.4"/>
    <row r="227" ht="14.4"/>
    <row r="228" ht="14.4"/>
    <row r="229" ht="14.4"/>
    <row r="230" ht="14.4"/>
    <row r="231" ht="14.4"/>
    <row r="232" ht="14.4"/>
    <row r="233" ht="14.4"/>
    <row r="234" ht="14.4"/>
    <row r="235" ht="14.4"/>
    <row r="236" ht="14.4"/>
    <row r="237" ht="14.4"/>
    <row r="238" ht="14.4"/>
    <row r="239" ht="14.4"/>
    <row r="240" ht="14.4"/>
    <row r="241" ht="14.4"/>
    <row r="242" ht="14.4"/>
    <row r="243" ht="14.4"/>
    <row r="244" ht="14.4"/>
    <row r="245" ht="14.4"/>
    <row r="246" ht="14.4"/>
    <row r="247" ht="14.4"/>
    <row r="248" ht="14.4"/>
    <row r="249" ht="14.4"/>
    <row r="250" ht="14.4"/>
    <row r="251" ht="14.4"/>
    <row r="252" ht="14.4"/>
    <row r="253" ht="14.4"/>
    <row r="254" ht="14.4"/>
    <row r="255" ht="14.4"/>
    <row r="256" ht="14.4"/>
    <row r="257" ht="14.4"/>
    <row r="258" ht="14.4"/>
    <row r="259" ht="14.4"/>
    <row r="260" ht="14.4"/>
    <row r="261" ht="14.4"/>
    <row r="262" ht="14.4"/>
    <row r="263" ht="14.4"/>
    <row r="264" ht="14.4"/>
    <row r="265" ht="14.4"/>
    <row r="266" ht="14.4"/>
    <row r="267" ht="14.4"/>
    <row r="268" ht="14.4"/>
    <row r="269" ht="14.4"/>
    <row r="270" ht="14.4"/>
    <row r="271" ht="14.4"/>
    <row r="272" ht="14.4"/>
    <row r="273" ht="14.4"/>
    <row r="274" ht="14.4"/>
    <row r="275" ht="14.4"/>
    <row r="276" ht="14.4"/>
    <row r="277" ht="14.4"/>
    <row r="278" ht="14.4"/>
    <row r="279" ht="14.4"/>
    <row r="280" ht="14.4"/>
    <row r="281" ht="14.4"/>
    <row r="282" ht="14.4"/>
    <row r="283" ht="14.4"/>
    <row r="284" ht="14.4"/>
    <row r="285" ht="14.4"/>
    <row r="286" ht="14.4"/>
    <row r="287" ht="14.4"/>
    <row r="288" ht="14.4"/>
    <row r="289" ht="14.4"/>
    <row r="290" ht="14.4"/>
    <row r="291" ht="14.4"/>
    <row r="292" ht="14.4"/>
    <row r="293" ht="14.4"/>
    <row r="294" ht="14.4"/>
    <row r="295" ht="14.4"/>
    <row r="296" ht="14.4"/>
    <row r="297" ht="14.4"/>
    <row r="298" ht="14.4"/>
    <row r="299" ht="14.4"/>
    <row r="300" ht="14.4"/>
    <row r="301" ht="14.4"/>
    <row r="302" ht="14.4"/>
    <row r="303" ht="14.4"/>
    <row r="304" ht="14.4"/>
    <row r="305" ht="14.4"/>
    <row r="306" ht="14.4"/>
    <row r="307" ht="14.4"/>
    <row r="308" ht="14.4"/>
    <row r="309" ht="14.4"/>
    <row r="310" ht="14.4"/>
    <row r="311" ht="14.4"/>
    <row r="312" ht="14.4"/>
    <row r="313" ht="14.4"/>
    <row r="314" ht="14.4"/>
    <row r="315" ht="14.4"/>
    <row r="316" ht="14.4"/>
    <row r="317" ht="14.4"/>
    <row r="318" ht="14.4"/>
    <row r="319" ht="14.4"/>
    <row r="320" ht="14.4"/>
    <row r="321" ht="14.4"/>
    <row r="322" ht="14.4"/>
    <row r="323" ht="14.4"/>
    <row r="324" ht="14.4"/>
    <row r="325" ht="14.4"/>
    <row r="326" ht="14.4"/>
    <row r="327" ht="14.4"/>
    <row r="328" ht="14.4"/>
    <row r="329" ht="14.4"/>
    <row r="330" ht="14.4"/>
    <row r="331" ht="14.4"/>
    <row r="332" ht="14.4"/>
    <row r="333" ht="14.4"/>
    <row r="334" ht="14.4"/>
    <row r="335" ht="14.4"/>
    <row r="336" ht="14.4"/>
    <row r="337" ht="14.4"/>
    <row r="338" ht="14.4"/>
    <row r="339" ht="14.4"/>
    <row r="340" ht="14.4"/>
    <row r="341" ht="14.4"/>
    <row r="342" ht="14.4"/>
    <row r="343" ht="14.4"/>
    <row r="344" ht="14.4"/>
    <row r="345" ht="14.4"/>
    <row r="346" ht="14.4"/>
    <row r="347" ht="14.4"/>
    <row r="348" ht="14.4"/>
    <row r="349" ht="14.4"/>
    <row r="350" ht="14.4"/>
    <row r="351" ht="14.4"/>
    <row r="352" ht="14.4"/>
    <row r="353" ht="14.4"/>
    <row r="354" ht="14.4"/>
    <row r="355" ht="14.4"/>
    <row r="356" ht="14.4"/>
    <row r="357" ht="14.4"/>
    <row r="358" ht="14.4"/>
    <row r="359" ht="14.4"/>
    <row r="360" ht="14.4"/>
    <row r="361" ht="14.4"/>
    <row r="362" ht="14.4"/>
    <row r="363" ht="14.4"/>
    <row r="364" ht="14.4"/>
    <row r="365" ht="14.4"/>
    <row r="366" ht="14.4"/>
    <row r="367" ht="14.4"/>
    <row r="368" ht="14.4"/>
    <row r="369" ht="14.4"/>
    <row r="370" ht="14.4"/>
    <row r="371" ht="14.4"/>
    <row r="372" ht="14.4"/>
    <row r="373" ht="14.4"/>
    <row r="374" ht="14.4"/>
    <row r="375" ht="14.4"/>
    <row r="376" ht="14.4"/>
    <row r="377" ht="14.4"/>
    <row r="378" ht="14.4"/>
    <row r="379" ht="14.4"/>
    <row r="380" ht="14.4"/>
    <row r="381" ht="14.4"/>
    <row r="382" ht="14.4"/>
    <row r="383" ht="14.4"/>
    <row r="384" ht="14.4"/>
    <row r="385" ht="14.4"/>
    <row r="386" ht="14.4"/>
    <row r="387" ht="14.4"/>
    <row r="388" ht="14.4"/>
    <row r="389" ht="14.4"/>
    <row r="390" ht="14.4"/>
    <row r="391" ht="14.4"/>
    <row r="392" ht="14.4"/>
    <row r="393" ht="14.4"/>
    <row r="394" ht="14.4"/>
    <row r="395" ht="14.4"/>
    <row r="396" ht="14.4"/>
    <row r="397" ht="14.4"/>
    <row r="398" ht="14.4"/>
    <row r="399" ht="14.4"/>
    <row r="400" ht="14.4"/>
    <row r="401" ht="14.4"/>
    <row r="402" ht="14.4"/>
    <row r="403" ht="14.4"/>
    <row r="404" ht="14.4"/>
    <row r="405" ht="14.4"/>
    <row r="406" ht="14.4"/>
    <row r="407" ht="14.4"/>
    <row r="408" ht="14.4"/>
    <row r="409" ht="14.4"/>
    <row r="410" ht="14.4"/>
    <row r="411" ht="14.4"/>
    <row r="412" ht="14.4"/>
    <row r="413" ht="14.4"/>
    <row r="414" ht="14.4"/>
    <row r="415" ht="14.4"/>
    <row r="416" ht="14.4"/>
    <row r="417" ht="14.4"/>
    <row r="418" ht="14.4"/>
    <row r="419" ht="14.4"/>
    <row r="420" ht="14.4"/>
    <row r="421" ht="14.4"/>
    <row r="422" ht="14.4"/>
    <row r="423" ht="14.4"/>
    <row r="424" ht="14.4"/>
    <row r="425" ht="14.4"/>
    <row r="426" ht="14.4"/>
    <row r="427" ht="14.4"/>
    <row r="428" ht="14.4"/>
    <row r="429" ht="14.4"/>
    <row r="430" ht="14.4"/>
    <row r="431" ht="14.4"/>
    <row r="432" ht="14.4"/>
    <row r="433" ht="14.4"/>
    <row r="434" ht="14.4"/>
    <row r="435" ht="14.4"/>
    <row r="436" ht="14.4"/>
    <row r="437" ht="14.4"/>
    <row r="438" ht="14.4"/>
    <row r="439" ht="14.4"/>
    <row r="440" ht="14.4"/>
    <row r="441" ht="14.4"/>
    <row r="442" ht="14.4"/>
    <row r="443" ht="14.4"/>
    <row r="444" ht="14.4"/>
    <row r="445" ht="14.4"/>
    <row r="446" ht="14.4"/>
    <row r="447" ht="14.4"/>
    <row r="448" ht="14.4"/>
    <row r="449" ht="14.4"/>
    <row r="450" ht="14.4"/>
    <row r="451" ht="14.4"/>
    <row r="452" ht="14.4"/>
    <row r="453" ht="14.4"/>
    <row r="454" ht="14.4"/>
    <row r="455" ht="14.4"/>
    <row r="456" ht="14.4"/>
    <row r="457" ht="14.4"/>
    <row r="458" ht="14.4"/>
    <row r="459" ht="14.4"/>
    <row r="460" ht="14.4"/>
    <row r="461" ht="14.4"/>
    <row r="462" ht="14.4"/>
    <row r="463" ht="14.4"/>
    <row r="464" ht="14.4"/>
    <row r="465" ht="14.4"/>
    <row r="466" ht="14.4"/>
    <row r="467" ht="14.4"/>
    <row r="468" ht="14.4"/>
    <row r="469" ht="14.4"/>
    <row r="470" ht="14.4"/>
    <row r="471" ht="14.4"/>
    <row r="472" ht="14.4"/>
    <row r="473" ht="14.4"/>
    <row r="474" ht="14.4"/>
    <row r="475" ht="14.4"/>
    <row r="476" ht="14.4"/>
    <row r="477" ht="14.4"/>
    <row r="478" ht="14.4"/>
    <row r="479" ht="14.4"/>
    <row r="480" ht="14.4"/>
    <row r="481" ht="14.4"/>
    <row r="482" ht="14.4"/>
    <row r="483" ht="14.4"/>
    <row r="484" ht="14.4"/>
    <row r="485" ht="14.4"/>
    <row r="486" ht="14.4"/>
    <row r="487" ht="14.4"/>
    <row r="488" ht="14.4"/>
    <row r="489" ht="14.4"/>
    <row r="490" ht="14.4"/>
    <row r="491" ht="14.4"/>
    <row r="492" ht="14.4"/>
    <row r="493" ht="14.4"/>
    <row r="494" ht="14.4"/>
    <row r="495" ht="14.4"/>
    <row r="496" ht="14.4"/>
    <row r="497" ht="14.4"/>
    <row r="498" ht="14.4"/>
    <row r="499" ht="14.4"/>
    <row r="500" ht="14.4"/>
    <row r="501" ht="14.4"/>
    <row r="502" ht="14.4"/>
    <row r="503" ht="14.4"/>
    <row r="504" ht="14.4"/>
    <row r="505" ht="14.4"/>
    <row r="506" ht="14.4"/>
    <row r="507" ht="14.4"/>
    <row r="508" ht="14.4"/>
    <row r="509" ht="14.4"/>
    <row r="510" ht="14.4"/>
    <row r="511" ht="14.4"/>
    <row r="512" ht="14.4"/>
    <row r="513" ht="14.4"/>
    <row r="514" ht="14.4"/>
    <row r="515" ht="14.4"/>
    <row r="516" ht="14.4"/>
    <row r="517" ht="14.4"/>
    <row r="518" ht="14.4"/>
    <row r="519" ht="14.4"/>
    <row r="520" ht="14.4"/>
    <row r="521" ht="14.4"/>
    <row r="522" ht="14.4"/>
    <row r="523" ht="14.4"/>
    <row r="524" ht="14.4"/>
    <row r="525" ht="14.4"/>
    <row r="526" ht="14.4"/>
    <row r="527" ht="14.4"/>
    <row r="528" ht="14.4"/>
    <row r="529" ht="14.4"/>
    <row r="530" ht="14.4"/>
    <row r="531" ht="14.4"/>
    <row r="532" ht="14.4"/>
    <row r="533" ht="14.4"/>
    <row r="534" ht="14.4"/>
    <row r="535" ht="14.4"/>
    <row r="536" ht="14.4"/>
    <row r="537" ht="14.4"/>
    <row r="538" ht="14.4"/>
    <row r="539" ht="14.4"/>
    <row r="540" ht="14.4"/>
    <row r="541" ht="14.4"/>
    <row r="542" ht="14.4"/>
    <row r="543" ht="14.4"/>
    <row r="544" ht="14.4"/>
    <row r="545" ht="14.4"/>
    <row r="546" ht="14.4"/>
    <row r="547" ht="14.4"/>
    <row r="548" ht="14.4"/>
    <row r="549" ht="14.4"/>
    <row r="550" ht="14.4"/>
    <row r="551" ht="14.4"/>
    <row r="552" ht="14.4"/>
    <row r="553" ht="14.4"/>
    <row r="554" ht="14.4"/>
    <row r="555" ht="14.4"/>
    <row r="556" ht="14.4"/>
    <row r="557" ht="14.4"/>
    <row r="558" ht="14.4"/>
    <row r="559" ht="14.4"/>
    <row r="560" ht="14.4"/>
    <row r="561" ht="14.4"/>
    <row r="562" ht="14.4"/>
    <row r="563" ht="14.4"/>
    <row r="564" ht="14.4"/>
    <row r="565" ht="14.4"/>
    <row r="566" ht="14.4"/>
    <row r="567" ht="14.4"/>
    <row r="568" ht="14.4"/>
    <row r="569" ht="14.4"/>
    <row r="570" ht="14.4"/>
    <row r="571" ht="14.4"/>
    <row r="572" ht="14.4"/>
    <row r="573" ht="14.4"/>
    <row r="574" ht="14.4"/>
    <row r="575" ht="14.4"/>
    <row r="576" ht="14.4"/>
    <row r="577" ht="14.4"/>
    <row r="578" ht="14.4"/>
    <row r="579" ht="14.4"/>
    <row r="580" ht="14.4"/>
    <row r="581" ht="14.4"/>
    <row r="582" ht="14.4"/>
    <row r="583" ht="14.4"/>
    <row r="584" ht="14.4"/>
    <row r="585" ht="14.4"/>
    <row r="586" ht="14.4"/>
    <row r="587" ht="14.4"/>
    <row r="588" ht="14.4"/>
    <row r="589" ht="14.4"/>
    <row r="590" ht="14.4"/>
    <row r="591" ht="14.4"/>
    <row r="592" ht="14.4"/>
    <row r="593" ht="14.4"/>
    <row r="594" ht="14.4"/>
    <row r="595" ht="14.4"/>
    <row r="596" ht="14.4"/>
    <row r="597" ht="14.4"/>
    <row r="598" ht="14.4"/>
    <row r="599" ht="14.4"/>
    <row r="600" ht="14.4"/>
    <row r="601" ht="14.4"/>
    <row r="602" ht="14.4"/>
    <row r="603" ht="14.4"/>
    <row r="604" ht="14.4"/>
    <row r="605" ht="14.4"/>
    <row r="606" ht="14.4"/>
    <row r="607" ht="14.4"/>
    <row r="608" ht="14.4"/>
    <row r="609" ht="14.4"/>
    <row r="610" ht="14.4"/>
    <row r="611" ht="14.4"/>
    <row r="612" ht="14.4"/>
    <row r="613" ht="14.4"/>
    <row r="614" ht="14.4"/>
    <row r="615" ht="14.4"/>
    <row r="616" ht="14.4"/>
    <row r="617" ht="14.4"/>
    <row r="618" ht="14.4"/>
    <row r="619" ht="14.4"/>
    <row r="620" ht="14.4"/>
    <row r="621" ht="14.4"/>
    <row r="622" ht="14.4"/>
    <row r="623" ht="14.4"/>
    <row r="624" ht="14.4"/>
    <row r="625" ht="14.4"/>
    <row r="626" ht="14.4"/>
    <row r="627" ht="14.4"/>
    <row r="628" ht="14.4"/>
    <row r="629" ht="14.4"/>
    <row r="630" ht="14.4"/>
    <row r="631" ht="14.4"/>
    <row r="632" ht="14.4"/>
    <row r="633" ht="14.4"/>
    <row r="634" ht="14.4"/>
    <row r="635" ht="14.4"/>
    <row r="636" ht="14.4"/>
    <row r="637" ht="14.4"/>
    <row r="638" ht="14.4"/>
    <row r="639" ht="14.4"/>
    <row r="640" ht="14.4"/>
    <row r="641" ht="14.4"/>
    <row r="642" ht="14.4"/>
    <row r="643" ht="14.4"/>
    <row r="644" ht="14.4"/>
    <row r="645" ht="14.4"/>
    <row r="646" ht="14.4"/>
    <row r="647" ht="14.4"/>
    <row r="648" ht="14.4"/>
    <row r="649" ht="14.4"/>
    <row r="650" ht="14.4"/>
    <row r="651" ht="14.4"/>
    <row r="652" ht="14.4"/>
    <row r="653" ht="14.4"/>
    <row r="654" ht="14.4"/>
    <row r="655" ht="14.4"/>
    <row r="656" ht="14.4"/>
    <row r="657" ht="14.4"/>
    <row r="658" ht="14.4"/>
    <row r="659" ht="14.4"/>
    <row r="660" ht="14.4"/>
    <row r="661" ht="14.4"/>
    <row r="662" ht="14.4"/>
    <row r="663" ht="14.4"/>
    <row r="664" ht="14.4"/>
    <row r="665" ht="14.4"/>
    <row r="666" ht="14.4"/>
    <row r="667" ht="14.4"/>
    <row r="668" ht="14.4"/>
    <row r="669" ht="14.4"/>
    <row r="670" ht="14.4"/>
    <row r="671" ht="14.4"/>
    <row r="672" ht="14.4"/>
    <row r="673" ht="14.4"/>
    <row r="674" ht="14.4"/>
    <row r="675" ht="14.4"/>
    <row r="676" ht="14.4"/>
    <row r="677" ht="14.4"/>
    <row r="678" ht="14.4"/>
    <row r="679" ht="14.4"/>
    <row r="680" ht="14.4"/>
    <row r="681" ht="14.4"/>
    <row r="682" ht="14.4"/>
    <row r="683" ht="14.4"/>
    <row r="684" ht="14.4"/>
    <row r="685" ht="14.4"/>
    <row r="686" ht="14.4"/>
    <row r="687" ht="14.4"/>
    <row r="688" ht="14.4"/>
    <row r="689" ht="14.4"/>
    <row r="690" ht="14.4"/>
    <row r="691" ht="14.4"/>
    <row r="692" ht="14.4"/>
    <row r="693" ht="14.4"/>
    <row r="694" ht="14.4"/>
    <row r="695" ht="14.4"/>
    <row r="696" ht="14.4"/>
    <row r="697" ht="14.4"/>
    <row r="698" ht="14.4"/>
    <row r="699" ht="14.4"/>
    <row r="700" ht="14.4"/>
    <row r="701" ht="14.4"/>
    <row r="702" ht="14.4"/>
    <row r="703" ht="14.4"/>
    <row r="704" ht="14.4"/>
    <row r="705" ht="14.4"/>
    <row r="706" ht="14.4"/>
    <row r="707" ht="14.4"/>
    <row r="708" ht="14.4"/>
    <row r="709" ht="14.4"/>
    <row r="710" ht="14.4"/>
    <row r="711" ht="14.4"/>
    <row r="712" ht="14.4"/>
    <row r="713" ht="14.4"/>
    <row r="714" ht="14.4"/>
    <row r="715" ht="14.4"/>
    <row r="716" ht="14.4"/>
    <row r="717" ht="14.4"/>
    <row r="718" ht="14.4"/>
    <row r="719" ht="14.4"/>
    <row r="720" ht="14.4"/>
    <row r="721" ht="14.4"/>
    <row r="722" ht="14.4"/>
    <row r="723" ht="14.4"/>
    <row r="724" ht="14.4"/>
    <row r="725" ht="14.4"/>
    <row r="726" ht="14.4"/>
    <row r="727" ht="14.4"/>
    <row r="728" ht="14.4"/>
    <row r="729" ht="14.4"/>
    <row r="730" ht="14.4"/>
    <row r="731" ht="14.4"/>
    <row r="732" ht="14.4"/>
    <row r="733" ht="14.4"/>
    <row r="734" ht="14.4"/>
    <row r="735" ht="14.4"/>
    <row r="736" ht="14.4"/>
    <row r="737" ht="14.4"/>
    <row r="738" ht="14.4"/>
    <row r="739" ht="14.4"/>
    <row r="740" ht="14.4"/>
    <row r="741" ht="14.4"/>
    <row r="742" ht="14.4"/>
    <row r="743" ht="14.4"/>
    <row r="744" ht="14.4"/>
    <row r="745" ht="14.4"/>
    <row r="746" ht="14.4"/>
    <row r="747" ht="14.4"/>
    <row r="748" ht="14.4"/>
    <row r="749" ht="14.4"/>
    <row r="750" ht="14.4"/>
    <row r="751" ht="14.4"/>
    <row r="752" ht="14.4"/>
    <row r="753" ht="14.4"/>
    <row r="754" ht="14.4"/>
    <row r="755" ht="14.4"/>
    <row r="756" ht="14.4"/>
    <row r="757" ht="14.4"/>
    <row r="758" ht="14.4"/>
    <row r="759" ht="14.4"/>
    <row r="760" ht="14.4"/>
    <row r="761" ht="14.4"/>
    <row r="762" ht="14.4"/>
    <row r="763" ht="14.4"/>
    <row r="764" ht="14.4"/>
    <row r="765" ht="14.4"/>
    <row r="766" ht="14.4"/>
    <row r="767" ht="14.4"/>
    <row r="768" ht="14.4"/>
    <row r="769" ht="14.4"/>
    <row r="770" ht="14.4"/>
    <row r="771" ht="14.4"/>
    <row r="772" ht="14.4"/>
    <row r="773" ht="14.4"/>
    <row r="774" ht="14.4"/>
    <row r="775" ht="14.4"/>
    <row r="776" ht="14.4"/>
    <row r="777" ht="14.4"/>
    <row r="778" ht="14.4"/>
    <row r="779" ht="14.4"/>
    <row r="780" ht="14.4"/>
    <row r="781" ht="14.4"/>
    <row r="782" ht="14.4"/>
    <row r="783" ht="14.4"/>
    <row r="784" ht="14.4"/>
    <row r="785" ht="14.4"/>
    <row r="786" ht="14.4"/>
    <row r="787" ht="14.4"/>
    <row r="788" ht="14.4"/>
    <row r="789" ht="14.4"/>
    <row r="790" ht="14.4"/>
    <row r="791" ht="14.4"/>
    <row r="792" ht="14.4"/>
    <row r="793" ht="14.4"/>
    <row r="794" ht="14.4"/>
    <row r="795" ht="14.4"/>
    <row r="796" ht="14.4"/>
    <row r="797" ht="14.4"/>
    <row r="798" ht="14.4"/>
    <row r="799" ht="14.4"/>
    <row r="800" ht="14.4"/>
    <row r="801" ht="14.4"/>
    <row r="802" ht="14.4"/>
    <row r="803" ht="14.4"/>
    <row r="804" ht="14.4"/>
    <row r="805" ht="14.4"/>
    <row r="806" ht="14.4"/>
    <row r="807" ht="14.4"/>
    <row r="808" ht="14.4"/>
    <row r="809" ht="14.4"/>
    <row r="810" ht="14.4"/>
    <row r="811" ht="14.4"/>
    <row r="812" ht="14.4"/>
    <row r="813" ht="14.4"/>
    <row r="814" ht="14.4"/>
    <row r="815" ht="14.4"/>
    <row r="816" ht="14.4"/>
    <row r="817" ht="14.4"/>
    <row r="818" ht="14.4"/>
    <row r="819" ht="14.4"/>
    <row r="820" ht="14.4"/>
    <row r="821" ht="14.4"/>
    <row r="822" ht="14.4"/>
    <row r="823" ht="14.4"/>
    <row r="824" ht="14.4"/>
    <row r="825" ht="14.4"/>
    <row r="826" ht="14.4"/>
    <row r="827" ht="14.4"/>
    <row r="828" ht="14.4"/>
    <row r="829" ht="14.4"/>
    <row r="830" ht="14.4"/>
    <row r="831" ht="14.4"/>
    <row r="832" ht="14.4"/>
    <row r="833" ht="14.4"/>
    <row r="834" ht="14.4"/>
    <row r="835" ht="14.4"/>
    <row r="836" ht="14.4"/>
    <row r="837" ht="14.4"/>
    <row r="838" ht="14.4"/>
    <row r="839" ht="14.4"/>
    <row r="840" ht="14.4"/>
    <row r="841" ht="14.4"/>
    <row r="842" ht="14.4"/>
    <row r="843" ht="14.4"/>
    <row r="844" ht="14.4"/>
    <row r="845" ht="14.4"/>
    <row r="846" ht="14.4"/>
    <row r="847" ht="14.4"/>
    <row r="848" ht="14.4"/>
    <row r="849" ht="14.4"/>
    <row r="850" ht="14.4"/>
    <row r="851" ht="14.4"/>
    <row r="852" ht="14.4"/>
    <row r="853" ht="14.4"/>
    <row r="854" ht="14.4"/>
    <row r="855" ht="14.4"/>
    <row r="856" ht="14.4"/>
    <row r="857" ht="14.4"/>
    <row r="858" ht="14.4"/>
    <row r="859" ht="14.4"/>
    <row r="860" ht="14.4"/>
    <row r="861" ht="14.4"/>
    <row r="862" ht="14.4"/>
    <row r="863" ht="14.4"/>
    <row r="864" ht="14.4"/>
    <row r="865" ht="14.4"/>
    <row r="866" ht="14.4"/>
    <row r="867" ht="14.4"/>
    <row r="868" ht="14.4"/>
    <row r="869" ht="14.4"/>
    <row r="870" ht="14.4"/>
    <row r="871" ht="14.4"/>
    <row r="872" ht="14.4"/>
    <row r="873" ht="14.4"/>
    <row r="874" ht="14.4"/>
    <row r="875" ht="14.4"/>
    <row r="876" ht="14.4"/>
    <row r="877" ht="14.4"/>
    <row r="878" ht="14.4"/>
    <row r="879" ht="14.4"/>
    <row r="880" ht="14.4"/>
    <row r="881" ht="14.4"/>
    <row r="882" ht="14.4"/>
    <row r="883" ht="14.4"/>
    <row r="884" ht="14.4"/>
    <row r="885" ht="14.4"/>
    <row r="886" ht="14.4"/>
    <row r="887" ht="14.4"/>
    <row r="888" ht="14.4"/>
    <row r="889" ht="14.4"/>
    <row r="890" ht="14.4"/>
    <row r="891" ht="14.4"/>
    <row r="892" ht="14.4"/>
    <row r="893" ht="14.4"/>
    <row r="894" ht="14.4"/>
    <row r="895" ht="14.4"/>
    <row r="896" ht="14.4"/>
    <row r="897" ht="14.4"/>
    <row r="898" ht="14.4"/>
    <row r="899" ht="14.4"/>
    <row r="900" ht="14.4"/>
    <row r="901" ht="14.4"/>
    <row r="902" ht="14.4"/>
    <row r="903" ht="14.4"/>
    <row r="904" ht="14.4"/>
    <row r="905" ht="14.4"/>
    <row r="906" ht="14.4"/>
    <row r="907" ht="14.4"/>
    <row r="908" ht="14.4"/>
    <row r="909" ht="14.4"/>
    <row r="910" ht="14.4"/>
    <row r="911" ht="14.4"/>
    <row r="912" ht="14.4"/>
    <row r="913" ht="14.4"/>
    <row r="914" ht="14.4"/>
    <row r="915" ht="14.4"/>
    <row r="916" ht="14.4"/>
    <row r="917" ht="14.4"/>
    <row r="918" ht="14.4"/>
    <row r="919" ht="14.4"/>
    <row r="920" ht="14.4"/>
    <row r="921" ht="14.4"/>
    <row r="922" ht="14.4"/>
    <row r="923" ht="14.4"/>
    <row r="924" ht="14.4"/>
    <row r="925" ht="14.4"/>
    <row r="926" ht="14.4"/>
    <row r="927" ht="14.4"/>
    <row r="928" ht="14.4"/>
    <row r="929" ht="14.4"/>
    <row r="930" ht="14.4"/>
    <row r="931" ht="14.4"/>
    <row r="932" ht="14.4"/>
    <row r="933" ht="14.4"/>
    <row r="934" ht="14.4"/>
    <row r="935" ht="14.4"/>
    <row r="936" ht="14.4"/>
    <row r="937" ht="14.4"/>
    <row r="938" ht="14.4"/>
    <row r="939" ht="14.4"/>
    <row r="940" ht="14.4"/>
    <row r="941" ht="14.4"/>
    <row r="942" ht="14.4"/>
    <row r="943" ht="14.4"/>
    <row r="944" ht="14.4"/>
    <row r="945" ht="14.4"/>
    <row r="946" ht="14.4"/>
    <row r="947" ht="14.4"/>
    <row r="948" ht="14.4"/>
    <row r="949" ht="14.4"/>
    <row r="950" ht="14.4"/>
    <row r="951" ht="14.4"/>
    <row r="952" ht="14.4"/>
    <row r="953" ht="14.4"/>
    <row r="954" ht="14.4"/>
    <row r="955" ht="14.4"/>
    <row r="956" ht="14.4"/>
    <row r="957" ht="14.4"/>
    <row r="958" ht="14.4"/>
    <row r="959" ht="14.4"/>
    <row r="960" ht="14.4"/>
    <row r="961" ht="14.4"/>
    <row r="962" ht="14.4"/>
    <row r="963" ht="14.4"/>
    <row r="964" ht="14.4"/>
    <row r="965" ht="14.4"/>
    <row r="966" ht="14.4"/>
    <row r="967" ht="14.4"/>
    <row r="968" ht="14.4"/>
    <row r="969" ht="14.4"/>
    <row r="970" ht="14.4"/>
    <row r="971" ht="14.4"/>
    <row r="972" ht="14.4"/>
    <row r="973" ht="14.4"/>
    <row r="974" ht="14.4"/>
    <row r="975" ht="14.4"/>
    <row r="976" ht="14.4"/>
    <row r="977" ht="14.4"/>
    <row r="978" ht="14.4"/>
    <row r="979" ht="14.4"/>
    <row r="980" ht="14.4"/>
    <row r="981" ht="14.4"/>
    <row r="982" ht="14.4"/>
    <row r="983" ht="14.4"/>
    <row r="984" ht="14.4"/>
    <row r="985" ht="14.4"/>
    <row r="986" ht="14.4"/>
    <row r="987" ht="14.4"/>
    <row r="988" ht="14.4"/>
    <row r="989" ht="14.4"/>
    <row r="990" ht="14.4"/>
    <row r="991" ht="14.4"/>
    <row r="992" ht="14.4"/>
    <row r="993" ht="14.4"/>
    <row r="994" ht="14.4"/>
    <row r="995" ht="14.4"/>
    <row r="996" ht="14.4"/>
    <row r="997" ht="14.4"/>
    <row r="998" ht="14.4"/>
    <row r="999" ht="14.4"/>
    <row r="1000" ht="14.4"/>
    <row r="1001" ht="14.4"/>
    <row r="1002" ht="14.4"/>
    <row r="1003" ht="14.4"/>
    <row r="1004" ht="14.4"/>
    <row r="1005" ht="14.4"/>
    <row r="1006" ht="14.4"/>
    <row r="1007" ht="14.4"/>
    <row r="1008" ht="14.4"/>
    <row r="1009" ht="14.4"/>
    <row r="1010" ht="14.4"/>
    <row r="1011" ht="14.4"/>
    <row r="1012" ht="14.4"/>
    <row r="1013" ht="14.4"/>
    <row r="1014" ht="14.4"/>
    <row r="1015" ht="14.4"/>
    <row r="1016" ht="14.4"/>
    <row r="1017" ht="14.4"/>
    <row r="1018" ht="14.4"/>
    <row r="1019" ht="14.4"/>
    <row r="1020" ht="14.4"/>
    <row r="1021" ht="14.4"/>
    <row r="1022" ht="14.4"/>
    <row r="1023" ht="14.4"/>
    <row r="1024" ht="14.4"/>
    <row r="1025" ht="14.4"/>
    <row r="1026" ht="14.4"/>
    <row r="1027" ht="14.4"/>
    <row r="1028" ht="14.4"/>
    <row r="1029" ht="14.4"/>
    <row r="1030" ht="14.4"/>
    <row r="1031" ht="14.4"/>
    <row r="1032" ht="14.4"/>
    <row r="1033" ht="14.4"/>
    <row r="1034" ht="14.4"/>
    <row r="1035" ht="14.4"/>
    <row r="1036" ht="14.4"/>
    <row r="1037" ht="14.4"/>
    <row r="1038" ht="14.4"/>
    <row r="1039" ht="14.4"/>
    <row r="1040" ht="14.4"/>
    <row r="1041" ht="14.4"/>
    <row r="1042" ht="14.4"/>
    <row r="1043" ht="14.4"/>
    <row r="1044" ht="14.4"/>
    <row r="1045" ht="14.4"/>
    <row r="1046" ht="14.4"/>
    <row r="1047" ht="14.4"/>
    <row r="1048" ht="14.4"/>
    <row r="1049" ht="14.4"/>
    <row r="1050" ht="14.4"/>
    <row r="1051" ht="14.4"/>
    <row r="1052" ht="14.4"/>
    <row r="1053" ht="14.4"/>
    <row r="1054" ht="14.4"/>
    <row r="1055" ht="14.4"/>
    <row r="1056" ht="14.4"/>
    <row r="1057" ht="14.4"/>
    <row r="1058" ht="14.4"/>
    <row r="1059" ht="14.4"/>
    <row r="1060" ht="14.4"/>
    <row r="1061" ht="14.4"/>
    <row r="1062" ht="14.4"/>
    <row r="1063" ht="14.4"/>
    <row r="1064" ht="14.4"/>
    <row r="1065" ht="14.4"/>
    <row r="1066" ht="14.4"/>
    <row r="1067" ht="14.4"/>
    <row r="1068" ht="14.4"/>
    <row r="1069" ht="14.4"/>
    <row r="1070" ht="14.4"/>
    <row r="1071" ht="14.4"/>
    <row r="1072" ht="14.4"/>
    <row r="1073" ht="14.4"/>
    <row r="1074" ht="14.4"/>
    <row r="1075" ht="14.4"/>
    <row r="1076" ht="14.4"/>
    <row r="1077" ht="14.4"/>
    <row r="1078" ht="14.4"/>
    <row r="1079" ht="14.4"/>
    <row r="1080" ht="14.4"/>
    <row r="1081" ht="14.4"/>
    <row r="1082" ht="14.4"/>
    <row r="1083" ht="14.4"/>
    <row r="1084" ht="14.4"/>
    <row r="1085" ht="14.4"/>
    <row r="1086" ht="14.4"/>
    <row r="1087" ht="14.4"/>
    <row r="1088" ht="14.4"/>
    <row r="1089" ht="14.4"/>
    <row r="1090" ht="14.4"/>
    <row r="1091" ht="14.4"/>
    <row r="1092" ht="14.4"/>
    <row r="1093" ht="14.4"/>
    <row r="1094" ht="14.4"/>
    <row r="1095" ht="14.4"/>
    <row r="1096" ht="14.4"/>
    <row r="1097" ht="14.4"/>
    <row r="1098" ht="14.4"/>
    <row r="1099" ht="14.4"/>
    <row r="1100" ht="14.4"/>
    <row r="1101" ht="14.4"/>
    <row r="1102" ht="14.4"/>
    <row r="1103" ht="14.4"/>
    <row r="1104" ht="14.4"/>
    <row r="1105" ht="14.4"/>
    <row r="1106" ht="14.4"/>
    <row r="1107" ht="14.4"/>
    <row r="1108" ht="14.4"/>
    <row r="1109" ht="14.4"/>
    <row r="1110" ht="14.4"/>
    <row r="1111" ht="14.4"/>
    <row r="1112" ht="14.4"/>
    <row r="1113" ht="14.4"/>
    <row r="1114" ht="14.4"/>
    <row r="1115" ht="14.4"/>
    <row r="1116" ht="14.4"/>
    <row r="1117" ht="14.4"/>
    <row r="1118" ht="14.4"/>
    <row r="1119" ht="14.4"/>
    <row r="1120" ht="14.4"/>
    <row r="1121" ht="14.4"/>
    <row r="1122" ht="14.4"/>
    <row r="1123" ht="14.4"/>
    <row r="1124" ht="14.4"/>
    <row r="1125" ht="14.4"/>
    <row r="1126" ht="14.4"/>
    <row r="1127" ht="14.4"/>
    <row r="1128" ht="14.4"/>
    <row r="1129" ht="14.4"/>
    <row r="1130" ht="14.4"/>
    <row r="1131" ht="14.4"/>
    <row r="1132" ht="14.4"/>
    <row r="1133" ht="14.4"/>
    <row r="1134" ht="14.4"/>
    <row r="1135" ht="14.4"/>
    <row r="1136" ht="14.4"/>
    <row r="1137" ht="14.4"/>
    <row r="1138" ht="14.4"/>
    <row r="1139" ht="14.4"/>
    <row r="1140" ht="14.4"/>
    <row r="1141" ht="14.4"/>
    <row r="1142" ht="14.4"/>
    <row r="1143" ht="14.4"/>
    <row r="1144" ht="14.4"/>
    <row r="1145" ht="14.4"/>
    <row r="1146" ht="14.4"/>
    <row r="1147" ht="14.4"/>
    <row r="1148" ht="14.4"/>
    <row r="1149" ht="14.4"/>
    <row r="1150" ht="14.4"/>
    <row r="1151" ht="14.4"/>
    <row r="1152" ht="14.4"/>
    <row r="1153" ht="14.4"/>
    <row r="1154" ht="14.4"/>
    <row r="1155" ht="14.4"/>
    <row r="1156" ht="14.4"/>
    <row r="1157" ht="14.4"/>
    <row r="1158" ht="14.4"/>
    <row r="1159" ht="14.4"/>
    <row r="1160" ht="14.4"/>
    <row r="1161" ht="14.4"/>
    <row r="1162" ht="14.4"/>
    <row r="1163" ht="14.4"/>
    <row r="1164" ht="14.4"/>
    <row r="1165" ht="14.4"/>
    <row r="1166" ht="14.4"/>
    <row r="1167" ht="14.4"/>
    <row r="1168" ht="14.4"/>
    <row r="1169" ht="14.4"/>
    <row r="1170" ht="14.4"/>
    <row r="1171" ht="14.4"/>
    <row r="1172" ht="14.4"/>
    <row r="1173" ht="14.4"/>
    <row r="1174" ht="14.4"/>
    <row r="1175" ht="14.4"/>
    <row r="1176" ht="14.4"/>
    <row r="1177" ht="14.4"/>
    <row r="1178" ht="14.4"/>
    <row r="1179" ht="14.4"/>
    <row r="1180" ht="14.4"/>
    <row r="1181" ht="14.4"/>
    <row r="1182" ht="14.4"/>
    <row r="1183" ht="14.4"/>
    <row r="1184" ht="14.4"/>
    <row r="1185" ht="14.4"/>
    <row r="1186" ht="14.4"/>
    <row r="1187" ht="14.4"/>
    <row r="1188" ht="14.4"/>
    <row r="1189" ht="14.4"/>
    <row r="1190" ht="14.4"/>
    <row r="1191" ht="14.4"/>
    <row r="1192" ht="14.4"/>
    <row r="1193" ht="14.4"/>
    <row r="1194" ht="14.4"/>
    <row r="1195" ht="14.4"/>
    <row r="1196" ht="14.4"/>
    <row r="1197" ht="14.4"/>
    <row r="1198" ht="14.4"/>
    <row r="1199" ht="14.4"/>
    <row r="1200" ht="14.4"/>
    <row r="1201" ht="14.4"/>
    <row r="1202" ht="14.4"/>
    <row r="1203" ht="14.4"/>
    <row r="1204" ht="14.4"/>
  </sheetData>
  <autoFilter ref="A2:M70" xr:uid="{00000000-0009-0000-0000-000007000000}"/>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8"/>
  <dimension ref="A1:I95"/>
  <sheetViews>
    <sheetView showGridLines="0" tabSelected="1" workbookViewId="0">
      <pane ySplit="3" topLeftCell="A15" activePane="bottomLeft" state="frozen"/>
      <selection pane="bottomLeft" activeCell="F23" sqref="F23"/>
    </sheetView>
  </sheetViews>
  <sheetFormatPr baseColWidth="10" defaultColWidth="14.44140625" defaultRowHeight="15" customHeight="1"/>
  <cols>
    <col min="1" max="1" width="18.5546875" customWidth="1"/>
    <col min="2" max="2" width="38.33203125" customWidth="1"/>
    <col min="3" max="3" width="43.5546875" customWidth="1"/>
    <col min="4" max="4" width="23.109375" customWidth="1"/>
    <col min="5" max="5" width="29.6640625" customWidth="1"/>
    <col min="6" max="6" width="35.33203125" customWidth="1"/>
    <col min="7" max="7" width="43.5546875" customWidth="1"/>
    <col min="8" max="8" width="24.88671875" customWidth="1"/>
    <col min="9" max="9" width="41.109375" customWidth="1"/>
  </cols>
  <sheetData>
    <row r="1" spans="1:9" ht="39" customHeight="1">
      <c r="A1" s="110" t="s">
        <v>482</v>
      </c>
      <c r="B1" s="102"/>
      <c r="C1" s="103"/>
      <c r="D1" s="111" t="s">
        <v>483</v>
      </c>
      <c r="E1" s="102"/>
      <c r="F1" s="103"/>
      <c r="H1" s="51"/>
      <c r="I1" s="51"/>
    </row>
    <row r="2" spans="1:9" ht="15.6">
      <c r="A2" s="48" t="s">
        <v>93</v>
      </c>
      <c r="B2" s="48" t="s">
        <v>94</v>
      </c>
      <c r="C2" s="50" t="s">
        <v>484</v>
      </c>
      <c r="D2" s="48" t="s">
        <v>93</v>
      </c>
      <c r="E2" s="48" t="s">
        <v>94</v>
      </c>
      <c r="F2" s="50" t="s">
        <v>485</v>
      </c>
      <c r="G2" s="50" t="s">
        <v>484</v>
      </c>
      <c r="H2" s="51"/>
      <c r="I2" s="51"/>
    </row>
    <row r="3" spans="1:9" ht="62.4">
      <c r="A3" s="53" t="s">
        <v>113</v>
      </c>
      <c r="B3" s="53" t="s">
        <v>168</v>
      </c>
      <c r="C3" s="53" t="s">
        <v>169</v>
      </c>
      <c r="D3" s="53" t="s">
        <v>113</v>
      </c>
      <c r="E3" s="53" t="s">
        <v>168</v>
      </c>
      <c r="F3" s="53" t="s">
        <v>169</v>
      </c>
      <c r="G3" s="53" t="s">
        <v>169</v>
      </c>
      <c r="H3" s="51"/>
      <c r="I3" s="51"/>
    </row>
    <row r="4" spans="1:9" ht="15.6">
      <c r="D4" s="92" t="s">
        <v>129</v>
      </c>
      <c r="E4" s="92" t="s">
        <v>130</v>
      </c>
      <c r="F4" s="93" t="s">
        <v>183</v>
      </c>
      <c r="H4" s="51" t="s">
        <v>178</v>
      </c>
      <c r="I4" s="51" t="e">
        <f t="shared" ref="I4:I95" si="0">VLOOKUP(H4,$F$4:$G$95,2,FALSE)</f>
        <v>#N/A</v>
      </c>
    </row>
    <row r="5" spans="1:9" ht="15.6">
      <c r="A5" s="94" t="s">
        <v>486</v>
      </c>
      <c r="B5" s="94" t="s">
        <v>487</v>
      </c>
      <c r="C5" s="93" t="s">
        <v>184</v>
      </c>
      <c r="D5" s="92" t="s">
        <v>129</v>
      </c>
      <c r="E5" s="92" t="s">
        <v>130</v>
      </c>
      <c r="F5" s="93" t="s">
        <v>472</v>
      </c>
      <c r="G5" s="93" t="s">
        <v>184</v>
      </c>
      <c r="H5" s="51" t="s">
        <v>183</v>
      </c>
      <c r="I5" s="51">
        <f t="shared" si="0"/>
        <v>0</v>
      </c>
    </row>
    <row r="6" spans="1:9" ht="15.6">
      <c r="A6" s="94" t="s">
        <v>486</v>
      </c>
      <c r="B6" s="94" t="s">
        <v>487</v>
      </c>
      <c r="C6" s="93" t="s">
        <v>188</v>
      </c>
      <c r="D6" s="92" t="s">
        <v>129</v>
      </c>
      <c r="E6" s="92" t="s">
        <v>130</v>
      </c>
      <c r="F6" s="93" t="s">
        <v>187</v>
      </c>
      <c r="G6" s="93" t="s">
        <v>188</v>
      </c>
      <c r="H6" s="51" t="s">
        <v>472</v>
      </c>
      <c r="I6" s="51" t="str">
        <f t="shared" si="0"/>
        <v>COMERCIO</v>
      </c>
    </row>
    <row r="7" spans="1:9" ht="15.6">
      <c r="A7" s="95" t="s">
        <v>486</v>
      </c>
      <c r="B7" s="95" t="s">
        <v>487</v>
      </c>
      <c r="C7" s="96" t="s">
        <v>191</v>
      </c>
      <c r="D7" s="97"/>
      <c r="E7" s="97"/>
      <c r="F7" s="96"/>
      <c r="G7" s="96" t="s">
        <v>191</v>
      </c>
      <c r="H7" s="75" t="s">
        <v>187</v>
      </c>
      <c r="I7" s="51" t="str">
        <f t="shared" si="0"/>
        <v>ADQ/C.COR</v>
      </c>
    </row>
    <row r="8" spans="1:9" ht="15.6">
      <c r="A8" s="95" t="s">
        <v>486</v>
      </c>
      <c r="B8" s="95" t="s">
        <v>487</v>
      </c>
      <c r="C8" s="96" t="s">
        <v>194</v>
      </c>
      <c r="D8" s="95"/>
      <c r="E8" s="95"/>
      <c r="F8" s="96"/>
      <c r="G8" s="96" t="s">
        <v>194</v>
      </c>
      <c r="H8" s="75" t="s">
        <v>200</v>
      </c>
      <c r="I8" s="51" t="str">
        <f t="shared" si="0"/>
        <v>CATEGORIA</v>
      </c>
    </row>
    <row r="9" spans="1:9" ht="15.6">
      <c r="A9" s="95" t="s">
        <v>486</v>
      </c>
      <c r="B9" s="95" t="s">
        <v>487</v>
      </c>
      <c r="C9" s="96" t="s">
        <v>197</v>
      </c>
      <c r="D9" s="95"/>
      <c r="E9" s="95"/>
      <c r="F9" s="96"/>
      <c r="G9" s="96" t="s">
        <v>197</v>
      </c>
      <c r="H9" s="75" t="s">
        <v>207</v>
      </c>
      <c r="I9" s="51" t="str">
        <f t="shared" si="0"/>
        <v>RUC</v>
      </c>
    </row>
    <row r="10" spans="1:9" ht="15.6">
      <c r="A10" s="94" t="s">
        <v>486</v>
      </c>
      <c r="B10" s="94" t="s">
        <v>487</v>
      </c>
      <c r="C10" s="98" t="s">
        <v>201</v>
      </c>
      <c r="D10" s="92" t="s">
        <v>129</v>
      </c>
      <c r="E10" s="92" t="s">
        <v>130</v>
      </c>
      <c r="F10" s="93" t="s">
        <v>200</v>
      </c>
      <c r="G10" s="98" t="s">
        <v>201</v>
      </c>
      <c r="H10" s="51" t="s">
        <v>224</v>
      </c>
      <c r="I10" s="51" t="str">
        <f t="shared" si="0"/>
        <v>TELEFONO_COMERCIO</v>
      </c>
    </row>
    <row r="11" spans="1:9" ht="15.6">
      <c r="A11" s="95" t="s">
        <v>486</v>
      </c>
      <c r="B11" s="95" t="s">
        <v>487</v>
      </c>
      <c r="C11" s="96" t="s">
        <v>204</v>
      </c>
      <c r="D11" s="95"/>
      <c r="E11" s="95"/>
      <c r="F11" s="96"/>
      <c r="G11" s="96" t="s">
        <v>204</v>
      </c>
      <c r="H11" s="75" t="s">
        <v>228</v>
      </c>
      <c r="I11" s="51" t="str">
        <f t="shared" si="0"/>
        <v>CONTACTO</v>
      </c>
    </row>
    <row r="12" spans="1:9" ht="15.6">
      <c r="A12" s="94" t="s">
        <v>486</v>
      </c>
      <c r="B12" s="94" t="s">
        <v>487</v>
      </c>
      <c r="C12" s="93" t="s">
        <v>208</v>
      </c>
      <c r="D12" s="92" t="s">
        <v>129</v>
      </c>
      <c r="E12" s="92" t="s">
        <v>130</v>
      </c>
      <c r="F12" s="93" t="s">
        <v>207</v>
      </c>
      <c r="G12" s="93" t="s">
        <v>208</v>
      </c>
      <c r="H12" s="51" t="s">
        <v>231</v>
      </c>
      <c r="I12" s="51" t="str">
        <f t="shared" si="0"/>
        <v>PERFIL_COMERCIO</v>
      </c>
    </row>
    <row r="13" spans="1:9" ht="15.6">
      <c r="A13" s="95" t="s">
        <v>486</v>
      </c>
      <c r="B13" s="95" t="s">
        <v>487</v>
      </c>
      <c r="C13" s="96" t="s">
        <v>210</v>
      </c>
      <c r="D13" s="95"/>
      <c r="E13" s="95"/>
      <c r="F13" s="96"/>
      <c r="G13" s="96" t="s">
        <v>210</v>
      </c>
      <c r="H13" s="75" t="s">
        <v>235</v>
      </c>
      <c r="I13" s="51" t="str">
        <f t="shared" si="0"/>
        <v>PERFIL_DESCARGA</v>
      </c>
    </row>
    <row r="14" spans="1:9" ht="15.6">
      <c r="A14" s="95" t="s">
        <v>486</v>
      </c>
      <c r="B14" s="95" t="s">
        <v>487</v>
      </c>
      <c r="C14" s="96" t="s">
        <v>213</v>
      </c>
      <c r="D14" s="95"/>
      <c r="E14" s="95"/>
      <c r="F14" s="96"/>
      <c r="G14" s="96" t="s">
        <v>213</v>
      </c>
      <c r="H14" s="75" t="s">
        <v>239</v>
      </c>
      <c r="I14" s="51" t="str">
        <f t="shared" si="0"/>
        <v>TERMINAL</v>
      </c>
    </row>
    <row r="15" spans="1:9" ht="15.6">
      <c r="A15" s="95" t="s">
        <v>486</v>
      </c>
      <c r="B15" s="95" t="s">
        <v>487</v>
      </c>
      <c r="C15" s="96" t="s">
        <v>216</v>
      </c>
      <c r="D15" s="95"/>
      <c r="E15" s="95"/>
      <c r="F15" s="96"/>
      <c r="G15" s="96" t="s">
        <v>216</v>
      </c>
      <c r="H15" s="75" t="s">
        <v>242</v>
      </c>
      <c r="I15" s="51" t="str">
        <f t="shared" si="0"/>
        <v>SERIE</v>
      </c>
    </row>
    <row r="16" spans="1:9" ht="15.6">
      <c r="A16" s="95" t="s">
        <v>486</v>
      </c>
      <c r="B16" s="95" t="s">
        <v>487</v>
      </c>
      <c r="C16" s="96" t="s">
        <v>218</v>
      </c>
      <c r="D16" s="95"/>
      <c r="E16" s="95"/>
      <c r="F16" s="96"/>
      <c r="G16" s="96" t="s">
        <v>218</v>
      </c>
      <c r="H16" s="75" t="s">
        <v>246</v>
      </c>
      <c r="I16" s="51" t="str">
        <f t="shared" si="0"/>
        <v>MEDIO_MCC</v>
      </c>
    </row>
    <row r="17" spans="1:9" ht="15.6">
      <c r="A17" s="95" t="s">
        <v>486</v>
      </c>
      <c r="B17" s="95" t="s">
        <v>487</v>
      </c>
      <c r="C17" s="96" t="s">
        <v>220</v>
      </c>
      <c r="D17" s="95"/>
      <c r="E17" s="95"/>
      <c r="F17" s="99"/>
      <c r="G17" s="96" t="s">
        <v>220</v>
      </c>
      <c r="H17" s="75" t="s">
        <v>250</v>
      </c>
      <c r="I17" s="51" t="str">
        <f t="shared" si="0"/>
        <v>MEDIO</v>
      </c>
    </row>
    <row r="18" spans="1:9" ht="15.6">
      <c r="A18" s="94" t="s">
        <v>486</v>
      </c>
      <c r="B18" s="94" t="s">
        <v>487</v>
      </c>
      <c r="C18" s="93" t="s">
        <v>225</v>
      </c>
      <c r="D18" s="92" t="s">
        <v>129</v>
      </c>
      <c r="E18" s="92" t="s">
        <v>130</v>
      </c>
      <c r="F18" s="100" t="s">
        <v>224</v>
      </c>
      <c r="G18" s="93" t="s">
        <v>225</v>
      </c>
      <c r="H18" s="51" t="s">
        <v>254</v>
      </c>
      <c r="I18" s="51" t="str">
        <f t="shared" si="0"/>
        <v>DESCRIPCION_TERMINAL</v>
      </c>
    </row>
    <row r="19" spans="1:9" ht="15.6">
      <c r="A19" s="94" t="s">
        <v>486</v>
      </c>
      <c r="B19" s="94" t="s">
        <v>487</v>
      </c>
      <c r="C19" s="93" t="s">
        <v>229</v>
      </c>
      <c r="D19" s="92" t="s">
        <v>129</v>
      </c>
      <c r="E19" s="92" t="s">
        <v>130</v>
      </c>
      <c r="F19" s="100" t="s">
        <v>228</v>
      </c>
      <c r="G19" s="93" t="s">
        <v>229</v>
      </c>
      <c r="H19" s="51" t="s">
        <v>258</v>
      </c>
      <c r="I19" s="51" t="str">
        <f t="shared" si="0"/>
        <v>FECHA_ULTIMO_ECO</v>
      </c>
    </row>
    <row r="20" spans="1:9" ht="15.6">
      <c r="A20" s="94" t="s">
        <v>486</v>
      </c>
      <c r="B20" s="94" t="s">
        <v>487</v>
      </c>
      <c r="C20" s="93" t="s">
        <v>232</v>
      </c>
      <c r="D20" s="92" t="s">
        <v>129</v>
      </c>
      <c r="E20" s="92" t="s">
        <v>130</v>
      </c>
      <c r="F20" s="100" t="s">
        <v>231</v>
      </c>
      <c r="G20" s="93" t="s">
        <v>232</v>
      </c>
      <c r="H20" s="51" t="s">
        <v>261</v>
      </c>
      <c r="I20" s="51" t="str">
        <f t="shared" si="0"/>
        <v>FECHA_ULTIMA_TRANSACCION_FINANCIERA</v>
      </c>
    </row>
    <row r="21" spans="1:9" ht="15.6">
      <c r="A21" s="94" t="s">
        <v>486</v>
      </c>
      <c r="B21" s="94" t="s">
        <v>487</v>
      </c>
      <c r="C21" s="93" t="s">
        <v>236</v>
      </c>
      <c r="D21" s="92" t="s">
        <v>129</v>
      </c>
      <c r="E21" s="92" t="s">
        <v>130</v>
      </c>
      <c r="F21" s="100" t="s">
        <v>235</v>
      </c>
      <c r="G21" s="93" t="s">
        <v>236</v>
      </c>
      <c r="H21" s="51" t="s">
        <v>264</v>
      </c>
      <c r="I21" s="51" t="str">
        <f t="shared" si="0"/>
        <v>FECHA_ULTIMA_TRANSACCION_ADMINISTRATIVA</v>
      </c>
    </row>
    <row r="22" spans="1:9" ht="15.6">
      <c r="A22" s="94" t="s">
        <v>486</v>
      </c>
      <c r="B22" s="94" t="s">
        <v>487</v>
      </c>
      <c r="C22" s="93" t="s">
        <v>240</v>
      </c>
      <c r="D22" s="92" t="s">
        <v>129</v>
      </c>
      <c r="E22" s="92" t="s">
        <v>130</v>
      </c>
      <c r="F22" s="100" t="s">
        <v>239</v>
      </c>
      <c r="G22" s="93" t="s">
        <v>240</v>
      </c>
      <c r="H22" s="51" t="s">
        <v>267</v>
      </c>
      <c r="I22" s="51" t="str">
        <f t="shared" si="0"/>
        <v>SITUACION_TERMINAL</v>
      </c>
    </row>
    <row r="23" spans="1:9" ht="15.6">
      <c r="A23" s="94" t="s">
        <v>486</v>
      </c>
      <c r="B23" s="94" t="s">
        <v>487</v>
      </c>
      <c r="C23" s="93" t="s">
        <v>243</v>
      </c>
      <c r="D23" s="92" t="s">
        <v>129</v>
      </c>
      <c r="E23" s="92" t="s">
        <v>130</v>
      </c>
      <c r="F23" s="100" t="s">
        <v>242</v>
      </c>
      <c r="G23" s="93" t="s">
        <v>243</v>
      </c>
      <c r="H23" s="51" t="s">
        <v>271</v>
      </c>
      <c r="I23" s="51" t="str">
        <f t="shared" si="0"/>
        <v>MODELO</v>
      </c>
    </row>
    <row r="24" spans="1:9" ht="15.6">
      <c r="A24" s="94" t="s">
        <v>486</v>
      </c>
      <c r="B24" s="94" t="s">
        <v>487</v>
      </c>
      <c r="C24" s="93" t="s">
        <v>247</v>
      </c>
      <c r="D24" s="92" t="s">
        <v>129</v>
      </c>
      <c r="E24" s="92" t="s">
        <v>130</v>
      </c>
      <c r="F24" s="100" t="s">
        <v>246</v>
      </c>
      <c r="G24" s="93" t="s">
        <v>247</v>
      </c>
      <c r="H24" s="51" t="s">
        <v>275</v>
      </c>
      <c r="I24" s="51" t="str">
        <f t="shared" si="0"/>
        <v>MODELO_MCC</v>
      </c>
    </row>
    <row r="25" spans="1:9" ht="15.6">
      <c r="A25" s="94" t="s">
        <v>486</v>
      </c>
      <c r="B25" s="94" t="s">
        <v>487</v>
      </c>
      <c r="C25" s="93" t="s">
        <v>251</v>
      </c>
      <c r="D25" s="92" t="s">
        <v>129</v>
      </c>
      <c r="E25" s="92" t="s">
        <v>130</v>
      </c>
      <c r="F25" s="100" t="s">
        <v>250</v>
      </c>
      <c r="G25" s="93" t="s">
        <v>251</v>
      </c>
      <c r="H25" s="51" t="s">
        <v>279</v>
      </c>
      <c r="I25" s="51" t="str">
        <f t="shared" si="0"/>
        <v>VERSION_SWB</v>
      </c>
    </row>
    <row r="26" spans="1:9" ht="15.6">
      <c r="A26" s="94" t="s">
        <v>486</v>
      </c>
      <c r="B26" s="94" t="s">
        <v>487</v>
      </c>
      <c r="C26" s="93" t="s">
        <v>255</v>
      </c>
      <c r="D26" s="92" t="s">
        <v>129</v>
      </c>
      <c r="E26" s="92" t="s">
        <v>130</v>
      </c>
      <c r="F26" s="100" t="s">
        <v>254</v>
      </c>
      <c r="G26" s="93" t="s">
        <v>255</v>
      </c>
      <c r="H26" s="51" t="s">
        <v>283</v>
      </c>
      <c r="I26" s="51" t="str">
        <f t="shared" si="0"/>
        <v>OS_VERSION</v>
      </c>
    </row>
    <row r="27" spans="1:9" ht="15.6">
      <c r="A27" s="94" t="s">
        <v>486</v>
      </c>
      <c r="B27" s="94" t="s">
        <v>487</v>
      </c>
      <c r="C27" s="93" t="s">
        <v>259</v>
      </c>
      <c r="D27" s="92" t="s">
        <v>129</v>
      </c>
      <c r="E27" s="92" t="s">
        <v>130</v>
      </c>
      <c r="F27" s="100" t="s">
        <v>258</v>
      </c>
      <c r="G27" s="93" t="s">
        <v>259</v>
      </c>
      <c r="H27" s="51" t="s">
        <v>287</v>
      </c>
      <c r="I27" s="51" t="str">
        <f t="shared" si="0"/>
        <v>CHIP</v>
      </c>
    </row>
    <row r="28" spans="1:9" ht="15.6">
      <c r="A28" s="94" t="s">
        <v>486</v>
      </c>
      <c r="B28" s="94" t="s">
        <v>487</v>
      </c>
      <c r="C28" s="93" t="s">
        <v>262</v>
      </c>
      <c r="D28" s="92" t="s">
        <v>129</v>
      </c>
      <c r="E28" s="92" t="s">
        <v>130</v>
      </c>
      <c r="F28" s="100" t="s">
        <v>261</v>
      </c>
      <c r="G28" s="93" t="s">
        <v>262</v>
      </c>
      <c r="H28" s="51" t="s">
        <v>291</v>
      </c>
      <c r="I28" s="51" t="str">
        <f t="shared" si="0"/>
        <v>TELEFONO_CHIP</v>
      </c>
    </row>
    <row r="29" spans="1:9" ht="15.6">
      <c r="A29" s="94" t="s">
        <v>486</v>
      </c>
      <c r="B29" s="94" t="s">
        <v>487</v>
      </c>
      <c r="C29" s="93" t="s">
        <v>265</v>
      </c>
      <c r="D29" s="92" t="s">
        <v>129</v>
      </c>
      <c r="E29" s="92" t="s">
        <v>130</v>
      </c>
      <c r="F29" s="100" t="s">
        <v>264</v>
      </c>
      <c r="G29" s="93" t="s">
        <v>265</v>
      </c>
      <c r="H29" s="51" t="s">
        <v>294</v>
      </c>
      <c r="I29" s="51" t="str">
        <f t="shared" si="0"/>
        <v>OPERADOR</v>
      </c>
    </row>
    <row r="30" spans="1:9" ht="15.6">
      <c r="A30" s="94" t="s">
        <v>486</v>
      </c>
      <c r="B30" s="94" t="s">
        <v>487</v>
      </c>
      <c r="C30" s="93" t="s">
        <v>268</v>
      </c>
      <c r="D30" s="92" t="s">
        <v>129</v>
      </c>
      <c r="E30" s="92" t="s">
        <v>130</v>
      </c>
      <c r="F30" s="100" t="s">
        <v>267</v>
      </c>
      <c r="G30" s="93" t="s">
        <v>268</v>
      </c>
      <c r="H30" s="51" t="s">
        <v>298</v>
      </c>
      <c r="I30" s="51" t="str">
        <f t="shared" si="0"/>
        <v>ESTADO_COMERCIO</v>
      </c>
    </row>
    <row r="31" spans="1:9" ht="15.6">
      <c r="A31" s="94" t="s">
        <v>486</v>
      </c>
      <c r="B31" s="94" t="s">
        <v>487</v>
      </c>
      <c r="C31" s="93" t="s">
        <v>272</v>
      </c>
      <c r="D31" s="92" t="s">
        <v>129</v>
      </c>
      <c r="E31" s="92" t="s">
        <v>130</v>
      </c>
      <c r="F31" s="100" t="s">
        <v>271</v>
      </c>
      <c r="G31" s="93" t="s">
        <v>272</v>
      </c>
      <c r="H31" s="51" t="s">
        <v>302</v>
      </c>
      <c r="I31" s="51" t="str">
        <f t="shared" si="0"/>
        <v>ESTADO_LOGICO_COMERCIO</v>
      </c>
    </row>
    <row r="32" spans="1:9" ht="15.6">
      <c r="A32" s="94" t="s">
        <v>486</v>
      </c>
      <c r="B32" s="94" t="s">
        <v>487</v>
      </c>
      <c r="C32" s="93" t="s">
        <v>276</v>
      </c>
      <c r="D32" s="92" t="s">
        <v>129</v>
      </c>
      <c r="E32" s="92" t="s">
        <v>130</v>
      </c>
      <c r="F32" s="100" t="s">
        <v>275</v>
      </c>
      <c r="G32" s="93" t="s">
        <v>276</v>
      </c>
      <c r="H32" s="51" t="s">
        <v>306</v>
      </c>
      <c r="I32" s="51" t="str">
        <f t="shared" si="0"/>
        <v>ESTADO_TERMINAL</v>
      </c>
    </row>
    <row r="33" spans="1:9" ht="15.6">
      <c r="A33" s="94" t="s">
        <v>486</v>
      </c>
      <c r="B33" s="94" t="s">
        <v>487</v>
      </c>
      <c r="C33" s="93" t="s">
        <v>280</v>
      </c>
      <c r="D33" s="92" t="s">
        <v>129</v>
      </c>
      <c r="E33" s="92" t="s">
        <v>130</v>
      </c>
      <c r="F33" s="100" t="s">
        <v>279</v>
      </c>
      <c r="G33" s="93" t="s">
        <v>280</v>
      </c>
      <c r="H33" s="51" t="s">
        <v>309</v>
      </c>
      <c r="I33" s="51" t="str">
        <f t="shared" si="0"/>
        <v>ESTADO_LOGICO_TERMINAL</v>
      </c>
    </row>
    <row r="34" spans="1:9" ht="15.6">
      <c r="A34" s="94" t="s">
        <v>486</v>
      </c>
      <c r="B34" s="94" t="s">
        <v>487</v>
      </c>
      <c r="C34" s="93" t="s">
        <v>284</v>
      </c>
      <c r="D34" s="92" t="s">
        <v>129</v>
      </c>
      <c r="E34" s="92" t="s">
        <v>130</v>
      </c>
      <c r="F34" s="100" t="s">
        <v>283</v>
      </c>
      <c r="G34" s="93" t="s">
        <v>284</v>
      </c>
      <c r="H34" s="51" t="s">
        <v>312</v>
      </c>
      <c r="I34" s="51" t="str">
        <f t="shared" si="0"/>
        <v>APLICACION</v>
      </c>
    </row>
    <row r="35" spans="1:9" ht="15.6">
      <c r="A35" s="94" t="s">
        <v>486</v>
      </c>
      <c r="B35" s="94" t="s">
        <v>487</v>
      </c>
      <c r="C35" s="93" t="s">
        <v>288</v>
      </c>
      <c r="D35" s="92" t="s">
        <v>129</v>
      </c>
      <c r="E35" s="92" t="s">
        <v>130</v>
      </c>
      <c r="F35" s="100" t="s">
        <v>287</v>
      </c>
      <c r="G35" s="93" t="s">
        <v>288</v>
      </c>
      <c r="H35" s="51" t="s">
        <v>316</v>
      </c>
      <c r="I35" s="51" t="str">
        <f t="shared" si="0"/>
        <v>APL_DESC</v>
      </c>
    </row>
    <row r="36" spans="1:9" ht="15.6">
      <c r="A36" s="94" t="s">
        <v>486</v>
      </c>
      <c r="B36" s="94" t="s">
        <v>487</v>
      </c>
      <c r="C36" s="93" t="s">
        <v>292</v>
      </c>
      <c r="D36" s="92" t="s">
        <v>129</v>
      </c>
      <c r="E36" s="92" t="s">
        <v>130</v>
      </c>
      <c r="F36" s="100" t="s">
        <v>291</v>
      </c>
      <c r="G36" s="93" t="s">
        <v>292</v>
      </c>
      <c r="H36" s="51" t="s">
        <v>323</v>
      </c>
      <c r="I36" s="51" t="str">
        <f t="shared" si="0"/>
        <v>dTrE105SN</v>
      </c>
    </row>
    <row r="37" spans="1:9" ht="15.6">
      <c r="A37" s="94" t="s">
        <v>486</v>
      </c>
      <c r="B37" s="94" t="s">
        <v>487</v>
      </c>
      <c r="C37" s="93" t="s">
        <v>295</v>
      </c>
      <c r="D37" s="92" t="s">
        <v>129</v>
      </c>
      <c r="E37" s="92" t="s">
        <v>130</v>
      </c>
      <c r="F37" s="100" t="s">
        <v>294</v>
      </c>
      <c r="G37" s="93" t="s">
        <v>295</v>
      </c>
      <c r="H37" s="51" t="s">
        <v>326</v>
      </c>
      <c r="I37" s="51" t="str">
        <f t="shared" si="0"/>
        <v>VERSION_FLUJO</v>
      </c>
    </row>
    <row r="38" spans="1:9" ht="15.6">
      <c r="A38" s="94" t="s">
        <v>486</v>
      </c>
      <c r="B38" s="94" t="s">
        <v>487</v>
      </c>
      <c r="C38" s="93" t="s">
        <v>299</v>
      </c>
      <c r="D38" s="92" t="s">
        <v>129</v>
      </c>
      <c r="E38" s="92" t="s">
        <v>130</v>
      </c>
      <c r="F38" s="100" t="s">
        <v>298</v>
      </c>
      <c r="G38" s="93" t="s">
        <v>299</v>
      </c>
      <c r="H38" s="51" t="s">
        <v>329</v>
      </c>
      <c r="I38" s="51" t="str">
        <f t="shared" si="0"/>
        <v>VERSION_MAIN</v>
      </c>
    </row>
    <row r="39" spans="1:9" ht="15.6">
      <c r="A39" s="94" t="s">
        <v>486</v>
      </c>
      <c r="B39" s="94" t="s">
        <v>487</v>
      </c>
      <c r="C39" s="93" t="s">
        <v>303</v>
      </c>
      <c r="D39" s="92" t="s">
        <v>129</v>
      </c>
      <c r="E39" s="92" t="s">
        <v>130</v>
      </c>
      <c r="F39" s="100" t="s">
        <v>302</v>
      </c>
      <c r="G39" s="93" t="s">
        <v>303</v>
      </c>
      <c r="H39" s="51" t="s">
        <v>332</v>
      </c>
      <c r="I39" s="51" t="str">
        <f t="shared" si="0"/>
        <v>SERIE_COMPLETA</v>
      </c>
    </row>
    <row r="40" spans="1:9" ht="15.6">
      <c r="A40" s="94" t="s">
        <v>486</v>
      </c>
      <c r="B40" s="94" t="s">
        <v>487</v>
      </c>
      <c r="C40" s="93" t="s">
        <v>307</v>
      </c>
      <c r="D40" s="92" t="s">
        <v>129</v>
      </c>
      <c r="E40" s="92" t="s">
        <v>130</v>
      </c>
      <c r="F40" s="100" t="s">
        <v>306</v>
      </c>
      <c r="G40" s="93" t="s">
        <v>307</v>
      </c>
      <c r="H40" s="51" t="s">
        <v>336</v>
      </c>
      <c r="I40" s="51" t="str">
        <f t="shared" si="0"/>
        <v>MARCA</v>
      </c>
    </row>
    <row r="41" spans="1:9" ht="15.6">
      <c r="A41" s="94" t="s">
        <v>486</v>
      </c>
      <c r="B41" s="94" t="s">
        <v>487</v>
      </c>
      <c r="C41" s="93" t="s">
        <v>310</v>
      </c>
      <c r="D41" s="92" t="s">
        <v>129</v>
      </c>
      <c r="E41" s="92" t="s">
        <v>130</v>
      </c>
      <c r="F41" s="100" t="s">
        <v>309</v>
      </c>
      <c r="G41" s="93" t="s">
        <v>310</v>
      </c>
      <c r="H41" s="51" t="s">
        <v>361</v>
      </c>
      <c r="I41" s="51" t="str">
        <f t="shared" si="0"/>
        <v>PROPINA</v>
      </c>
    </row>
    <row r="42" spans="1:9" ht="15.6">
      <c r="A42" s="94" t="s">
        <v>486</v>
      </c>
      <c r="B42" s="94" t="s">
        <v>487</v>
      </c>
      <c r="C42" s="93" t="s">
        <v>313</v>
      </c>
      <c r="D42" s="92" t="s">
        <v>129</v>
      </c>
      <c r="E42" s="92" t="s">
        <v>130</v>
      </c>
      <c r="F42" s="100" t="s">
        <v>312</v>
      </c>
      <c r="G42" s="93" t="s">
        <v>313</v>
      </c>
      <c r="H42" s="51" t="s">
        <v>365</v>
      </c>
      <c r="I42" s="51" t="str">
        <f t="shared" si="0"/>
        <v>FECHA_ACTUALIZACION_APP</v>
      </c>
    </row>
    <row r="43" spans="1:9" ht="15.6">
      <c r="A43" s="94" t="s">
        <v>486</v>
      </c>
      <c r="B43" s="94" t="s">
        <v>487</v>
      </c>
      <c r="C43" s="93" t="s">
        <v>317</v>
      </c>
      <c r="D43" s="92" t="s">
        <v>129</v>
      </c>
      <c r="E43" s="92" t="s">
        <v>130</v>
      </c>
      <c r="F43" s="100" t="s">
        <v>316</v>
      </c>
      <c r="G43" s="93" t="s">
        <v>317</v>
      </c>
      <c r="H43" s="51" t="s">
        <v>368</v>
      </c>
      <c r="I43" s="51" t="str">
        <f t="shared" si="0"/>
        <v>HORA_ACTUALIZACION_APP</v>
      </c>
    </row>
    <row r="44" spans="1:9" ht="15.6">
      <c r="A44" s="94" t="s">
        <v>486</v>
      </c>
      <c r="B44" s="94" t="s">
        <v>487</v>
      </c>
      <c r="C44" s="93" t="s">
        <v>321</v>
      </c>
      <c r="D44" s="92" t="s">
        <v>129</v>
      </c>
      <c r="E44" s="92" t="s">
        <v>130</v>
      </c>
      <c r="F44" s="100" t="s">
        <v>320</v>
      </c>
      <c r="G44" s="93" t="s">
        <v>321</v>
      </c>
      <c r="H44" s="51" t="s">
        <v>371</v>
      </c>
      <c r="I44" s="51">
        <f t="shared" si="0"/>
        <v>0</v>
      </c>
    </row>
    <row r="45" spans="1:9" ht="15.6">
      <c r="A45" s="94" t="s">
        <v>486</v>
      </c>
      <c r="B45" s="94" t="s">
        <v>487</v>
      </c>
      <c r="C45" s="93" t="s">
        <v>324</v>
      </c>
      <c r="D45" s="92" t="s">
        <v>129</v>
      </c>
      <c r="E45" s="92" t="s">
        <v>130</v>
      </c>
      <c r="F45" s="100" t="s">
        <v>323</v>
      </c>
      <c r="G45" s="93" t="s">
        <v>324</v>
      </c>
      <c r="H45" s="51" t="s">
        <v>378</v>
      </c>
      <c r="I45" s="51" t="str">
        <f t="shared" si="0"/>
        <v>FECHA_ULTIMA_ACTUALIZACION</v>
      </c>
    </row>
    <row r="46" spans="1:9" ht="15.6">
      <c r="A46" s="94" t="s">
        <v>486</v>
      </c>
      <c r="B46" s="94" t="s">
        <v>487</v>
      </c>
      <c r="C46" s="93" t="s">
        <v>327</v>
      </c>
      <c r="D46" s="92" t="s">
        <v>129</v>
      </c>
      <c r="E46" s="92" t="s">
        <v>130</v>
      </c>
      <c r="F46" s="100" t="s">
        <v>326</v>
      </c>
      <c r="G46" s="93" t="s">
        <v>327</v>
      </c>
      <c r="H46" s="51" t="s">
        <v>381</v>
      </c>
      <c r="I46" s="51" t="str">
        <f t="shared" si="0"/>
        <v>HORA_ULTIMA_ACTUALIZACION</v>
      </c>
    </row>
    <row r="47" spans="1:9" ht="15.6">
      <c r="A47" s="94" t="s">
        <v>486</v>
      </c>
      <c r="B47" s="94" t="s">
        <v>487</v>
      </c>
      <c r="C47" s="93" t="s">
        <v>330</v>
      </c>
      <c r="D47" s="92" t="s">
        <v>129</v>
      </c>
      <c r="E47" s="92" t="s">
        <v>130</v>
      </c>
      <c r="F47" s="100" t="s">
        <v>329</v>
      </c>
      <c r="G47" s="93" t="s">
        <v>330</v>
      </c>
      <c r="H47" s="51" t="s">
        <v>384</v>
      </c>
      <c r="I47" s="51">
        <f t="shared" si="0"/>
        <v>0</v>
      </c>
    </row>
    <row r="48" spans="1:9" ht="15.6">
      <c r="A48" s="94" t="s">
        <v>486</v>
      </c>
      <c r="B48" s="94" t="s">
        <v>487</v>
      </c>
      <c r="C48" s="93" t="s">
        <v>333</v>
      </c>
      <c r="D48" s="92" t="s">
        <v>129</v>
      </c>
      <c r="E48" s="92" t="s">
        <v>130</v>
      </c>
      <c r="F48" s="100" t="s">
        <v>332</v>
      </c>
      <c r="G48" s="93" t="s">
        <v>333</v>
      </c>
      <c r="H48" s="51" t="s">
        <v>391</v>
      </c>
      <c r="I48" s="51" t="str">
        <f t="shared" si="0"/>
        <v>cVrVersionId</v>
      </c>
    </row>
    <row r="49" spans="1:9" ht="15.6">
      <c r="A49" s="94" t="s">
        <v>486</v>
      </c>
      <c r="B49" s="94" t="s">
        <v>487</v>
      </c>
      <c r="C49" s="98" t="s">
        <v>337</v>
      </c>
      <c r="D49" s="92" t="s">
        <v>129</v>
      </c>
      <c r="E49" s="92" t="s">
        <v>130</v>
      </c>
      <c r="F49" s="100" t="s">
        <v>336</v>
      </c>
      <c r="G49" s="98" t="s">
        <v>337</v>
      </c>
      <c r="H49" s="51" t="s">
        <v>394</v>
      </c>
      <c r="I49" s="51" t="str">
        <f t="shared" si="0"/>
        <v>cTAVersionApl</v>
      </c>
    </row>
    <row r="50" spans="1:9" ht="15.6">
      <c r="A50" s="95" t="s">
        <v>486</v>
      </c>
      <c r="B50" s="95" t="s">
        <v>487</v>
      </c>
      <c r="C50" s="96" t="s">
        <v>340</v>
      </c>
      <c r="D50" s="95"/>
      <c r="E50" s="95"/>
      <c r="F50" s="99"/>
      <c r="G50" s="96" t="s">
        <v>340</v>
      </c>
      <c r="H50" s="75" t="s">
        <v>398</v>
      </c>
      <c r="I50" s="51" t="str">
        <f t="shared" si="0"/>
        <v>dVrFile</v>
      </c>
    </row>
    <row r="51" spans="1:9" ht="15.6">
      <c r="A51" s="94" t="s">
        <v>486</v>
      </c>
      <c r="B51" s="94" t="s">
        <v>487</v>
      </c>
      <c r="C51" s="93" t="s">
        <v>344</v>
      </c>
      <c r="D51" s="92" t="s">
        <v>129</v>
      </c>
      <c r="E51" s="92" t="s">
        <v>130</v>
      </c>
      <c r="F51" s="100" t="s">
        <v>343</v>
      </c>
      <c r="G51" s="93" t="s">
        <v>344</v>
      </c>
      <c r="H51" s="51" t="s">
        <v>402</v>
      </c>
      <c r="I51" s="51" t="str">
        <f t="shared" si="0"/>
        <v>Marguesi</v>
      </c>
    </row>
    <row r="52" spans="1:9" ht="15.6">
      <c r="A52" s="94" t="s">
        <v>486</v>
      </c>
      <c r="B52" s="94" t="s">
        <v>487</v>
      </c>
      <c r="C52" s="93" t="s">
        <v>347</v>
      </c>
      <c r="D52" s="92" t="s">
        <v>129</v>
      </c>
      <c r="E52" s="92" t="s">
        <v>130</v>
      </c>
      <c r="F52" s="100" t="s">
        <v>346</v>
      </c>
      <c r="G52" s="93" t="s">
        <v>347</v>
      </c>
      <c r="H52" s="51" t="s">
        <v>406</v>
      </c>
      <c r="I52" s="51" t="str">
        <f t="shared" si="0"/>
        <v>FEC_COMPRA</v>
      </c>
    </row>
    <row r="53" spans="1:9" ht="15.6">
      <c r="A53" s="94" t="s">
        <v>486</v>
      </c>
      <c r="B53" s="94" t="s">
        <v>487</v>
      </c>
      <c r="C53" s="93" t="s">
        <v>350</v>
      </c>
      <c r="D53" s="92" t="s">
        <v>129</v>
      </c>
      <c r="E53" s="92" t="s">
        <v>130</v>
      </c>
      <c r="F53" s="100" t="s">
        <v>349</v>
      </c>
      <c r="G53" s="93" t="s">
        <v>350</v>
      </c>
      <c r="H53" s="51" t="s">
        <v>409</v>
      </c>
      <c r="I53" s="51" t="str">
        <f t="shared" si="0"/>
        <v>SITUACION_AS400</v>
      </c>
    </row>
    <row r="54" spans="1:9" ht="15.6">
      <c r="A54" s="94" t="s">
        <v>486</v>
      </c>
      <c r="B54" s="94" t="s">
        <v>487</v>
      </c>
      <c r="C54" s="93" t="s">
        <v>353</v>
      </c>
      <c r="D54" s="92" t="s">
        <v>129</v>
      </c>
      <c r="E54" s="92" t="s">
        <v>130</v>
      </c>
      <c r="F54" s="100" t="s">
        <v>352</v>
      </c>
      <c r="G54" s="93" t="s">
        <v>353</v>
      </c>
      <c r="H54" s="51" t="s">
        <v>440</v>
      </c>
      <c r="I54" s="51" t="str">
        <f t="shared" si="0"/>
        <v>COSECHA</v>
      </c>
    </row>
    <row r="55" spans="1:9" ht="15.6">
      <c r="A55" s="94" t="s">
        <v>486</v>
      </c>
      <c r="B55" s="94" t="s">
        <v>487</v>
      </c>
      <c r="C55" s="93" t="s">
        <v>356</v>
      </c>
      <c r="D55" s="92" t="s">
        <v>129</v>
      </c>
      <c r="E55" s="92" t="s">
        <v>130</v>
      </c>
      <c r="F55" s="100" t="s">
        <v>355</v>
      </c>
      <c r="G55" s="93" t="s">
        <v>356</v>
      </c>
      <c r="H55" s="51" t="s">
        <v>444</v>
      </c>
      <c r="I55" s="51" t="str">
        <f t="shared" si="0"/>
        <v>OFICINA</v>
      </c>
    </row>
    <row r="56" spans="1:9" ht="15.6">
      <c r="A56" s="94" t="s">
        <v>486</v>
      </c>
      <c r="B56" s="94" t="s">
        <v>487</v>
      </c>
      <c r="C56" s="93" t="s">
        <v>359</v>
      </c>
      <c r="D56" s="92" t="s">
        <v>129</v>
      </c>
      <c r="E56" s="92" t="s">
        <v>130</v>
      </c>
      <c r="F56" s="100" t="s">
        <v>358</v>
      </c>
      <c r="G56" s="93" t="s">
        <v>359</v>
      </c>
      <c r="H56" s="51" t="s">
        <v>448</v>
      </c>
      <c r="I56" s="51" t="str">
        <f t="shared" si="0"/>
        <v>MODELO_TERMINAL</v>
      </c>
    </row>
    <row r="57" spans="1:9" ht="15.6">
      <c r="A57" s="94" t="s">
        <v>486</v>
      </c>
      <c r="B57" s="94" t="s">
        <v>487</v>
      </c>
      <c r="C57" s="93" t="s">
        <v>362</v>
      </c>
      <c r="D57" s="92" t="s">
        <v>129</v>
      </c>
      <c r="E57" s="92" t="s">
        <v>130</v>
      </c>
      <c r="F57" s="100" t="s">
        <v>361</v>
      </c>
      <c r="G57" s="93" t="s">
        <v>362</v>
      </c>
      <c r="H57" s="51" t="s">
        <v>454</v>
      </c>
      <c r="I57" s="51" t="str">
        <f t="shared" si="0"/>
        <v>FEC_INST</v>
      </c>
    </row>
    <row r="58" spans="1:9" ht="15.6">
      <c r="A58" s="94" t="s">
        <v>486</v>
      </c>
      <c r="B58" s="94" t="s">
        <v>487</v>
      </c>
      <c r="C58" s="93" t="s">
        <v>366</v>
      </c>
      <c r="D58" s="92" t="s">
        <v>129</v>
      </c>
      <c r="E58" s="92" t="s">
        <v>130</v>
      </c>
      <c r="F58" s="100" t="s">
        <v>365</v>
      </c>
      <c r="G58" s="93" t="s">
        <v>366</v>
      </c>
      <c r="H58" s="51" t="s">
        <v>374</v>
      </c>
      <c r="I58" s="51" t="str">
        <f t="shared" si="0"/>
        <v>NUM_INTENTOS</v>
      </c>
    </row>
    <row r="59" spans="1:9" ht="15.6">
      <c r="A59" s="94" t="s">
        <v>486</v>
      </c>
      <c r="B59" s="94" t="s">
        <v>487</v>
      </c>
      <c r="C59" s="93" t="s">
        <v>369</v>
      </c>
      <c r="D59" s="92" t="s">
        <v>129</v>
      </c>
      <c r="E59" s="92" t="s">
        <v>130</v>
      </c>
      <c r="F59" s="100" t="s">
        <v>368</v>
      </c>
      <c r="G59" s="93" t="s">
        <v>369</v>
      </c>
      <c r="H59" s="51" t="s">
        <v>479</v>
      </c>
      <c r="I59" s="51">
        <f t="shared" si="0"/>
        <v>0</v>
      </c>
    </row>
    <row r="60" spans="1:9" ht="15.6">
      <c r="A60" s="94"/>
      <c r="B60" s="94"/>
      <c r="C60" s="93"/>
      <c r="D60" s="92" t="s">
        <v>129</v>
      </c>
      <c r="E60" s="92" t="s">
        <v>130</v>
      </c>
      <c r="F60" s="100" t="s">
        <v>371</v>
      </c>
      <c r="G60" s="93"/>
      <c r="H60" s="51" t="s">
        <v>320</v>
      </c>
      <c r="I60" s="51" t="str">
        <f t="shared" si="0"/>
        <v>FACTURACION</v>
      </c>
    </row>
    <row r="61" spans="1:9" ht="15.6">
      <c r="A61" s="94" t="s">
        <v>486</v>
      </c>
      <c r="B61" s="94" t="s">
        <v>487</v>
      </c>
      <c r="C61" s="93" t="s">
        <v>375</v>
      </c>
      <c r="D61" s="92" t="s">
        <v>129</v>
      </c>
      <c r="E61" s="92" t="s">
        <v>130</v>
      </c>
      <c r="F61" s="100" t="s">
        <v>374</v>
      </c>
      <c r="G61" s="93" t="s">
        <v>375</v>
      </c>
      <c r="H61" s="51" t="s">
        <v>343</v>
      </c>
      <c r="I61" s="51" t="str">
        <f t="shared" si="0"/>
        <v>SW_CTLS</v>
      </c>
    </row>
    <row r="62" spans="1:9" ht="15.6">
      <c r="A62" s="94" t="s">
        <v>486</v>
      </c>
      <c r="B62" s="94" t="s">
        <v>487</v>
      </c>
      <c r="C62" s="93" t="s">
        <v>379</v>
      </c>
      <c r="D62" s="92" t="s">
        <v>129</v>
      </c>
      <c r="E62" s="92" t="s">
        <v>130</v>
      </c>
      <c r="F62" s="100" t="s">
        <v>378</v>
      </c>
      <c r="G62" s="93" t="s">
        <v>379</v>
      </c>
      <c r="H62" s="51" t="s">
        <v>346</v>
      </c>
      <c r="I62" s="51" t="str">
        <f t="shared" si="0"/>
        <v>HW_CTLS</v>
      </c>
    </row>
    <row r="63" spans="1:9" ht="15.6">
      <c r="A63" s="94" t="s">
        <v>486</v>
      </c>
      <c r="B63" s="94" t="s">
        <v>487</v>
      </c>
      <c r="C63" s="93" t="s">
        <v>382</v>
      </c>
      <c r="D63" s="92" t="s">
        <v>129</v>
      </c>
      <c r="E63" s="92" t="s">
        <v>130</v>
      </c>
      <c r="F63" s="100" t="s">
        <v>381</v>
      </c>
      <c r="G63" s="93" t="s">
        <v>382</v>
      </c>
      <c r="H63" s="51" t="s">
        <v>349</v>
      </c>
      <c r="I63" s="51" t="str">
        <f t="shared" si="0"/>
        <v>PRE_AUTORIZACION_NIVEL_COMERCIO</v>
      </c>
    </row>
    <row r="64" spans="1:9" ht="15.6">
      <c r="A64" s="94"/>
      <c r="B64" s="94"/>
      <c r="C64" s="93"/>
      <c r="D64" s="92" t="s">
        <v>129</v>
      </c>
      <c r="E64" s="92" t="s">
        <v>130</v>
      </c>
      <c r="F64" s="100" t="s">
        <v>384</v>
      </c>
      <c r="G64" s="93"/>
      <c r="H64" s="51" t="s">
        <v>352</v>
      </c>
      <c r="I64" s="51" t="str">
        <f t="shared" si="0"/>
        <v>PRE_AUTORIZACION_NIVEL_TERMINAL</v>
      </c>
    </row>
    <row r="65" spans="1:9" ht="15.6">
      <c r="A65" s="94" t="s">
        <v>486</v>
      </c>
      <c r="B65" s="94" t="s">
        <v>487</v>
      </c>
      <c r="C65" s="93" t="s">
        <v>387</v>
      </c>
      <c r="D65" s="92" t="s">
        <v>129</v>
      </c>
      <c r="E65" s="92" t="s">
        <v>130</v>
      </c>
      <c r="F65" s="100" t="s">
        <v>386</v>
      </c>
      <c r="G65" s="93" t="s">
        <v>387</v>
      </c>
      <c r="H65" s="51" t="s">
        <v>355</v>
      </c>
      <c r="I65" s="51" t="str">
        <f t="shared" si="0"/>
        <v>DIGITACION_MANUAL_NIVEL_COMERCIO</v>
      </c>
    </row>
    <row r="66" spans="1:9" ht="15.6">
      <c r="A66" s="95" t="s">
        <v>486</v>
      </c>
      <c r="B66" s="95" t="s">
        <v>487</v>
      </c>
      <c r="C66" s="96" t="s">
        <v>389</v>
      </c>
      <c r="D66" s="95"/>
      <c r="E66" s="95"/>
      <c r="F66" s="99"/>
      <c r="G66" s="96" t="s">
        <v>389</v>
      </c>
      <c r="H66" s="75" t="s">
        <v>358</v>
      </c>
      <c r="I66" s="51" t="str">
        <f t="shared" si="0"/>
        <v>DIGITACION_MANUAL_NIVEL_TERMINAL</v>
      </c>
    </row>
    <row r="67" spans="1:9" ht="15.6">
      <c r="A67" s="94" t="s">
        <v>486</v>
      </c>
      <c r="B67" s="94" t="s">
        <v>487</v>
      </c>
      <c r="C67" s="93" t="s">
        <v>392</v>
      </c>
      <c r="D67" s="92" t="s">
        <v>129</v>
      </c>
      <c r="E67" s="92" t="s">
        <v>130</v>
      </c>
      <c r="F67" s="100" t="s">
        <v>391</v>
      </c>
      <c r="G67" s="93" t="s">
        <v>392</v>
      </c>
      <c r="H67" s="51" t="s">
        <v>386</v>
      </c>
      <c r="I67" s="51" t="str">
        <f t="shared" si="0"/>
        <v>VERSION_ACTUALIZADO</v>
      </c>
    </row>
    <row r="68" spans="1:9" ht="15.6">
      <c r="A68" s="94" t="s">
        <v>486</v>
      </c>
      <c r="B68" s="94" t="s">
        <v>487</v>
      </c>
      <c r="C68" s="93" t="s">
        <v>395</v>
      </c>
      <c r="D68" s="92" t="s">
        <v>129</v>
      </c>
      <c r="E68" s="92" t="s">
        <v>130</v>
      </c>
      <c r="F68" s="100" t="s">
        <v>394</v>
      </c>
      <c r="G68" s="93" t="s">
        <v>395</v>
      </c>
      <c r="H68" s="51" t="s">
        <v>413</v>
      </c>
      <c r="I68" s="51" t="str">
        <f t="shared" si="0"/>
        <v>EMV_DINERS</v>
      </c>
    </row>
    <row r="69" spans="1:9" ht="15.6">
      <c r="A69" s="94" t="s">
        <v>486</v>
      </c>
      <c r="B69" s="94" t="s">
        <v>487</v>
      </c>
      <c r="C69" s="93" t="s">
        <v>399</v>
      </c>
      <c r="D69" s="92" t="s">
        <v>129</v>
      </c>
      <c r="E69" s="92" t="s">
        <v>130</v>
      </c>
      <c r="F69" s="100" t="s">
        <v>398</v>
      </c>
      <c r="G69" s="93" t="s">
        <v>399</v>
      </c>
      <c r="H69" s="51" t="s">
        <v>422</v>
      </c>
      <c r="I69" s="51" t="str">
        <f t="shared" si="0"/>
        <v>FLG_PINPAD</v>
      </c>
    </row>
    <row r="70" spans="1:9" ht="15.6">
      <c r="A70" s="94" t="s">
        <v>486</v>
      </c>
      <c r="B70" s="94" t="s">
        <v>487</v>
      </c>
      <c r="C70" s="93" t="s">
        <v>403</v>
      </c>
      <c r="D70" s="92" t="s">
        <v>129</v>
      </c>
      <c r="E70" s="92" t="s">
        <v>130</v>
      </c>
      <c r="F70" s="100" t="s">
        <v>402</v>
      </c>
      <c r="G70" s="93" t="s">
        <v>403</v>
      </c>
      <c r="H70" s="51" t="s">
        <v>426</v>
      </c>
      <c r="I70" s="51" t="str">
        <f t="shared" si="0"/>
        <v>FLG_MULTICOMERCIO</v>
      </c>
    </row>
    <row r="71" spans="1:9" ht="15.6">
      <c r="A71" s="94" t="s">
        <v>486</v>
      </c>
      <c r="B71" s="94" t="s">
        <v>487</v>
      </c>
      <c r="C71" s="93" t="s">
        <v>407</v>
      </c>
      <c r="D71" s="92" t="s">
        <v>129</v>
      </c>
      <c r="E71" s="92" t="s">
        <v>130</v>
      </c>
      <c r="F71" s="100" t="s">
        <v>406</v>
      </c>
      <c r="G71" s="93" t="s">
        <v>407</v>
      </c>
      <c r="H71" s="51" t="s">
        <v>463</v>
      </c>
      <c r="I71" s="51">
        <f t="shared" si="0"/>
        <v>0</v>
      </c>
    </row>
    <row r="72" spans="1:9" ht="15.6">
      <c r="A72" s="94" t="s">
        <v>486</v>
      </c>
      <c r="B72" s="94" t="s">
        <v>487</v>
      </c>
      <c r="C72" s="93" t="s">
        <v>410</v>
      </c>
      <c r="D72" s="92" t="s">
        <v>129</v>
      </c>
      <c r="E72" s="92" t="s">
        <v>130</v>
      </c>
      <c r="F72" s="100" t="s">
        <v>409</v>
      </c>
      <c r="G72" s="93" t="s">
        <v>410</v>
      </c>
      <c r="H72" s="51" t="s">
        <v>465</v>
      </c>
      <c r="I72" s="51">
        <f t="shared" si="0"/>
        <v>0</v>
      </c>
    </row>
    <row r="73" spans="1:9" ht="15.6">
      <c r="A73" s="94" t="s">
        <v>486</v>
      </c>
      <c r="B73" s="94" t="s">
        <v>487</v>
      </c>
      <c r="C73" s="93" t="s">
        <v>414</v>
      </c>
      <c r="D73" s="92" t="s">
        <v>129</v>
      </c>
      <c r="E73" s="92" t="s">
        <v>130</v>
      </c>
      <c r="F73" s="100" t="s">
        <v>413</v>
      </c>
      <c r="G73" s="93" t="s">
        <v>414</v>
      </c>
      <c r="H73" s="51" t="s">
        <v>468</v>
      </c>
      <c r="I73" s="51">
        <f t="shared" si="0"/>
        <v>0</v>
      </c>
    </row>
    <row r="74" spans="1:9" ht="15.6">
      <c r="A74" s="95" t="s">
        <v>486</v>
      </c>
      <c r="B74" s="95" t="s">
        <v>487</v>
      </c>
      <c r="C74" s="96" t="s">
        <v>417</v>
      </c>
      <c r="D74" s="95"/>
      <c r="E74" s="95"/>
      <c r="F74" s="99"/>
      <c r="G74" s="96" t="s">
        <v>417</v>
      </c>
      <c r="H74" s="75"/>
      <c r="I74" s="51" t="e">
        <f t="shared" si="0"/>
        <v>#N/A</v>
      </c>
    </row>
    <row r="75" spans="1:9" ht="15.6">
      <c r="A75" s="95" t="s">
        <v>486</v>
      </c>
      <c r="B75" s="95" t="s">
        <v>487</v>
      </c>
      <c r="C75" s="96" t="s">
        <v>420</v>
      </c>
      <c r="D75" s="95"/>
      <c r="E75" s="95"/>
      <c r="F75" s="99"/>
      <c r="G75" s="96" t="s">
        <v>420</v>
      </c>
      <c r="H75" s="75"/>
      <c r="I75" s="51" t="e">
        <f t="shared" si="0"/>
        <v>#N/A</v>
      </c>
    </row>
    <row r="76" spans="1:9" ht="15.6">
      <c r="A76" s="94"/>
      <c r="B76" s="94"/>
      <c r="C76" s="93"/>
      <c r="D76" s="92" t="s">
        <v>129</v>
      </c>
      <c r="E76" s="92" t="s">
        <v>130</v>
      </c>
      <c r="F76" s="100" t="s">
        <v>479</v>
      </c>
      <c r="G76" s="93"/>
      <c r="H76" s="51"/>
      <c r="I76" s="51" t="e">
        <f t="shared" si="0"/>
        <v>#N/A</v>
      </c>
    </row>
    <row r="77" spans="1:9" ht="15.6">
      <c r="A77" s="94" t="s">
        <v>486</v>
      </c>
      <c r="B77" s="94" t="s">
        <v>487</v>
      </c>
      <c r="C77" s="93" t="s">
        <v>423</v>
      </c>
      <c r="D77" s="92" t="s">
        <v>129</v>
      </c>
      <c r="E77" s="92" t="s">
        <v>130</v>
      </c>
      <c r="F77" s="100" t="s">
        <v>422</v>
      </c>
      <c r="G77" s="93" t="s">
        <v>423</v>
      </c>
      <c r="H77" s="51"/>
      <c r="I77" s="51" t="e">
        <f t="shared" si="0"/>
        <v>#N/A</v>
      </c>
    </row>
    <row r="78" spans="1:9" ht="15.6">
      <c r="A78" s="94" t="s">
        <v>486</v>
      </c>
      <c r="B78" s="94" t="s">
        <v>487</v>
      </c>
      <c r="C78" s="93" t="s">
        <v>427</v>
      </c>
      <c r="D78" s="92" t="s">
        <v>129</v>
      </c>
      <c r="E78" s="92" t="s">
        <v>130</v>
      </c>
      <c r="F78" s="100" t="s">
        <v>426</v>
      </c>
      <c r="G78" s="93" t="s">
        <v>427</v>
      </c>
      <c r="H78" s="51"/>
      <c r="I78" s="51" t="e">
        <f t="shared" si="0"/>
        <v>#N/A</v>
      </c>
    </row>
    <row r="79" spans="1:9" ht="15.6">
      <c r="A79" s="95" t="s">
        <v>486</v>
      </c>
      <c r="B79" s="95" t="s">
        <v>487</v>
      </c>
      <c r="C79" s="96" t="s">
        <v>429</v>
      </c>
      <c r="D79" s="95"/>
      <c r="E79" s="95"/>
      <c r="F79" s="99"/>
      <c r="G79" s="96" t="s">
        <v>429</v>
      </c>
      <c r="H79" s="75"/>
      <c r="I79" s="51" t="e">
        <f t="shared" si="0"/>
        <v>#N/A</v>
      </c>
    </row>
    <row r="80" spans="1:9" ht="15.6">
      <c r="A80" s="95" t="s">
        <v>486</v>
      </c>
      <c r="B80" s="95" t="s">
        <v>487</v>
      </c>
      <c r="C80" s="96" t="s">
        <v>433</v>
      </c>
      <c r="D80" s="95"/>
      <c r="E80" s="95"/>
      <c r="F80" s="99"/>
      <c r="G80" s="96" t="s">
        <v>433</v>
      </c>
      <c r="H80" s="75"/>
      <c r="I80" s="51" t="e">
        <f t="shared" si="0"/>
        <v>#N/A</v>
      </c>
    </row>
    <row r="81" spans="1:9" ht="15.6">
      <c r="A81" s="95" t="s">
        <v>486</v>
      </c>
      <c r="B81" s="95" t="s">
        <v>487</v>
      </c>
      <c r="C81" s="96" t="s">
        <v>435</v>
      </c>
      <c r="D81" s="95"/>
      <c r="E81" s="95"/>
      <c r="F81" s="99"/>
      <c r="G81" s="96" t="s">
        <v>435</v>
      </c>
      <c r="H81" s="75"/>
      <c r="I81" s="51" t="e">
        <f t="shared" si="0"/>
        <v>#N/A</v>
      </c>
    </row>
    <row r="82" spans="1:9" ht="15.6">
      <c r="A82" s="95" t="s">
        <v>486</v>
      </c>
      <c r="B82" s="95" t="s">
        <v>487</v>
      </c>
      <c r="C82" s="96" t="s">
        <v>438</v>
      </c>
      <c r="D82" s="97"/>
      <c r="E82" s="97"/>
      <c r="F82" s="99"/>
      <c r="G82" s="96" t="s">
        <v>438</v>
      </c>
      <c r="H82" s="75"/>
      <c r="I82" s="51" t="e">
        <f t="shared" si="0"/>
        <v>#N/A</v>
      </c>
    </row>
    <row r="83" spans="1:9" ht="15.6">
      <c r="A83" s="94" t="s">
        <v>486</v>
      </c>
      <c r="B83" s="94" t="s">
        <v>487</v>
      </c>
      <c r="C83" s="93" t="s">
        <v>441</v>
      </c>
      <c r="D83" s="92" t="s">
        <v>129</v>
      </c>
      <c r="E83" s="92" t="s">
        <v>130</v>
      </c>
      <c r="F83" s="100" t="s">
        <v>440</v>
      </c>
      <c r="G83" s="93" t="s">
        <v>441</v>
      </c>
      <c r="H83" s="51"/>
      <c r="I83" s="51" t="e">
        <f t="shared" si="0"/>
        <v>#N/A</v>
      </c>
    </row>
    <row r="84" spans="1:9" ht="15.6">
      <c r="A84" s="94" t="s">
        <v>486</v>
      </c>
      <c r="B84" s="94" t="s">
        <v>487</v>
      </c>
      <c r="C84" s="93" t="s">
        <v>445</v>
      </c>
      <c r="D84" s="92" t="s">
        <v>129</v>
      </c>
      <c r="E84" s="92" t="s">
        <v>130</v>
      </c>
      <c r="F84" s="100" t="s">
        <v>444</v>
      </c>
      <c r="G84" s="93" t="s">
        <v>445</v>
      </c>
      <c r="H84" s="51"/>
      <c r="I84" s="51" t="e">
        <f t="shared" si="0"/>
        <v>#N/A</v>
      </c>
    </row>
    <row r="85" spans="1:9" ht="15.6">
      <c r="A85" s="94" t="s">
        <v>486</v>
      </c>
      <c r="B85" s="94" t="s">
        <v>487</v>
      </c>
      <c r="C85" s="93" t="s">
        <v>449</v>
      </c>
      <c r="D85" s="92" t="s">
        <v>129</v>
      </c>
      <c r="E85" s="92" t="s">
        <v>130</v>
      </c>
      <c r="F85" s="100" t="s">
        <v>448</v>
      </c>
      <c r="G85" s="93" t="s">
        <v>449</v>
      </c>
      <c r="H85" s="51"/>
      <c r="I85" s="51" t="e">
        <f t="shared" si="0"/>
        <v>#N/A</v>
      </c>
    </row>
    <row r="86" spans="1:9" ht="15.6">
      <c r="A86" s="95" t="s">
        <v>486</v>
      </c>
      <c r="B86" s="95" t="s">
        <v>487</v>
      </c>
      <c r="C86" s="96" t="s">
        <v>452</v>
      </c>
      <c r="D86" s="95"/>
      <c r="E86" s="95"/>
      <c r="F86" s="99"/>
      <c r="G86" s="96" t="s">
        <v>452</v>
      </c>
      <c r="H86" s="75"/>
      <c r="I86" s="51" t="e">
        <f t="shared" si="0"/>
        <v>#N/A</v>
      </c>
    </row>
    <row r="87" spans="1:9" ht="15.6">
      <c r="A87" s="94" t="s">
        <v>486</v>
      </c>
      <c r="B87" s="94" t="s">
        <v>487</v>
      </c>
      <c r="C87" s="93" t="s">
        <v>455</v>
      </c>
      <c r="D87" s="92" t="s">
        <v>129</v>
      </c>
      <c r="E87" s="92" t="s">
        <v>130</v>
      </c>
      <c r="F87" s="100" t="s">
        <v>454</v>
      </c>
      <c r="G87" s="93" t="s">
        <v>455</v>
      </c>
      <c r="H87" s="51"/>
      <c r="I87" s="51" t="e">
        <f t="shared" si="0"/>
        <v>#N/A</v>
      </c>
    </row>
    <row r="88" spans="1:9" ht="15.6">
      <c r="A88" s="95" t="s">
        <v>486</v>
      </c>
      <c r="B88" s="95" t="s">
        <v>487</v>
      </c>
      <c r="C88" s="96" t="s">
        <v>457</v>
      </c>
      <c r="D88" s="95"/>
      <c r="E88" s="95"/>
      <c r="F88" s="99"/>
      <c r="G88" s="96" t="s">
        <v>457</v>
      </c>
      <c r="H88" s="75"/>
      <c r="I88" s="51" t="e">
        <f t="shared" si="0"/>
        <v>#N/A</v>
      </c>
    </row>
    <row r="89" spans="1:9" ht="15.6">
      <c r="A89" s="95" t="s">
        <v>486</v>
      </c>
      <c r="B89" s="95" t="s">
        <v>487</v>
      </c>
      <c r="C89" s="96" t="s">
        <v>458</v>
      </c>
      <c r="D89" s="95"/>
      <c r="E89" s="95"/>
      <c r="F89" s="99"/>
      <c r="G89" s="96" t="s">
        <v>458</v>
      </c>
      <c r="H89" s="75"/>
      <c r="I89" s="51" t="e">
        <f t="shared" si="0"/>
        <v>#N/A</v>
      </c>
    </row>
    <row r="90" spans="1:9" ht="15.6">
      <c r="A90" s="94" t="s">
        <v>486</v>
      </c>
      <c r="B90" s="94" t="s">
        <v>487</v>
      </c>
      <c r="C90" s="93" t="s">
        <v>459</v>
      </c>
      <c r="D90" s="94" t="s">
        <v>129</v>
      </c>
      <c r="E90" s="94" t="s">
        <v>130</v>
      </c>
      <c r="F90" s="100" t="s">
        <v>488</v>
      </c>
      <c r="G90" s="93" t="s">
        <v>459</v>
      </c>
      <c r="H90" s="51"/>
      <c r="I90" s="51" t="e">
        <f t="shared" si="0"/>
        <v>#N/A</v>
      </c>
    </row>
    <row r="91" spans="1:9" ht="15.6">
      <c r="A91" s="95" t="s">
        <v>486</v>
      </c>
      <c r="B91" s="95" t="s">
        <v>487</v>
      </c>
      <c r="C91" s="96" t="s">
        <v>460</v>
      </c>
      <c r="D91" s="95"/>
      <c r="E91" s="95"/>
      <c r="F91" s="99"/>
      <c r="G91" s="96" t="s">
        <v>460</v>
      </c>
      <c r="H91" s="75"/>
      <c r="I91" s="51" t="e">
        <f t="shared" si="0"/>
        <v>#N/A</v>
      </c>
    </row>
    <row r="92" spans="1:9" ht="15.6">
      <c r="A92" s="95" t="s">
        <v>486</v>
      </c>
      <c r="B92" s="95" t="s">
        <v>487</v>
      </c>
      <c r="C92" s="96" t="s">
        <v>461</v>
      </c>
      <c r="D92" s="95"/>
      <c r="E92" s="95"/>
      <c r="F92" s="99"/>
      <c r="G92" s="96" t="s">
        <v>461</v>
      </c>
      <c r="H92" s="75"/>
      <c r="I92" s="51" t="e">
        <f t="shared" si="0"/>
        <v>#N/A</v>
      </c>
    </row>
    <row r="93" spans="1:9" ht="15.6">
      <c r="A93" s="94"/>
      <c r="B93" s="94"/>
      <c r="C93" s="100"/>
      <c r="D93" s="92" t="s">
        <v>129</v>
      </c>
      <c r="E93" s="92" t="s">
        <v>130</v>
      </c>
      <c r="F93" s="100" t="s">
        <v>463</v>
      </c>
      <c r="G93" s="100"/>
      <c r="H93" s="51"/>
      <c r="I93" s="51" t="e">
        <f t="shared" si="0"/>
        <v>#N/A</v>
      </c>
    </row>
    <row r="94" spans="1:9" ht="15.6">
      <c r="A94" s="94"/>
      <c r="B94" s="94"/>
      <c r="C94" s="100"/>
      <c r="D94" s="92" t="s">
        <v>129</v>
      </c>
      <c r="E94" s="92" t="s">
        <v>130</v>
      </c>
      <c r="F94" s="100" t="s">
        <v>465</v>
      </c>
      <c r="G94" s="100"/>
      <c r="H94" s="51"/>
      <c r="I94" s="51" t="e">
        <f t="shared" si="0"/>
        <v>#N/A</v>
      </c>
    </row>
    <row r="95" spans="1:9" ht="15.6">
      <c r="A95" s="94"/>
      <c r="B95" s="94"/>
      <c r="C95" s="100"/>
      <c r="D95" s="92" t="s">
        <v>129</v>
      </c>
      <c r="E95" s="92" t="s">
        <v>130</v>
      </c>
      <c r="F95" s="100" t="s">
        <v>468</v>
      </c>
      <c r="G95" s="100"/>
      <c r="H95" s="51"/>
      <c r="I95" s="51" t="e">
        <f t="shared" si="0"/>
        <v>#N/A</v>
      </c>
    </row>
  </sheetData>
  <autoFilter ref="A3:F95" xr:uid="{00000000-0009-0000-0000-000008000000}"/>
  <mergeCells count="2">
    <mergeCell ref="A1:C1"/>
    <mergeCell ref="D1:F1"/>
  </mergeCells>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4B1A5E2-C3C4-4AA4-8A82-DC6B929DF8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2ED280E-B0EB-4956-83BA-19A4A81F1C45}">
  <ds:schemaRefs>
    <ds:schemaRef ds:uri="http://schemas.microsoft.com/sharepoint/v3/contenttype/forms"/>
  </ds:schemaRefs>
</ds:datastoreItem>
</file>

<file path=customXml/itemProps3.xml><?xml version="1.0" encoding="utf-8"?>
<ds:datastoreItem xmlns:ds="http://schemas.openxmlformats.org/officeDocument/2006/customXml" ds:itemID="{DF7EE072-0442-4FE5-82C5-AB2A4E7E032F}">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Consideraciones</vt:lpstr>
      <vt:lpstr>Estructuras del Modelo</vt:lpstr>
      <vt:lpstr>Datos Sensibles</vt:lpstr>
      <vt:lpstr>m_terminal (mapeo)</vt:lpstr>
      <vt:lpstr>m_terminal</vt:lpstr>
      <vt:lpstr>m_terminal_m</vt:lpstr>
      <vt:lpstr>m_terminal_h</vt:lpstr>
      <vt:lpstr>m_terminales_redpos - m_termina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ANGELLO BRAVO</cp:lastModifiedBy>
  <dcterms:created xsi:type="dcterms:W3CDTF">2026-06-18T22:09:51Z</dcterms:created>
  <dcterms:modified xsi:type="dcterms:W3CDTF">2026-06-18T22:23:53Z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