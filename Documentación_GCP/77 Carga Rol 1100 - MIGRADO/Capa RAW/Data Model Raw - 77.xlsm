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7 Carga Rol 1100 - MIGRADO/Capa RAW/"/>
    </mc:Choice>
  </mc:AlternateContent>
  <xr:revisionPtr revIDLastSave="228" documentId="8_{1DCF88E8-8811-44D0-8773-D3AB89B02E57}" xr6:coauthVersionLast="47" xr6:coauthVersionMax="47" xr10:uidLastSave="{9BE3BA5C-BE51-4812-849E-ED4FA5009018}"/>
  <bookViews>
    <workbookView xWindow="-110" yWindow="-110" windowWidth="19420" windowHeight="11500" activeTab="5" xr2:uid="{00000000-000D-0000-FFFF-FFFF00000000}"/>
  </bookViews>
  <sheets>
    <sheet name="Datos Sensibles" sheetId="4" r:id="rId1"/>
    <sheet name="Estructuras del Modelo" sheetId="1" r:id="rId2"/>
    <sheet name="137713" sheetId="2" r:id="rId3"/>
    <sheet name="137714" sheetId="7" r:id="rId4"/>
    <sheet name="137715" sheetId="8" r:id="rId5"/>
    <sheet name="137776" sheetId="9" r:id="rId6"/>
  </sheets>
  <functionGroups builtInGroupCount="19"/>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 i="9" l="1"/>
  <c r="E11" i="9"/>
  <c r="E12" i="8"/>
  <c r="E11" i="8"/>
  <c r="E12" i="7"/>
  <c r="E11" i="7"/>
  <c r="E12" i="2"/>
  <c r="E11" i="2"/>
  <c r="E10" i="9"/>
  <c r="E9" i="9"/>
  <c r="E10" i="8"/>
  <c r="E9" i="8"/>
  <c r="E10" i="7"/>
  <c r="E9" i="7"/>
  <c r="E29" i="9"/>
  <c r="E28" i="9"/>
  <c r="E27" i="9"/>
  <c r="E26" i="9"/>
  <c r="E25" i="9"/>
  <c r="E24" i="9"/>
  <c r="E23" i="9"/>
  <c r="E22" i="9"/>
  <c r="E21" i="9"/>
  <c r="E20" i="9"/>
  <c r="E19" i="9"/>
  <c r="E18" i="9"/>
  <c r="E17" i="9"/>
  <c r="E16" i="9"/>
  <c r="E15" i="9"/>
  <c r="E14" i="9"/>
  <c r="E13" i="9"/>
  <c r="E8" i="9"/>
  <c r="E7" i="9"/>
  <c r="E6" i="9"/>
  <c r="E5" i="9"/>
  <c r="E4" i="9"/>
  <c r="E3" i="9"/>
  <c r="E29" i="8"/>
  <c r="E28" i="8"/>
  <c r="E27" i="8"/>
  <c r="E26" i="8"/>
  <c r="E25" i="8"/>
  <c r="E24" i="8"/>
  <c r="E23" i="8"/>
  <c r="E22" i="8"/>
  <c r="E21" i="8"/>
  <c r="E20" i="8"/>
  <c r="E19" i="8"/>
  <c r="E18" i="8"/>
  <c r="E17" i="8"/>
  <c r="E16" i="8"/>
  <c r="E15" i="8"/>
  <c r="E14" i="8"/>
  <c r="E13" i="8"/>
  <c r="E8" i="8"/>
  <c r="E7" i="8"/>
  <c r="E6" i="8"/>
  <c r="E5" i="8"/>
  <c r="E4" i="8"/>
  <c r="E3" i="8"/>
  <c r="E29" i="7"/>
  <c r="E28" i="7"/>
  <c r="E27" i="7"/>
  <c r="E26" i="7"/>
  <c r="E25" i="7"/>
  <c r="E24" i="7"/>
  <c r="E23" i="7"/>
  <c r="E22" i="7"/>
  <c r="E21" i="7"/>
  <c r="E20" i="7"/>
  <c r="E19" i="7"/>
  <c r="E18" i="7"/>
  <c r="E17" i="7"/>
  <c r="E16" i="7"/>
  <c r="E15" i="7"/>
  <c r="E14" i="7"/>
  <c r="E13" i="7"/>
  <c r="E8" i="7"/>
  <c r="E7" i="7"/>
  <c r="E6" i="7"/>
  <c r="E5" i="7"/>
  <c r="E4" i="7"/>
  <c r="E3" i="7"/>
  <c r="E29" i="2"/>
  <c r="E28" i="2"/>
  <c r="E27" i="2"/>
  <c r="E26" i="2"/>
  <c r="E25" i="2"/>
  <c r="E24" i="2"/>
  <c r="E23" i="2"/>
  <c r="E22" i="2"/>
  <c r="E21" i="2"/>
  <c r="E20" i="2"/>
  <c r="E19" i="2"/>
  <c r="E18" i="2"/>
  <c r="E17" i="2"/>
  <c r="E16" i="2"/>
  <c r="E15" i="2"/>
  <c r="E14" i="2"/>
  <c r="E13" i="2"/>
  <c r="E10" i="2"/>
  <c r="E9" i="2"/>
  <c r="E8" i="2"/>
  <c r="E7" i="2"/>
  <c r="E6" i="2"/>
  <c r="E5" i="2"/>
  <c r="E4"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tc={A3161FF1-D917-4368-BE0F-0D34C84C56E1}</author>
    <author>tc={0D7DF534-837F-4BFA-998A-FD05F9EA04BD}</author>
    <author>tc={545E9F11-7F6B-4E9F-8451-4B2A43BE982D}</author>
    <author>tc={8BE204E0-0B1B-4494-B4C8-29453D4DC8F4}</author>
  </authors>
  <commentList>
    <comment ref="D9" authorId="0" shapeId="0" xr:uid="{A3161FF1-D917-4368-BE0F-0D34C84C56E1}">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0" authorId="1" shapeId="0" xr:uid="{0D7DF534-837F-4BFA-998A-FD05F9EA04BD}">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 ref="D11" authorId="2" shapeId="0" xr:uid="{545E9F11-7F6B-4E9F-8451-4B2A43BE982D}">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2" authorId="3" shapeId="0" xr:uid="{8BE204E0-0B1B-4494-B4C8-29453D4DC8F4}">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tc={B3F57DEE-9507-4F09-B51D-423C89FE87E3}</author>
    <author>tc={B13CC7EA-5E17-420C-8B44-8774A77F6806}</author>
    <author>tc={8F0213B5-9A3C-4D39-9BE8-D152D24CBE21}</author>
    <author>tc={4E0F8738-F02A-4B3F-97C2-D02FAB88E43C}</author>
  </authors>
  <commentList>
    <comment ref="D9" authorId="0" shapeId="0" xr:uid="{B3F57DEE-9507-4F09-B51D-423C89FE87E3}">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0" authorId="1" shapeId="0" xr:uid="{B13CC7EA-5E17-420C-8B44-8774A77F6806}">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 ref="D11" authorId="2" shapeId="0" xr:uid="{8F0213B5-9A3C-4D39-9BE8-D152D24CBE21}">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2" authorId="3" shapeId="0" xr:uid="{4E0F8738-F02A-4B3F-97C2-D02FAB88E43C}">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tc={5A743803-F8ED-4BC8-B3BC-EA4EBF46711B}</author>
    <author>tc={E23E50C0-4722-4CA6-8EA5-6BB2735998B4}</author>
    <author>tc={F24E3FD5-D5C4-4607-B4A0-31EF3FFC7002}</author>
    <author>tc={397A4DC6-B2C7-4FD0-9F84-04CC823C6E6A}</author>
  </authors>
  <commentList>
    <comment ref="D9" authorId="0" shapeId="0" xr:uid="{5A743803-F8ED-4BC8-B3BC-EA4EBF46711B}">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0" authorId="1" shapeId="0" xr:uid="{E23E50C0-4722-4CA6-8EA5-6BB2735998B4}">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 ref="D11" authorId="2" shapeId="0" xr:uid="{F24E3FD5-D5C4-4607-B4A0-31EF3FFC7002}">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2" authorId="3" shapeId="0" xr:uid="{397A4DC6-B2C7-4FD0-9F84-04CC823C6E6A}">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tc={2F92AA53-DF3E-4FF7-AE23-A10FD3970405}</author>
    <author>tc={5CD3F143-9653-4982-ABF9-DE88146EF8EE}</author>
    <author>tc={C9C5F390-9218-4E88-9557-8BB08FB52BF1}</author>
    <author>tc={C0AE43C9-CE9C-4A46-BC93-B1427C3C1913}</author>
  </authors>
  <commentList>
    <comment ref="D9" authorId="0" shapeId="0" xr:uid="{2F92AA53-DF3E-4FF7-AE23-A10FD3970405}">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0" authorId="1" shapeId="0" xr:uid="{5CD3F143-9653-4982-ABF9-DE88146EF8EE}">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 ref="D11" authorId="2" shapeId="0" xr:uid="{C9C5F390-9218-4E88-9557-8BB08FB52BF1}">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Column7 (card_account_number)</t>
      </text>
    </comment>
    <comment ref="D12" authorId="3" shapeId="0" xr:uid="{C0AE43C9-CE9C-4A46-BC93-B1427C3C1913}">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Column8 (token)</t>
      </text>
    </comment>
  </commentList>
</comments>
</file>

<file path=xl/sharedStrings.xml><?xml version="1.0" encoding="utf-8"?>
<sst xmlns="http://schemas.openxmlformats.org/spreadsheetml/2006/main" count="1365" uniqueCount="162">
  <si>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</si>
  <si>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</si>
  <si>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</si>
  <si>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</si>
  <si>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</si>
  <si>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</si>
  <si>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</si>
  <si>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</si>
  <si>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</si>
  <si>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</si>
  <si>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</si>
  <si>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</si>
  <si>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</si>
  <si>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</si>
  <si>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</si>
  <si>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</si>
  <si>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</si>
  <si>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</si>
  <si>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</si>
  <si>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</si>
  <si>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</si>
  <si>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</si>
  <si>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</si>
  <si>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</si>
  <si>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</si>
  <si>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</si>
  <si>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</si>
  <si>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</si>
  <si>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</si>
  <si>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</si>
  <si>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</si>
  <si>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</si>
  <si>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</si>
  <si>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</si>
  <si>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</si>
  <si>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</si>
  <si>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</si>
  <si>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</si>
  <si>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</si>
  <si>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</si>
  <si>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N</t>
  </si>
  <si>
    <t>prod</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</si>
  <si>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</si>
  <si>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</si>
  <si>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</si>
  <si>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</si>
  <si>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</si>
  <si>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</si>
  <si>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</si>
  <si>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</si>
  <si>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</si>
  <si>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</si>
  <si>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</si>
  <si>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</si>
  <si>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</si>
  <si>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</si>
  <si>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</si>
  <si>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</si>
  <si>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</si>
  <si>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</si>
  <si>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</si>
  <si>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</si>
  <si>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</si>
  <si>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</si>
  <si>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</si>
  <si>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</si>
  <si>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</si>
  <si>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</si>
  <si>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</si>
  <si>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</si>
  <si>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</si>
  <si>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</si>
  <si>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BYTES</t>
  </si>
  <si>
    <t>record_source</t>
  </si>
  <si>
    <t>Dato de Auditoría: Descripción del aplicativo origen de los datos.</t>
  </si>
  <si>
    <t>as400</t>
  </si>
  <si>
    <t>load_date</t>
  </si>
  <si>
    <t>Fecha y hora de inserción del registro en el modelo</t>
  </si>
  <si>
    <t>2025-07-04 03:07:39.145385 UTC</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</si>
  <si>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</si>
  <si>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</si>
  <si>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</si>
  <si>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</si>
  <si>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</si>
  <si>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</si>
  <si>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</si>
  <si>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</si>
  <si>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</si>
  <si>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Zona (Raw, Master, BI)</t>
  </si>
  <si>
    <t>mc2103@izipay.pe</t>
  </si>
  <si>
    <t>DATETIME</t>
  </si>
  <si>
    <t>Riesgos</t>
  </si>
  <si>
    <t>RIESGOS</t>
  </si>
  <si>
    <t>CONTRACARGO</t>
  </si>
  <si>
    <t>raw_dataentry_operaciones</t>
  </si>
  <si>
    <t>Incremental</t>
  </si>
  <si>
    <t>Diario (9:00 am)</t>
  </si>
  <si>
    <t>Raw</t>
  </si>
  <si>
    <t xml:space="preserve">Número de caso asignado por Visa para el seguimiento del contracargo.  </t>
  </si>
  <si>
    <t xml:space="preserve">Fecha de seguimiento o control interno del caso.  </t>
  </si>
  <si>
    <t xml:space="preserve">Estado actual del caso de disputa (e.g., recibido, en revisión).  </t>
  </si>
  <si>
    <t>Código que representa la condición de disputa</t>
  </si>
  <si>
    <t xml:space="preserve">Días restantes para actuar antes de vencer el plazo de respuesta.  </t>
  </si>
  <si>
    <t xml:space="preserve">Monto disputado expresado en moneda local con código de divisa.  </t>
  </si>
  <si>
    <t xml:space="preserve">Estado del caso asignado por la entidad emisora.  </t>
  </si>
  <si>
    <t xml:space="preserve">Número ARN (Acquirer Reference Number) que identifica la transacción.  </t>
  </si>
  <si>
    <t xml:space="preserve">Usuario o agente que está gestionando el caso.  </t>
  </si>
  <si>
    <t xml:space="preserve">Fecha y hora de la última acción registrada en el caso.  </t>
  </si>
  <si>
    <t xml:space="preserve">Nombre del banco adquirente (BID) que procesó la transacción.  </t>
  </si>
  <si>
    <t xml:space="preserve">Clasificación del caso según indicadores de fraude.  </t>
  </si>
  <si>
    <t xml:space="preserve">Código MCC que representa el giro o actividad del comercio.  </t>
  </si>
  <si>
    <t xml:space="preserve">Indicador si la transacción fue realizada por MOTO (Mail Order/Telephone Order).  </t>
  </si>
  <si>
    <t xml:space="preserve">Nombre del comercio donde se originó la transacción disputada.  </t>
  </si>
  <si>
    <t xml:space="preserve">Identificador de red en la que se procesó la transacción.  </t>
  </si>
  <si>
    <t xml:space="preserve">Código de jurisdicción de la transacción.  </t>
  </si>
  <si>
    <t xml:space="preserve">Indicador de si la transacción fue internacional, local u otro.  </t>
  </si>
  <si>
    <t xml:space="preserve">Fecha de expiración del reglamento E/Reg Z aplicable al caso.  </t>
  </si>
  <si>
    <t>Consumer Dispute - Pre-Arb Timeframe Expired</t>
  </si>
  <si>
    <t>116.00 PEN</t>
  </si>
  <si>
    <t>74357045195006346416655 / 519575006346</t>
  </si>
  <si>
    <t>iamp75874f carlos alberto flores paico</t>
  </si>
  <si>
    <t>PROCESOS DE MEDIOS DE PAGO S.A.</t>
  </si>
  <si>
    <t>F</t>
  </si>
  <si>
    <t>MDOPAGO*MODA</t>
  </si>
  <si>
    <t>user</t>
  </si>
  <si>
    <t>Contiene el registro de todos los casos en etapa de Pre-Filing (Pre-Arbitraje/Cumplimiento) que ya han sido procesados y transmitidos exitosamente a Visa. Son casos cerrados por parte del analista.</t>
  </si>
  <si>
    <t>Cola de trabajo que agrupa los casos en etapa de Pre-Filing que requieren una acción inmediata o respuesta por parte del banco/analista antes de enviarse a Visa.</t>
  </si>
  <si>
    <t>Registro de todos los contracargos (disputas iniciales) que ya han sido gestionados y enviados a la red. Sirve para consulta de estatus y auditoría.</t>
  </si>
  <si>
    <t>Cola de trabajo principal que contiene las disputas o contracargos entrantes que están "en espera de acción". Estos casos deben ser analizados y procesados.</t>
  </si>
  <si>
    <t>PII</t>
  </si>
  <si>
    <t>Nombre Completo</t>
  </si>
  <si>
    <t>C_FULL_NAME</t>
  </si>
  <si>
    <t>Nombre completo de la persona (Nombres + Apellidos) o Ruc en el caso de personas Jurídicas</t>
  </si>
  <si>
    <t>rol_case_number</t>
  </si>
  <si>
    <t>followup_date</t>
  </si>
  <si>
    <t>case_status</t>
  </si>
  <si>
    <t>dc</t>
  </si>
  <si>
    <t>days_to_act</t>
  </si>
  <si>
    <t>amount</t>
  </si>
  <si>
    <t>member_case_status</t>
  </si>
  <si>
    <t>arn</t>
  </si>
  <si>
    <t>last_action</t>
  </si>
  <si>
    <t>bid_name</t>
  </si>
  <si>
    <t>fraud_cls</t>
  </si>
  <si>
    <t>mcc_code</t>
  </si>
  <si>
    <t>moto_ind</t>
  </si>
  <si>
    <t>merchant_name</t>
  </si>
  <si>
    <t>network_id</t>
  </si>
  <si>
    <t>jr</t>
  </si>
  <si>
    <t>ind</t>
  </si>
  <si>
    <t>reg_e_reg_z_exp_date</t>
  </si>
  <si>
    <t xml:space="preserve">Monto disputado expresado en moneda original con código de divisa.  </t>
  </si>
  <si>
    <t>bin</t>
  </si>
  <si>
    <t>tarjeta_enmascarada</t>
  </si>
  <si>
    <t>Numero de la tarjeta, enmascarada, del cliente</t>
  </si>
  <si>
    <t>Primeros 9 digitos de la tarjeta del cliente</t>
  </si>
  <si>
    <t>454775******1746</t>
  </si>
  <si>
    <t>bin_token</t>
  </si>
  <si>
    <t>tarjeta_enmascarada_token</t>
  </si>
  <si>
    <t>Primeros 9 digitos de la tarjeta virtual del cliente</t>
  </si>
  <si>
    <t>Numero de la tarjeta virtual, enmascarada, del cliente</t>
  </si>
  <si>
    <t>438650******3453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</si>
</sst>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9"/>
      <color indexed="81"/>
      <name val="Tahoma"/>
      <charset val="1"/>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1">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0" fillId="4" borderId="1" xfId="0" applyFill="1" applyBorder="1" applyAlignment="1">
      <alignment vertical="center"/>
    </xf>
    <xf numFmtId="0" fontId="0" fillId="0" borderId="0" xfId="0" applyAlignment="1">
      <alignment horizontal="center" wrapText="1"/>
    </xf>
    <xf numFmtId="0" fontId="5" fillId="0" borderId="0" xfId="1" applyBorder="1" applyAlignment="1">
      <alignment wrapText="1"/>
    </xf>
    <xf numFmtId="0" fontId="5" fillId="0" borderId="1" xfId="1" applyBorder="1" applyAlignment="1">
      <alignment horizontal="left"/>
    </xf>
    <xf numFmtId="0" fontId="0" fillId="0" borderId="1" xfId="0" applyBorder="1" applyAlignment="1">
      <alignment horizontal="left" vertical="center" wrapText="1"/>
    </xf>
    <xf numFmtId="0" fontId="0" fillId="5" borderId="1" xfId="0" applyFill="1" applyBorder="1" applyAlignment="1">
      <alignment horizontal="left" vertical="center" wrapText="1"/>
    </xf>
    <xf numFmtId="0" fontId="13" fillId="5" borderId="1" xfId="0" applyFont="1" applyFill="1" applyBorder="1" applyAlignment="1">
      <alignment horizontal="left"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ANGELLO BRAVO" id="{17B886E8-831E-4F49-AC07-093D8C72C912}"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5-11-28T22:53:01.85" personId="{17B886E8-831E-4F49-AC07-093D8C72C912}" id="{A3161FF1-D917-4368-BE0F-0D34C84C56E1}">
    <text>Original: Column7 (card_account_number)</text>
  </threadedComment>
  <threadedComment ref="D10" dT="2025-11-28T22:53:54.50" personId="{17B886E8-831E-4F49-AC07-093D8C72C912}" id="{0D7DF534-837F-4BFA-998A-FD05F9EA04BD}">
    <text>Original: Column8 (token)</text>
  </threadedComment>
  <threadedComment ref="D11" dT="2025-11-28T22:53:01.85" personId="{17B886E8-831E-4F49-AC07-093D8C72C912}" id="{545E9F11-7F6B-4E9F-8451-4B2A43BE982D}">
    <text>Original: Column7 (card_account_number)</text>
  </threadedComment>
  <threadedComment ref="D12" dT="2025-11-28T22:53:54.50" personId="{17B886E8-831E-4F49-AC07-093D8C72C912}" id="{8BE204E0-0B1B-4494-B4C8-29453D4DC8F4}">
    <text>Original: Column8 (token)</text>
  </threadedComment>
</ThreadedComments>
</file>

<file path=xl/threadedComments/threadedComment2.xml><?xml version="1.0" encoding="utf-8"?>
<ThreadedComments xmlns="http://schemas.microsoft.com/office/spreadsheetml/2018/threadedcomments" xmlns:x="http://schemas.openxmlformats.org/spreadsheetml/2006/main">
  <threadedComment ref="D9" dT="2025-11-28T22:53:01.85" personId="{17B886E8-831E-4F49-AC07-093D8C72C912}" id="{B3F57DEE-9507-4F09-B51D-423C89FE87E3}">
    <text>Original: Column7 (card_account_number)</text>
  </threadedComment>
  <threadedComment ref="D10" dT="2025-11-28T22:53:54.50" personId="{17B886E8-831E-4F49-AC07-093D8C72C912}" id="{B13CC7EA-5E17-420C-8B44-8774A77F6806}">
    <text>Original: Column8 (token)</text>
  </threadedComment>
  <threadedComment ref="D11" dT="2025-11-28T22:53:01.85" personId="{17B886E8-831E-4F49-AC07-093D8C72C912}" id="{8F0213B5-9A3C-4D39-9BE8-D152D24CBE21}">
    <text>Original: Column7 (card_account_number)</text>
  </threadedComment>
  <threadedComment ref="D12" dT="2025-11-28T22:53:54.50" personId="{17B886E8-831E-4F49-AC07-093D8C72C912}" id="{4E0F8738-F02A-4B3F-97C2-D02FAB88E43C}">
    <text>Original: Column8 (token)</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5-11-28T22:53:01.85" personId="{17B886E8-831E-4F49-AC07-093D8C72C912}" id="{5A743803-F8ED-4BC8-B3BC-EA4EBF46711B}">
    <text>Original: Column7 (card_account_number)</text>
  </threadedComment>
  <threadedComment ref="D10" dT="2025-11-28T22:53:54.50" personId="{17B886E8-831E-4F49-AC07-093D8C72C912}" id="{E23E50C0-4722-4CA6-8EA5-6BB2735998B4}">
    <text>Original: Column8 (token)</text>
  </threadedComment>
  <threadedComment ref="D11" dT="2025-11-28T22:53:01.85" personId="{17B886E8-831E-4F49-AC07-093D8C72C912}" id="{F24E3FD5-D5C4-4607-B4A0-31EF3FFC7002}">
    <text>Original: Column7 (card_account_number)</text>
  </threadedComment>
  <threadedComment ref="D12" dT="2025-11-28T22:53:54.50" personId="{17B886E8-831E-4F49-AC07-093D8C72C912}" id="{397A4DC6-B2C7-4FD0-9F84-04CC823C6E6A}">
    <text>Original: Column8 (token)</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5-11-28T22:53:01.85" personId="{17B886E8-831E-4F49-AC07-093D8C72C912}" id="{2F92AA53-DF3E-4FF7-AE23-A10FD3970405}">
    <text>Original: Column7 (card_account_number)</text>
  </threadedComment>
  <threadedComment ref="D10" dT="2025-11-28T22:53:54.50" personId="{17B886E8-831E-4F49-AC07-093D8C72C912}" id="{5CD3F143-9653-4982-ABF9-DE88146EF8EE}">
    <text>Original: Column8 (token)</text>
  </threadedComment>
  <threadedComment ref="D11" dT="2025-11-28T22:53:01.85" personId="{17B886E8-831E-4F49-AC07-093D8C72C912}" id="{C9C5F390-9218-4E88-9557-8BB08FB52BF1}">
    <text>Original: Column7 (card_account_number)</text>
  </threadedComment>
  <threadedComment ref="D12" dT="2025-11-28T22:53:54.50" personId="{17B886E8-831E-4F49-AC07-093D8C72C912}" id="{C0AE43C9-CE9C-4A46-BC93-B1427C3C1913}">
    <text>Original: Column8 (token)</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11"/>
  <sheetViews>
    <sheetView showGridLines="0" workbookViewId="0">
      <selection activeCell="D15" sqref="D15"/>
    </sheetView>
  </sheetViews>
  <sheetFormatPr baseColWidth="10" defaultRowHeight="14.5"/>
  <cols>
    <col min="1" max="1" width="7.26953125" customWidth="1"/>
    <col min="2" max="5" width="23.26953125" customWidth="1"/>
    <col min="6" max="6" width="27.81640625" customWidth="1"/>
    <col min="7" max="7" width="23.26953125" customWidth="1"/>
  </cols>
  <sheetData>
    <row r="1" spans="1:7">
      <c r="A1" s="1"/>
      <c r="B1" s="1"/>
      <c r="C1" s="1"/>
      <c r="D1" s="1"/>
      <c r="E1" s="1"/>
      <c r="F1" s="1"/>
      <c r="G1" s="1"/>
    </row>
    <row r="2" spans="1:7" ht="29.5">
      <c r="A2" s="9" t="s">
        <v>82</v>
      </c>
      <c r="B2" s="1"/>
      <c r="C2" s="1"/>
      <c r="D2" s="1"/>
      <c r="E2" s="1"/>
      <c r="F2" s="1"/>
      <c r="G2" s="1"/>
    </row>
    <row r="3" spans="1:7" s="1" customFormat="1" ht="66" customHeight="1">
      <c r="A3" s="30" t="s">
        <v>83</v>
      </c>
      <c r="B3" s="30"/>
      <c r="C3" s="30"/>
      <c r="D3" s="30"/>
      <c r="E3" s="30"/>
      <c r="F3" s="30"/>
      <c r="G3" s="30"/>
    </row>
    <row r="4" spans="1:7">
      <c r="A4" s="1"/>
      <c r="B4" s="1"/>
      <c r="C4" s="1"/>
      <c r="D4" s="1"/>
      <c r="E4" s="1"/>
      <c r="F4" s="1"/>
      <c r="G4" s="1"/>
    </row>
    <row r="5" spans="1:7">
      <c r="A5" s="10" t="s">
        <v>84</v>
      </c>
      <c r="B5" s="10" t="s">
        <v>85</v>
      </c>
      <c r="C5" s="10" t="s">
        <v>86</v>
      </c>
      <c r="D5" s="10" t="s">
        <v>87</v>
      </c>
      <c r="E5" s="10" t="s">
        <v>7</v>
      </c>
      <c r="F5" s="10" t="s">
        <v>47</v>
      </c>
      <c r="G5" s="10" t="s">
        <v>8</v>
      </c>
    </row>
    <row r="6" spans="1:7" ht="50">
      <c r="A6" s="27">
        <v>7</v>
      </c>
      <c r="B6" s="27" t="s">
        <v>129</v>
      </c>
      <c r="C6" s="27" t="s">
        <v>130</v>
      </c>
      <c r="D6" s="27" t="s">
        <v>131</v>
      </c>
      <c r="E6" s="27">
        <v>137713</v>
      </c>
      <c r="F6" s="28" t="s">
        <v>124</v>
      </c>
      <c r="G6" s="29" t="s">
        <v>132</v>
      </c>
    </row>
    <row r="7" spans="1:7" ht="50">
      <c r="A7" s="27">
        <v>7</v>
      </c>
      <c r="B7" s="27" t="s">
        <v>129</v>
      </c>
      <c r="C7" s="27" t="s">
        <v>130</v>
      </c>
      <c r="D7" s="27" t="s">
        <v>131</v>
      </c>
      <c r="E7" s="27">
        <v>137714</v>
      </c>
      <c r="F7" s="28" t="s">
        <v>124</v>
      </c>
      <c r="G7" s="29" t="s">
        <v>132</v>
      </c>
    </row>
    <row r="8" spans="1:7" ht="50">
      <c r="A8" s="27">
        <v>7</v>
      </c>
      <c r="B8" s="27" t="s">
        <v>129</v>
      </c>
      <c r="C8" s="27" t="s">
        <v>130</v>
      </c>
      <c r="D8" s="27" t="s">
        <v>131</v>
      </c>
      <c r="E8" s="27">
        <v>137715</v>
      </c>
      <c r="F8" s="28" t="s">
        <v>124</v>
      </c>
      <c r="G8" s="29" t="s">
        <v>132</v>
      </c>
    </row>
    <row r="9" spans="1:7" ht="50">
      <c r="A9" s="27">
        <v>7</v>
      </c>
      <c r="B9" s="27" t="s">
        <v>129</v>
      </c>
      <c r="C9" s="27" t="s">
        <v>130</v>
      </c>
      <c r="D9" s="27" t="s">
        <v>131</v>
      </c>
      <c r="E9" s="27">
        <v>137776</v>
      </c>
      <c r="F9" s="28" t="s">
        <v>124</v>
      </c>
      <c r="G9" s="29" t="s">
        <v>132</v>
      </c>
    </row>
    <row r="10" spans="1:7">
      <c r="A10" s="1"/>
      <c r="B10" s="1"/>
      <c r="C10" s="1"/>
      <c r="D10" s="1"/>
      <c r="E10" s="1"/>
      <c r="F10" s="1"/>
      <c r="G10" s="1"/>
    </row>
    <row r="11" spans="1:7">
      <c r="A11" s="1"/>
      <c r="B11" s="1"/>
      <c r="C11" s="1"/>
      <c r="D11" s="1"/>
      <c r="E11" s="1"/>
      <c r="F11" s="1"/>
      <c r="G11"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4"/>
  <sheetViews>
    <sheetView showGridLines="0" topLeftCell="E1" workbookViewId="0">
      <selection activeCell="H3" sqref="H3"/>
    </sheetView>
  </sheetViews>
  <sheetFormatPr baseColWidth="10" defaultColWidth="9.1796875" defaultRowHeight="14.5"/>
  <cols>
    <col min="1" max="7" width="33.26953125" customWidth="1"/>
    <col min="8" max="8" width="23.26953125" customWidth="1"/>
    <col min="9" max="20" width="33.26953125" customWidth="1"/>
  </cols>
  <sheetData>
    <row r="1" spans="1:20">
      <c r="A1" s="11" t="s">
        <v>0</v>
      </c>
      <c r="B1" s="11" t="s">
        <v>1</v>
      </c>
      <c r="C1" s="11" t="s">
        <v>2</v>
      </c>
      <c r="D1" s="11" t="s">
        <v>3</v>
      </c>
      <c r="E1" s="11" t="s">
        <v>4</v>
      </c>
      <c r="F1" s="12" t="s">
        <v>5</v>
      </c>
      <c r="G1" s="11" t="s">
        <v>6</v>
      </c>
      <c r="H1" s="11" t="s">
        <v>7</v>
      </c>
      <c r="I1" s="11" t="s">
        <v>8</v>
      </c>
      <c r="J1" s="11" t="s">
        <v>9</v>
      </c>
      <c r="K1" s="11" t="s">
        <v>10</v>
      </c>
      <c r="L1" s="11" t="s">
        <v>11</v>
      </c>
      <c r="M1" s="11" t="s">
        <v>12</v>
      </c>
      <c r="N1" s="11" t="s">
        <v>13</v>
      </c>
      <c r="O1" s="11" t="s">
        <v>14</v>
      </c>
      <c r="P1" s="11" t="s">
        <v>15</v>
      </c>
      <c r="Q1" s="11" t="s">
        <v>16</v>
      </c>
      <c r="R1" s="11" t="s">
        <v>17</v>
      </c>
      <c r="S1" s="11" t="s">
        <v>18</v>
      </c>
      <c r="T1" s="11" t="s">
        <v>19</v>
      </c>
    </row>
    <row r="2" spans="1:20" ht="42">
      <c r="A2" s="13" t="s">
        <v>20</v>
      </c>
      <c r="B2" s="13" t="s">
        <v>21</v>
      </c>
      <c r="C2" s="13" t="s">
        <v>22</v>
      </c>
      <c r="D2" s="13" t="s">
        <v>23</v>
      </c>
      <c r="E2" s="13" t="s">
        <v>24</v>
      </c>
      <c r="F2" s="13" t="s">
        <v>25</v>
      </c>
      <c r="G2" s="13" t="s">
        <v>26</v>
      </c>
      <c r="H2" s="13" t="s">
        <v>27</v>
      </c>
      <c r="I2" s="13" t="s">
        <v>28</v>
      </c>
      <c r="J2" s="14" t="s">
        <v>29</v>
      </c>
      <c r="K2" s="14" t="s">
        <v>30</v>
      </c>
      <c r="L2" s="15"/>
      <c r="M2" s="13" t="s">
        <v>31</v>
      </c>
      <c r="N2" s="13" t="s">
        <v>32</v>
      </c>
      <c r="O2" s="13" t="s">
        <v>33</v>
      </c>
      <c r="P2" s="13" t="s">
        <v>88</v>
      </c>
      <c r="Q2" s="13" t="s">
        <v>34</v>
      </c>
      <c r="R2" s="13" t="s">
        <v>35</v>
      </c>
      <c r="S2" s="13" t="s">
        <v>36</v>
      </c>
      <c r="T2" s="13" t="s">
        <v>37</v>
      </c>
    </row>
    <row r="3" spans="1:20">
      <c r="A3" s="5" t="s">
        <v>38</v>
      </c>
      <c r="B3" s="5" t="s">
        <v>92</v>
      </c>
      <c r="C3" s="5" t="s">
        <v>93</v>
      </c>
      <c r="D3" s="5" t="s">
        <v>92</v>
      </c>
      <c r="E3" s="5" t="s">
        <v>93</v>
      </c>
      <c r="F3" s="5" t="s">
        <v>39</v>
      </c>
      <c r="G3" s="5" t="s">
        <v>94</v>
      </c>
      <c r="H3" s="26">
        <v>137713</v>
      </c>
      <c r="I3" s="7" t="s">
        <v>128</v>
      </c>
      <c r="J3" s="5" t="s">
        <v>95</v>
      </c>
      <c r="K3" s="5" t="s">
        <v>96</v>
      </c>
      <c r="L3" s="8"/>
      <c r="M3" s="6" t="s">
        <v>89</v>
      </c>
      <c r="N3" s="5" t="s">
        <v>40</v>
      </c>
      <c r="O3" s="5" t="s">
        <v>41</v>
      </c>
      <c r="P3" s="5" t="s">
        <v>97</v>
      </c>
      <c r="Q3" s="5" t="s">
        <v>91</v>
      </c>
      <c r="R3" s="5"/>
      <c r="S3" s="5"/>
      <c r="T3" s="5"/>
    </row>
    <row r="4" spans="1:20">
      <c r="A4" s="5" t="s">
        <v>38</v>
      </c>
      <c r="B4" s="5" t="s">
        <v>92</v>
      </c>
      <c r="C4" s="5" t="s">
        <v>93</v>
      </c>
      <c r="D4" s="5" t="s">
        <v>92</v>
      </c>
      <c r="E4" s="5" t="s">
        <v>93</v>
      </c>
      <c r="F4" s="5" t="s">
        <v>39</v>
      </c>
      <c r="G4" s="5" t="s">
        <v>94</v>
      </c>
      <c r="H4" s="26">
        <v>137714</v>
      </c>
      <c r="I4" s="7" t="s">
        <v>127</v>
      </c>
      <c r="J4" s="5" t="s">
        <v>95</v>
      </c>
      <c r="K4" s="5" t="s">
        <v>96</v>
      </c>
      <c r="L4" s="8"/>
      <c r="M4" s="6" t="s">
        <v>89</v>
      </c>
      <c r="N4" s="5" t="s">
        <v>40</v>
      </c>
      <c r="O4" s="5" t="s">
        <v>41</v>
      </c>
      <c r="P4" s="5" t="s">
        <v>97</v>
      </c>
      <c r="Q4" s="5" t="s">
        <v>91</v>
      </c>
      <c r="R4" s="5"/>
      <c r="S4" s="5"/>
      <c r="T4" s="5"/>
    </row>
    <row r="5" spans="1:20">
      <c r="A5" s="5" t="s">
        <v>38</v>
      </c>
      <c r="B5" s="5" t="s">
        <v>92</v>
      </c>
      <c r="C5" s="5" t="s">
        <v>93</v>
      </c>
      <c r="D5" s="5" t="s">
        <v>92</v>
      </c>
      <c r="E5" s="5" t="s">
        <v>93</v>
      </c>
      <c r="F5" s="5" t="s">
        <v>39</v>
      </c>
      <c r="G5" s="5" t="s">
        <v>94</v>
      </c>
      <c r="H5" s="26">
        <v>137715</v>
      </c>
      <c r="I5" s="7" t="s">
        <v>126</v>
      </c>
      <c r="J5" s="5" t="s">
        <v>95</v>
      </c>
      <c r="K5" s="5" t="s">
        <v>96</v>
      </c>
      <c r="L5" s="8"/>
      <c r="M5" s="6" t="s">
        <v>89</v>
      </c>
      <c r="N5" s="5" t="s">
        <v>40</v>
      </c>
      <c r="O5" s="5" t="s">
        <v>41</v>
      </c>
      <c r="P5" s="5" t="s">
        <v>97</v>
      </c>
      <c r="Q5" s="5" t="s">
        <v>91</v>
      </c>
      <c r="R5" s="5"/>
      <c r="S5" s="5"/>
      <c r="T5" s="5"/>
    </row>
    <row r="6" spans="1:20">
      <c r="A6" s="5" t="s">
        <v>38</v>
      </c>
      <c r="B6" s="5" t="s">
        <v>92</v>
      </c>
      <c r="C6" s="5" t="s">
        <v>93</v>
      </c>
      <c r="D6" s="5" t="s">
        <v>92</v>
      </c>
      <c r="E6" s="5" t="s">
        <v>93</v>
      </c>
      <c r="F6" s="5" t="s">
        <v>39</v>
      </c>
      <c r="G6" s="5" t="s">
        <v>94</v>
      </c>
      <c r="H6" s="26">
        <v>137776</v>
      </c>
      <c r="I6" s="7" t="s">
        <v>125</v>
      </c>
      <c r="J6" s="5" t="s">
        <v>95</v>
      </c>
      <c r="K6" s="5" t="s">
        <v>96</v>
      </c>
      <c r="L6" s="8"/>
      <c r="M6" s="6" t="s">
        <v>89</v>
      </c>
      <c r="N6" s="5" t="s">
        <v>40</v>
      </c>
      <c r="O6" s="5" t="s">
        <v>41</v>
      </c>
      <c r="P6" s="5" t="s">
        <v>97</v>
      </c>
      <c r="Q6" s="5" t="s">
        <v>91</v>
      </c>
      <c r="R6" s="5"/>
      <c r="S6" s="5"/>
      <c r="T6" s="5"/>
    </row>
    <row r="7" spans="1:20">
      <c r="A7" s="24"/>
      <c r="B7" s="24"/>
      <c r="C7" s="24"/>
      <c r="D7" s="24"/>
      <c r="E7" s="24"/>
      <c r="F7" s="24"/>
      <c r="G7" s="24"/>
      <c r="H7" s="25"/>
      <c r="J7" s="24"/>
      <c r="K7" s="24"/>
      <c r="L7" s="1"/>
      <c r="M7" s="25"/>
      <c r="N7" s="24"/>
      <c r="O7" s="24"/>
      <c r="P7" s="24"/>
      <c r="Q7" s="24"/>
      <c r="R7" s="24"/>
      <c r="S7" s="24"/>
      <c r="T7" s="24"/>
    </row>
    <row r="8" spans="1:20">
      <c r="A8" s="1"/>
      <c r="B8" s="1"/>
      <c r="C8" s="1"/>
      <c r="D8" s="1"/>
      <c r="E8" s="1"/>
      <c r="F8" s="1"/>
      <c r="G8" s="1"/>
      <c r="H8" s="1"/>
      <c r="I8" s="1"/>
      <c r="J8" s="1"/>
      <c r="K8" s="1"/>
      <c r="L8" s="1"/>
      <c r="M8" s="1"/>
      <c r="N8" s="1"/>
      <c r="O8" s="1"/>
      <c r="P8" s="1"/>
      <c r="Q8" s="1"/>
      <c r="R8" s="1"/>
      <c r="S8" s="1"/>
      <c r="T8" s="1"/>
    </row>
    <row r="9" spans="1:20">
      <c r="A9" s="2" t="s">
        <v>42</v>
      </c>
      <c r="B9" s="1"/>
      <c r="C9" s="1"/>
      <c r="D9" s="1"/>
      <c r="E9" s="1"/>
      <c r="F9" s="1"/>
      <c r="G9" s="1"/>
      <c r="H9" s="1"/>
      <c r="I9" s="1"/>
      <c r="J9" s="1"/>
      <c r="K9" s="1"/>
      <c r="L9" s="1"/>
      <c r="M9" s="1"/>
      <c r="N9" s="1"/>
      <c r="O9" s="1"/>
      <c r="P9" s="1"/>
      <c r="Q9" s="1"/>
      <c r="R9" s="1"/>
      <c r="S9" s="1"/>
      <c r="T9" s="1"/>
    </row>
    <row r="10" spans="1:20">
      <c r="A10" s="3" t="s">
        <v>43</v>
      </c>
      <c r="B10" s="1"/>
      <c r="C10" s="1"/>
      <c r="D10" s="4"/>
      <c r="E10" s="4"/>
      <c r="F10" s="4"/>
      <c r="G10" s="4"/>
      <c r="H10" s="1"/>
      <c r="I10" s="1"/>
      <c r="J10" s="1"/>
      <c r="K10" s="1"/>
      <c r="L10" s="1"/>
      <c r="M10" s="1"/>
      <c r="N10" s="1"/>
      <c r="O10" s="1"/>
      <c r="P10" s="1"/>
      <c r="Q10" s="1"/>
      <c r="R10" s="1"/>
      <c r="S10" s="1"/>
      <c r="T10" s="1"/>
    </row>
    <row r="11" spans="1:20">
      <c r="A11" s="3" t="s">
        <v>44</v>
      </c>
      <c r="B11" s="1"/>
      <c r="C11" s="1"/>
      <c r="D11" s="4"/>
      <c r="E11" s="4"/>
      <c r="F11" s="4"/>
      <c r="G11" s="4"/>
      <c r="H11" s="1"/>
      <c r="I11" s="1"/>
      <c r="J11" s="1"/>
      <c r="K11" s="1"/>
      <c r="L11" s="1"/>
      <c r="M11" s="1"/>
      <c r="N11" s="1"/>
      <c r="O11" s="1"/>
      <c r="P11" s="1"/>
      <c r="Q11" s="1"/>
      <c r="R11" s="1"/>
      <c r="S11" s="1"/>
      <c r="T11" s="1"/>
    </row>
    <row r="12" spans="1:20">
      <c r="A12" s="3" t="s">
        <v>45</v>
      </c>
      <c r="B12" s="1"/>
      <c r="C12" s="1"/>
      <c r="D12" s="1"/>
      <c r="E12" s="1"/>
      <c r="F12" s="1"/>
      <c r="G12" s="1"/>
      <c r="H12" s="1"/>
      <c r="I12" s="1"/>
      <c r="J12" s="1"/>
      <c r="K12" s="1"/>
      <c r="L12" s="1"/>
      <c r="M12" s="1"/>
      <c r="N12" s="1"/>
      <c r="O12" s="1"/>
      <c r="P12" s="1"/>
      <c r="Q12" s="1"/>
      <c r="R12" s="1"/>
      <c r="S12" s="1"/>
      <c r="T12" s="1"/>
    </row>
    <row r="13" spans="1:20">
      <c r="A13" s="3" t="s">
        <v>46</v>
      </c>
      <c r="B13" s="1"/>
      <c r="C13" s="1"/>
      <c r="D13" s="1"/>
      <c r="E13" s="1"/>
      <c r="F13" s="1"/>
      <c r="G13" s="1"/>
      <c r="H13" s="1"/>
      <c r="I13" s="1"/>
      <c r="J13" s="1"/>
      <c r="K13" s="1"/>
      <c r="L13" s="1"/>
      <c r="M13" s="1"/>
      <c r="N13" s="1"/>
      <c r="O13" s="1"/>
      <c r="P13" s="1"/>
      <c r="Q13" s="1"/>
      <c r="R13" s="1"/>
      <c r="S13" s="1"/>
      <c r="T13" s="1"/>
    </row>
    <row r="14" spans="1:20">
      <c r="A14" s="1"/>
      <c r="B14" s="1"/>
      <c r="C14" s="1"/>
      <c r="D14" s="1"/>
      <c r="E14" s="1"/>
      <c r="F14" s="1"/>
      <c r="G14" s="1"/>
      <c r="H14" s="1"/>
      <c r="I14" s="1"/>
      <c r="J14" s="1"/>
      <c r="K14" s="1"/>
      <c r="L14" s="1"/>
      <c r="M14" s="1"/>
      <c r="N14" s="1"/>
      <c r="O14" s="1"/>
      <c r="P14" s="1"/>
      <c r="Q14" s="1"/>
      <c r="R14" s="1"/>
      <c r="S14" s="1"/>
      <c r="T14" s="1"/>
    </row>
  </sheetData>
  <hyperlinks>
    <hyperlink ref="H3" location="'137713'!A1" display="'137713'!A1" xr:uid="{16A1295A-93A7-4253-ACA8-F57847148C72}"/>
    <hyperlink ref="H4" location="'137714'!A1" display="'137714'!A1" xr:uid="{74D6AB9F-66DB-4702-BFDB-C3D7E3A40DB4}"/>
    <hyperlink ref="H5" location="'137715'!A1" display="'137715'!A1" xr:uid="{98DFF622-9FDE-4683-83B2-74E003B2062A}"/>
    <hyperlink ref="H6" location="'137776'!A1" display="'137776'!A1" xr:uid="{84635681-3FA9-4EC3-B08E-17DFB235445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29"/>
  <sheetViews>
    <sheetView showGridLines="0" topLeftCell="A2" workbookViewId="0">
      <selection activeCell="A11" sqref="A11:XFD12"/>
    </sheetView>
  </sheetViews>
  <sheetFormatPr baseColWidth="10" defaultColWidth="11.453125" defaultRowHeight="14.5"/>
  <cols>
    <col min="1" max="4" width="29" customWidth="1"/>
    <col min="5" max="6" width="48.26953125" customWidth="1"/>
    <col min="7" max="8" width="29" customWidth="1"/>
    <col min="9" max="9" width="40.54296875" customWidth="1"/>
    <col min="10" max="13" width="29" customWidth="1"/>
  </cols>
  <sheetData>
    <row r="1" spans="1:13" ht="31">
      <c r="A1" s="16" t="s">
        <v>5</v>
      </c>
      <c r="B1" s="17" t="s">
        <v>6</v>
      </c>
      <c r="C1" s="17" t="s">
        <v>7</v>
      </c>
      <c r="D1" s="17" t="s">
        <v>47</v>
      </c>
      <c r="E1" s="17" t="s">
        <v>48</v>
      </c>
      <c r="F1" s="17" t="s">
        <v>49</v>
      </c>
      <c r="G1" s="17" t="s">
        <v>50</v>
      </c>
      <c r="H1" s="17" t="s">
        <v>51</v>
      </c>
      <c r="I1" s="17" t="s">
        <v>52</v>
      </c>
      <c r="J1" s="17" t="s">
        <v>53</v>
      </c>
      <c r="K1" s="17" t="s">
        <v>54</v>
      </c>
      <c r="L1" s="17" t="s">
        <v>55</v>
      </c>
      <c r="M1" s="17" t="s">
        <v>56</v>
      </c>
    </row>
    <row r="2" spans="1:13" ht="46.5">
      <c r="A2" s="18" t="s">
        <v>25</v>
      </c>
      <c r="B2" s="18" t="s">
        <v>26</v>
      </c>
      <c r="C2" s="18" t="s">
        <v>57</v>
      </c>
      <c r="D2" s="18" t="s">
        <v>58</v>
      </c>
      <c r="E2" s="18" t="s">
        <v>59</v>
      </c>
      <c r="F2" s="18" t="s">
        <v>60</v>
      </c>
      <c r="G2" s="18" t="s">
        <v>61</v>
      </c>
      <c r="H2" s="18" t="s">
        <v>62</v>
      </c>
      <c r="I2" s="18" t="s">
        <v>63</v>
      </c>
      <c r="J2" s="18" t="s">
        <v>64</v>
      </c>
      <c r="K2" s="18" t="s">
        <v>65</v>
      </c>
      <c r="L2" s="18" t="s">
        <v>66</v>
      </c>
      <c r="M2" s="18" t="s">
        <v>65</v>
      </c>
    </row>
    <row r="3" spans="1:13">
      <c r="A3" s="19" t="s">
        <v>39</v>
      </c>
      <c r="B3" s="19" t="s">
        <v>94</v>
      </c>
      <c r="C3" s="20">
        <v>137713</v>
      </c>
      <c r="D3" s="21" t="s">
        <v>133</v>
      </c>
      <c r="E3" s="21" t="str">
        <f>UPPER(F3)</f>
        <v xml:space="preserve">NÚMERO DE CASO ASIGNADO POR VISA PARA EL SEGUIMIENTO DEL CONTRACARGO.  </v>
      </c>
      <c r="F3" s="21" t="s">
        <v>98</v>
      </c>
      <c r="G3" s="19" t="s">
        <v>40</v>
      </c>
      <c r="H3" s="19" t="s">
        <v>71</v>
      </c>
      <c r="I3" s="21">
        <v>5479572976</v>
      </c>
      <c r="J3" s="19" t="s">
        <v>40</v>
      </c>
      <c r="K3" s="19" t="s">
        <v>70</v>
      </c>
      <c r="L3" s="19" t="s">
        <v>40</v>
      </c>
      <c r="M3" s="19" t="s">
        <v>40</v>
      </c>
    </row>
    <row r="4" spans="1:13">
      <c r="A4" s="19" t="s">
        <v>39</v>
      </c>
      <c r="B4" s="19" t="s">
        <v>94</v>
      </c>
      <c r="C4" s="20">
        <v>137713</v>
      </c>
      <c r="D4" s="21" t="s">
        <v>134</v>
      </c>
      <c r="E4" s="21" t="str">
        <f t="shared" ref="E4:E29" si="0">UPPER(F4)</f>
        <v xml:space="preserve">FECHA DE SEGUIMIENTO O CONTROL INTERNO DEL CASO.  </v>
      </c>
      <c r="F4" s="21" t="s">
        <v>99</v>
      </c>
      <c r="G4" s="19" t="s">
        <v>40</v>
      </c>
      <c r="H4" s="19" t="s">
        <v>71</v>
      </c>
      <c r="I4" s="21"/>
      <c r="J4" s="19" t="s">
        <v>40</v>
      </c>
      <c r="K4" s="19" t="s">
        <v>70</v>
      </c>
      <c r="L4" s="19" t="s">
        <v>40</v>
      </c>
      <c r="M4" s="19" t="s">
        <v>40</v>
      </c>
    </row>
    <row r="5" spans="1:13">
      <c r="A5" s="19" t="s">
        <v>39</v>
      </c>
      <c r="B5" s="19" t="s">
        <v>94</v>
      </c>
      <c r="C5" s="20">
        <v>137713</v>
      </c>
      <c r="D5" s="21" t="s">
        <v>135</v>
      </c>
      <c r="E5" s="21" t="str">
        <f t="shared" si="0"/>
        <v xml:space="preserve">ESTADO ACTUAL DEL CASO DE DISPUTA (E.G., RECIBIDO, EN REVISIÓN).  </v>
      </c>
      <c r="F5" s="21" t="s">
        <v>100</v>
      </c>
      <c r="G5" s="19" t="s">
        <v>40</v>
      </c>
      <c r="H5" s="19" t="s">
        <v>71</v>
      </c>
      <c r="I5" s="21" t="s">
        <v>117</v>
      </c>
      <c r="J5" s="19" t="s">
        <v>40</v>
      </c>
      <c r="K5" s="19" t="s">
        <v>70</v>
      </c>
      <c r="L5" s="19" t="s">
        <v>40</v>
      </c>
      <c r="M5" s="19" t="s">
        <v>40</v>
      </c>
    </row>
    <row r="6" spans="1:13">
      <c r="A6" s="19" t="s">
        <v>39</v>
      </c>
      <c r="B6" s="19" t="s">
        <v>94</v>
      </c>
      <c r="C6" s="20">
        <v>137713</v>
      </c>
      <c r="D6" s="21" t="s">
        <v>136</v>
      </c>
      <c r="E6" s="21" t="str">
        <f t="shared" si="0"/>
        <v>CÓDIGO QUE REPRESENTA LA CONDICIÓN DE DISPUTA</v>
      </c>
      <c r="F6" s="21" t="s">
        <v>101</v>
      </c>
      <c r="G6" s="19" t="s">
        <v>40</v>
      </c>
      <c r="H6" s="19" t="s">
        <v>71</v>
      </c>
      <c r="I6" s="21">
        <v>13.6</v>
      </c>
      <c r="J6" s="19" t="s">
        <v>40</v>
      </c>
      <c r="K6" s="19" t="s">
        <v>70</v>
      </c>
      <c r="L6" s="19" t="s">
        <v>40</v>
      </c>
      <c r="M6" s="19" t="s">
        <v>40</v>
      </c>
    </row>
    <row r="7" spans="1:13">
      <c r="A7" s="19" t="s">
        <v>39</v>
      </c>
      <c r="B7" s="19" t="s">
        <v>94</v>
      </c>
      <c r="C7" s="20">
        <v>137713</v>
      </c>
      <c r="D7" s="21" t="s">
        <v>137</v>
      </c>
      <c r="E7" s="21" t="str">
        <f t="shared" si="0"/>
        <v xml:space="preserve">DÍAS RESTANTES PARA ACTUAR ANTES DE VENCER EL PLAZO DE RESPUESTA.  </v>
      </c>
      <c r="F7" s="21" t="s">
        <v>102</v>
      </c>
      <c r="G7" s="19" t="s">
        <v>40</v>
      </c>
      <c r="H7" s="19" t="s">
        <v>71</v>
      </c>
      <c r="I7" s="21">
        <v>-5</v>
      </c>
      <c r="J7" s="19" t="s">
        <v>40</v>
      </c>
      <c r="K7" s="19" t="s">
        <v>70</v>
      </c>
      <c r="L7" s="19" t="s">
        <v>40</v>
      </c>
      <c r="M7" s="19" t="s">
        <v>40</v>
      </c>
    </row>
    <row r="8" spans="1:13">
      <c r="A8" s="19" t="s">
        <v>39</v>
      </c>
      <c r="B8" s="19" t="s">
        <v>94</v>
      </c>
      <c r="C8" s="20">
        <v>137713</v>
      </c>
      <c r="D8" s="21" t="s">
        <v>138</v>
      </c>
      <c r="E8" s="21" t="str">
        <f t="shared" si="0"/>
        <v xml:space="preserve">MONTO DISPUTADO EXPRESADO EN MONEDA LOCAL CON CÓDIGO DE DIVISA.  </v>
      </c>
      <c r="F8" s="21" t="s">
        <v>103</v>
      </c>
      <c r="G8" s="19" t="s">
        <v>40</v>
      </c>
      <c r="H8" s="19" t="s">
        <v>71</v>
      </c>
      <c r="I8" s="21" t="s">
        <v>118</v>
      </c>
      <c r="J8" s="19" t="s">
        <v>40</v>
      </c>
      <c r="K8" s="19" t="s">
        <v>70</v>
      </c>
      <c r="L8" s="19" t="s">
        <v>40</v>
      </c>
      <c r="M8" s="19" t="s">
        <v>40</v>
      </c>
    </row>
    <row r="9" spans="1:13">
      <c r="A9" s="19" t="s">
        <v>39</v>
      </c>
      <c r="B9" s="19" t="s">
        <v>94</v>
      </c>
      <c r="C9" s="20">
        <v>137713</v>
      </c>
      <c r="D9" s="23" t="s">
        <v>152</v>
      </c>
      <c r="E9" s="21" t="str">
        <f t="shared" si="0"/>
        <v>PRIMEROS 9 DIGITOS DE LA TARJETA DEL CLIENTE</v>
      </c>
      <c r="F9" s="21" t="s">
        <v>155</v>
      </c>
      <c r="G9" s="19" t="s">
        <v>70</v>
      </c>
      <c r="H9" s="19" t="s">
        <v>71</v>
      </c>
      <c r="I9" s="21" t="s">
        <v>156</v>
      </c>
      <c r="J9" s="19" t="s">
        <v>40</v>
      </c>
      <c r="K9" s="19" t="s">
        <v>70</v>
      </c>
      <c r="L9" s="19" t="s">
        <v>40</v>
      </c>
      <c r="M9" s="19" t="s">
        <v>40</v>
      </c>
    </row>
    <row r="10" spans="1:13">
      <c r="A10" s="19" t="s">
        <v>39</v>
      </c>
      <c r="B10" s="19" t="s">
        <v>94</v>
      </c>
      <c r="C10" s="20">
        <v>137713</v>
      </c>
      <c r="D10" s="23" t="s">
        <v>153</v>
      </c>
      <c r="E10" s="21" t="str">
        <f t="shared" si="0"/>
        <v>NUMERO DE LA TARJETA, ENMASCARADA, DEL CLIENTE</v>
      </c>
      <c r="F10" s="21" t="s">
        <v>154</v>
      </c>
      <c r="G10" s="19" t="s">
        <v>70</v>
      </c>
      <c r="H10" s="19" t="s">
        <v>71</v>
      </c>
      <c r="I10" s="21">
        <v>454751204</v>
      </c>
      <c r="J10" s="19" t="s">
        <v>40</v>
      </c>
      <c r="K10" s="19" t="s">
        <v>70</v>
      </c>
      <c r="L10" s="19" t="s">
        <v>40</v>
      </c>
      <c r="M10" s="19" t="s">
        <v>40</v>
      </c>
    </row>
    <row r="11" spans="1:13">
      <c r="A11" s="19" t="s">
        <v>39</v>
      </c>
      <c r="B11" s="19" t="s">
        <v>94</v>
      </c>
      <c r="C11" s="20">
        <v>137713</v>
      </c>
      <c r="D11" s="23" t="s">
        <v>157</v>
      </c>
      <c r="E11" s="21" t="str">
        <f t="shared" ref="E11:E12" si="1">UPPER(F11)</f>
        <v>PRIMEROS 9 DIGITOS DE LA TARJETA VIRTUAL DEL CLIENTE</v>
      </c>
      <c r="F11" s="21" t="s">
        <v>159</v>
      </c>
      <c r="G11" s="19" t="s">
        <v>70</v>
      </c>
      <c r="H11" s="19" t="s">
        <v>71</v>
      </c>
      <c r="I11" s="21" t="s">
        <v>161</v>
      </c>
      <c r="J11" s="19" t="s">
        <v>40</v>
      </c>
      <c r="K11" s="19" t="s">
        <v>70</v>
      </c>
      <c r="L11" s="19" t="s">
        <v>40</v>
      </c>
      <c r="M11" s="19" t="s">
        <v>40</v>
      </c>
    </row>
    <row r="12" spans="1:13">
      <c r="A12" s="19" t="s">
        <v>39</v>
      </c>
      <c r="B12" s="19" t="s">
        <v>94</v>
      </c>
      <c r="C12" s="20">
        <v>137713</v>
      </c>
      <c r="D12" s="23" t="s">
        <v>158</v>
      </c>
      <c r="E12" s="21" t="str">
        <f t="shared" si="1"/>
        <v>NUMERO DE LA TARJETA VIRTUAL, ENMASCARADA, DEL CLIENTE</v>
      </c>
      <c r="F12" s="21" t="s">
        <v>160</v>
      </c>
      <c r="G12" s="19" t="s">
        <v>70</v>
      </c>
      <c r="H12" s="19" t="s">
        <v>71</v>
      </c>
      <c r="I12" s="21">
        <v>438650840</v>
      </c>
      <c r="J12" s="19" t="s">
        <v>40</v>
      </c>
      <c r="K12" s="19" t="s">
        <v>70</v>
      </c>
      <c r="L12" s="19" t="s">
        <v>40</v>
      </c>
      <c r="M12" s="19" t="s">
        <v>40</v>
      </c>
    </row>
    <row r="13" spans="1:13">
      <c r="A13" s="19" t="s">
        <v>39</v>
      </c>
      <c r="B13" s="19" t="s">
        <v>94</v>
      </c>
      <c r="C13" s="20">
        <v>137713</v>
      </c>
      <c r="D13" s="21" t="s">
        <v>139</v>
      </c>
      <c r="E13" s="21" t="str">
        <f t="shared" si="0"/>
        <v xml:space="preserve">ESTADO DEL CASO ASIGNADO POR LA ENTIDAD EMISORA.  </v>
      </c>
      <c r="F13" s="21" t="s">
        <v>104</v>
      </c>
      <c r="G13" s="19" t="s">
        <v>40</v>
      </c>
      <c r="H13" s="19" t="s">
        <v>71</v>
      </c>
      <c r="I13" s="21"/>
      <c r="J13" s="19" t="s">
        <v>40</v>
      </c>
      <c r="K13" s="19" t="s">
        <v>70</v>
      </c>
      <c r="L13" s="19" t="s">
        <v>40</v>
      </c>
      <c r="M13" s="19" t="s">
        <v>40</v>
      </c>
    </row>
    <row r="14" spans="1:13">
      <c r="A14" s="19" t="s">
        <v>39</v>
      </c>
      <c r="B14" s="19" t="s">
        <v>94</v>
      </c>
      <c r="C14" s="20">
        <v>137713</v>
      </c>
      <c r="D14" s="21" t="s">
        <v>140</v>
      </c>
      <c r="E14" s="21" t="str">
        <f t="shared" si="0"/>
        <v xml:space="preserve">NÚMERO ARN (ACQUIRER REFERENCE NUMBER) QUE IDENTIFICA LA TRANSACCIÓN.  </v>
      </c>
      <c r="F14" s="21" t="s">
        <v>105</v>
      </c>
      <c r="G14" s="19" t="s">
        <v>40</v>
      </c>
      <c r="H14" s="19" t="s">
        <v>71</v>
      </c>
      <c r="I14" s="21" t="s">
        <v>119</v>
      </c>
      <c r="J14" s="19" t="s">
        <v>40</v>
      </c>
      <c r="K14" s="19" t="s">
        <v>70</v>
      </c>
      <c r="L14" s="19" t="s">
        <v>40</v>
      </c>
      <c r="M14" s="19" t="s">
        <v>40</v>
      </c>
    </row>
    <row r="15" spans="1:13">
      <c r="A15" s="19" t="s">
        <v>39</v>
      </c>
      <c r="B15" s="19" t="s">
        <v>94</v>
      </c>
      <c r="C15" s="20">
        <v>137713</v>
      </c>
      <c r="D15" s="23" t="s">
        <v>124</v>
      </c>
      <c r="E15" s="21" t="str">
        <f t="shared" si="0"/>
        <v xml:space="preserve">USUARIO O AGENTE QUE ESTÁ GESTIONANDO EL CASO.  </v>
      </c>
      <c r="F15" s="21" t="s">
        <v>106</v>
      </c>
      <c r="G15" s="19" t="s">
        <v>70</v>
      </c>
      <c r="H15" s="19" t="s">
        <v>72</v>
      </c>
      <c r="I15" s="21" t="s">
        <v>120</v>
      </c>
      <c r="J15" s="19" t="s">
        <v>40</v>
      </c>
      <c r="K15" s="19" t="s">
        <v>70</v>
      </c>
      <c r="L15" s="19" t="s">
        <v>40</v>
      </c>
      <c r="M15" s="19" t="s">
        <v>40</v>
      </c>
    </row>
    <row r="16" spans="1:13">
      <c r="A16" s="19" t="s">
        <v>39</v>
      </c>
      <c r="B16" s="19" t="s">
        <v>94</v>
      </c>
      <c r="C16" s="20">
        <v>137713</v>
      </c>
      <c r="D16" s="21" t="s">
        <v>141</v>
      </c>
      <c r="E16" s="21" t="str">
        <f t="shared" si="0"/>
        <v xml:space="preserve">FECHA Y HORA DE LA ÚLTIMA ACCIÓN REGISTRADA EN EL CASO.  </v>
      </c>
      <c r="F16" s="21" t="s">
        <v>107</v>
      </c>
      <c r="G16" s="19" t="s">
        <v>40</v>
      </c>
      <c r="H16" s="19" t="s">
        <v>71</v>
      </c>
      <c r="I16" s="21">
        <v>45969.118668391202</v>
      </c>
      <c r="J16" s="19" t="s">
        <v>40</v>
      </c>
      <c r="K16" s="19" t="s">
        <v>70</v>
      </c>
      <c r="L16" s="19" t="s">
        <v>40</v>
      </c>
      <c r="M16" s="19" t="s">
        <v>40</v>
      </c>
    </row>
    <row r="17" spans="1:13">
      <c r="A17" s="19" t="s">
        <v>39</v>
      </c>
      <c r="B17" s="19" t="s">
        <v>94</v>
      </c>
      <c r="C17" s="20">
        <v>137713</v>
      </c>
      <c r="D17" s="21" t="s">
        <v>142</v>
      </c>
      <c r="E17" s="21" t="str">
        <f t="shared" si="0"/>
        <v xml:space="preserve">NOMBRE DEL BANCO ADQUIRENTE (BID) QUE PROCESÓ LA TRANSACCIÓN.  </v>
      </c>
      <c r="F17" s="21" t="s">
        <v>108</v>
      </c>
      <c r="G17" s="19" t="s">
        <v>40</v>
      </c>
      <c r="H17" s="19" t="s">
        <v>71</v>
      </c>
      <c r="I17" s="21" t="s">
        <v>121</v>
      </c>
      <c r="J17" s="19" t="s">
        <v>40</v>
      </c>
      <c r="K17" s="19" t="s">
        <v>70</v>
      </c>
      <c r="L17" s="19" t="s">
        <v>40</v>
      </c>
      <c r="M17" s="19" t="s">
        <v>40</v>
      </c>
    </row>
    <row r="18" spans="1:13">
      <c r="A18" s="19" t="s">
        <v>39</v>
      </c>
      <c r="B18" s="19" t="s">
        <v>94</v>
      </c>
      <c r="C18" s="20">
        <v>137713</v>
      </c>
      <c r="D18" s="21" t="s">
        <v>143</v>
      </c>
      <c r="E18" s="21" t="str">
        <f t="shared" si="0"/>
        <v xml:space="preserve">CLASIFICACIÓN DEL CASO SEGÚN INDICADORES DE FRAUDE.  </v>
      </c>
      <c r="F18" s="21" t="s">
        <v>109</v>
      </c>
      <c r="G18" s="19" t="s">
        <v>40</v>
      </c>
      <c r="H18" s="19" t="s">
        <v>71</v>
      </c>
      <c r="I18" s="21" t="s">
        <v>122</v>
      </c>
      <c r="J18" s="19" t="s">
        <v>40</v>
      </c>
      <c r="K18" s="19" t="s">
        <v>70</v>
      </c>
      <c r="L18" s="19" t="s">
        <v>40</v>
      </c>
      <c r="M18" s="19" t="s">
        <v>40</v>
      </c>
    </row>
    <row r="19" spans="1:13">
      <c r="A19" s="19" t="s">
        <v>39</v>
      </c>
      <c r="B19" s="19" t="s">
        <v>94</v>
      </c>
      <c r="C19" s="20">
        <v>137713</v>
      </c>
      <c r="D19" s="21" t="s">
        <v>144</v>
      </c>
      <c r="E19" s="21" t="str">
        <f t="shared" si="0"/>
        <v xml:space="preserve">CÓDIGO MCC QUE REPRESENTA EL GIRO O ACTIVIDAD DEL COMERCIO.  </v>
      </c>
      <c r="F19" s="21" t="s">
        <v>110</v>
      </c>
      <c r="G19" s="19" t="s">
        <v>40</v>
      </c>
      <c r="H19" s="19" t="s">
        <v>71</v>
      </c>
      <c r="I19" s="21">
        <v>5137</v>
      </c>
      <c r="J19" s="19" t="s">
        <v>40</v>
      </c>
      <c r="K19" s="19" t="s">
        <v>70</v>
      </c>
      <c r="L19" s="19" t="s">
        <v>40</v>
      </c>
      <c r="M19" s="19" t="s">
        <v>40</v>
      </c>
    </row>
    <row r="20" spans="1:13">
      <c r="A20" s="19" t="s">
        <v>39</v>
      </c>
      <c r="B20" s="19" t="s">
        <v>94</v>
      </c>
      <c r="C20" s="20">
        <v>137713</v>
      </c>
      <c r="D20" s="21" t="s">
        <v>145</v>
      </c>
      <c r="E20" s="21" t="str">
        <f t="shared" si="0"/>
        <v xml:space="preserve">INDICADOR SI LA TRANSACCIÓN FUE REALIZADA POR MOTO (MAIL ORDER/TELEPHONE ORDER).  </v>
      </c>
      <c r="F20" s="21" t="s">
        <v>111</v>
      </c>
      <c r="G20" s="19" t="s">
        <v>40</v>
      </c>
      <c r="H20" s="19" t="s">
        <v>71</v>
      </c>
      <c r="I20" s="21">
        <v>7</v>
      </c>
      <c r="J20" s="19" t="s">
        <v>40</v>
      </c>
      <c r="K20" s="19" t="s">
        <v>70</v>
      </c>
      <c r="L20" s="19" t="s">
        <v>40</v>
      </c>
      <c r="M20" s="19" t="s">
        <v>40</v>
      </c>
    </row>
    <row r="21" spans="1:13">
      <c r="A21" s="19" t="s">
        <v>39</v>
      </c>
      <c r="B21" s="19" t="s">
        <v>94</v>
      </c>
      <c r="C21" s="20">
        <v>137713</v>
      </c>
      <c r="D21" s="23" t="s">
        <v>146</v>
      </c>
      <c r="E21" s="21" t="str">
        <f t="shared" si="0"/>
        <v xml:space="preserve">NOMBRE DEL COMERCIO DONDE SE ORIGINÓ LA TRANSACCIÓN DISPUTADA.  </v>
      </c>
      <c r="F21" s="21" t="s">
        <v>112</v>
      </c>
      <c r="G21" s="19" t="s">
        <v>70</v>
      </c>
      <c r="H21" s="19" t="s">
        <v>71</v>
      </c>
      <c r="I21" s="21" t="s">
        <v>123</v>
      </c>
      <c r="J21" s="19" t="s">
        <v>40</v>
      </c>
      <c r="K21" s="19" t="s">
        <v>70</v>
      </c>
      <c r="L21" s="19" t="s">
        <v>40</v>
      </c>
      <c r="M21" s="19" t="s">
        <v>40</v>
      </c>
    </row>
    <row r="22" spans="1:13">
      <c r="A22" s="19" t="s">
        <v>39</v>
      </c>
      <c r="B22" s="19" t="s">
        <v>94</v>
      </c>
      <c r="C22" s="20">
        <v>137713</v>
      </c>
      <c r="D22" s="21" t="s">
        <v>147</v>
      </c>
      <c r="E22" s="21" t="str">
        <f t="shared" si="0"/>
        <v xml:space="preserve">IDENTIFICADOR DE RED EN LA QUE SE PROCESÓ LA TRANSACCIÓN.  </v>
      </c>
      <c r="F22" s="21" t="s">
        <v>113</v>
      </c>
      <c r="G22" s="19" t="s">
        <v>40</v>
      </c>
      <c r="H22" s="19" t="s">
        <v>71</v>
      </c>
      <c r="I22" s="21">
        <v>2</v>
      </c>
      <c r="J22" s="19" t="s">
        <v>40</v>
      </c>
      <c r="K22" s="19" t="s">
        <v>70</v>
      </c>
      <c r="L22" s="19" t="s">
        <v>40</v>
      </c>
      <c r="M22" s="19" t="s">
        <v>40</v>
      </c>
    </row>
    <row r="23" spans="1:13">
      <c r="A23" s="19" t="s">
        <v>39</v>
      </c>
      <c r="B23" s="19" t="s">
        <v>94</v>
      </c>
      <c r="C23" s="20">
        <v>137713</v>
      </c>
      <c r="D23" s="21" t="s">
        <v>148</v>
      </c>
      <c r="E23" s="21" t="str">
        <f t="shared" si="0"/>
        <v xml:space="preserve">CÓDIGO DE JURISDICCIÓN DE LA TRANSACCIÓN.  </v>
      </c>
      <c r="F23" s="21" t="s">
        <v>114</v>
      </c>
      <c r="G23" s="19" t="s">
        <v>40</v>
      </c>
      <c r="H23" s="19" t="s">
        <v>71</v>
      </c>
      <c r="I23" s="21">
        <v>5</v>
      </c>
      <c r="J23" s="19" t="s">
        <v>40</v>
      </c>
      <c r="K23" s="19" t="s">
        <v>70</v>
      </c>
      <c r="L23" s="19" t="s">
        <v>40</v>
      </c>
      <c r="M23" s="19" t="s">
        <v>40</v>
      </c>
    </row>
    <row r="24" spans="1:13">
      <c r="A24" s="19" t="s">
        <v>39</v>
      </c>
      <c r="B24" s="19" t="s">
        <v>94</v>
      </c>
      <c r="C24" s="20">
        <v>137713</v>
      </c>
      <c r="D24" s="21" t="s">
        <v>149</v>
      </c>
      <c r="E24" s="21" t="str">
        <f t="shared" si="0"/>
        <v xml:space="preserve">INDICADOR DE SI LA TRANSACCIÓN FUE INTERNACIONAL, LOCAL U OTRO.  </v>
      </c>
      <c r="F24" s="21" t="s">
        <v>115</v>
      </c>
      <c r="G24" s="19" t="s">
        <v>40</v>
      </c>
      <c r="H24" s="19" t="s">
        <v>71</v>
      </c>
      <c r="I24" s="21">
        <v>0</v>
      </c>
      <c r="J24" s="19" t="s">
        <v>40</v>
      </c>
      <c r="K24" s="19" t="s">
        <v>70</v>
      </c>
      <c r="L24" s="19" t="s">
        <v>40</v>
      </c>
      <c r="M24" s="19" t="s">
        <v>40</v>
      </c>
    </row>
    <row r="25" spans="1:13">
      <c r="A25" s="19" t="s">
        <v>39</v>
      </c>
      <c r="B25" s="19" t="s">
        <v>94</v>
      </c>
      <c r="C25" s="20">
        <v>137713</v>
      </c>
      <c r="D25" s="21" t="s">
        <v>150</v>
      </c>
      <c r="E25" s="21" t="str">
        <f t="shared" si="0"/>
        <v xml:space="preserve">FECHA DE EXPIRACIÓN DEL REGLAMENTO E/REG Z APLICABLE AL CASO.  </v>
      </c>
      <c r="F25" s="21" t="s">
        <v>116</v>
      </c>
      <c r="G25" s="19" t="s">
        <v>40</v>
      </c>
      <c r="H25" s="19" t="s">
        <v>71</v>
      </c>
      <c r="I25" s="21"/>
      <c r="J25" s="19" t="s">
        <v>40</v>
      </c>
      <c r="K25" s="19" t="s">
        <v>70</v>
      </c>
      <c r="L25" s="19" t="s">
        <v>40</v>
      </c>
      <c r="M25" s="19" t="s">
        <v>40</v>
      </c>
    </row>
    <row r="26" spans="1:13">
      <c r="A26" s="19" t="s">
        <v>39</v>
      </c>
      <c r="B26" s="19" t="s">
        <v>94</v>
      </c>
      <c r="C26" s="20">
        <v>137713</v>
      </c>
      <c r="D26" s="21" t="s">
        <v>67</v>
      </c>
      <c r="E26" s="21" t="str">
        <f t="shared" si="0"/>
        <v>FECHA DE FOTO/DATOS CONFIGURADA EN EL ETL PARA LA EXTRACCIÓN DE DATOS, CORRESPONDE A APERTURAS DE COMERCIOS HASTA EL CIERRE DEL DÍA ANTERIOR</v>
      </c>
      <c r="F26" s="21" t="s">
        <v>68</v>
      </c>
      <c r="G26" s="19" t="s">
        <v>40</v>
      </c>
      <c r="H26" s="19" t="s">
        <v>69</v>
      </c>
      <c r="I26" s="22">
        <v>45841</v>
      </c>
      <c r="J26" s="19" t="s">
        <v>40</v>
      </c>
      <c r="K26" s="19" t="s">
        <v>40</v>
      </c>
      <c r="L26" s="19" t="s">
        <v>70</v>
      </c>
      <c r="M26" s="19" t="s">
        <v>40</v>
      </c>
    </row>
    <row r="27" spans="1:13">
      <c r="A27" s="19" t="s">
        <v>39</v>
      </c>
      <c r="B27" s="19" t="s">
        <v>94</v>
      </c>
      <c r="C27" s="20">
        <v>137713</v>
      </c>
      <c r="D27" s="21" t="s">
        <v>73</v>
      </c>
      <c r="E27" s="21" t="str">
        <f t="shared" si="0"/>
        <v>DATO DE AUDITORÍA: DESCRIPCIÓN DEL APLICATIVO ORIGEN DE LOS DATOS.</v>
      </c>
      <c r="F27" s="21" t="s">
        <v>74</v>
      </c>
      <c r="G27" s="19" t="s">
        <v>40</v>
      </c>
      <c r="H27" s="19" t="s">
        <v>71</v>
      </c>
      <c r="I27" s="21" t="s">
        <v>75</v>
      </c>
      <c r="J27" s="19" t="s">
        <v>40</v>
      </c>
      <c r="K27" s="19" t="s">
        <v>40</v>
      </c>
      <c r="L27" s="19" t="s">
        <v>40</v>
      </c>
      <c r="M27" s="19" t="s">
        <v>40</v>
      </c>
    </row>
    <row r="28" spans="1:13">
      <c r="A28" s="19" t="s">
        <v>39</v>
      </c>
      <c r="B28" s="19" t="s">
        <v>94</v>
      </c>
      <c r="C28" s="20">
        <v>137713</v>
      </c>
      <c r="D28" s="21" t="s">
        <v>76</v>
      </c>
      <c r="E28" s="21" t="str">
        <f t="shared" si="0"/>
        <v>FECHA Y HORA DE INSERCIÓN DEL REGISTRO EN EL MODELO</v>
      </c>
      <c r="F28" s="21" t="s">
        <v>77</v>
      </c>
      <c r="G28" s="19" t="s">
        <v>40</v>
      </c>
      <c r="H28" s="19" t="s">
        <v>90</v>
      </c>
      <c r="I28" s="21" t="s">
        <v>78</v>
      </c>
      <c r="J28" s="19" t="s">
        <v>40</v>
      </c>
      <c r="K28" s="19" t="s">
        <v>40</v>
      </c>
      <c r="L28" s="19" t="s">
        <v>40</v>
      </c>
      <c r="M28" s="19" t="s">
        <v>40</v>
      </c>
    </row>
    <row r="29" spans="1:13">
      <c r="A29" s="19" t="s">
        <v>39</v>
      </c>
      <c r="B29" s="19" t="s">
        <v>94</v>
      </c>
      <c r="C29" s="20">
        <v>137713</v>
      </c>
      <c r="D29" s="21" t="s">
        <v>79</v>
      </c>
      <c r="E29" s="21" t="str">
        <f t="shared" si="0"/>
        <v>USUARIO QUE CREA EL REGISTRO EN LA BD</v>
      </c>
      <c r="F29" s="21" t="s">
        <v>80</v>
      </c>
      <c r="G29" s="19" t="s">
        <v>40</v>
      </c>
      <c r="H29" s="19" t="s">
        <v>71</v>
      </c>
      <c r="I29" s="21" t="s">
        <v>81</v>
      </c>
      <c r="J29" s="19" t="s">
        <v>40</v>
      </c>
      <c r="K29" s="19" t="s">
        <v>40</v>
      </c>
      <c r="L29" s="19" t="s">
        <v>40</v>
      </c>
      <c r="M29" s="19" t="s">
        <v>40</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418DE-39ED-452A-8BA2-D9F805D53F32}">
  <sheetPr codeName="Hoja4"/>
  <dimension ref="A1:M29"/>
  <sheetViews>
    <sheetView showGridLines="0" workbookViewId="0">
      <selection activeCell="A11" sqref="A11:XFD12"/>
    </sheetView>
  </sheetViews>
  <sheetFormatPr baseColWidth="10" defaultColWidth="11.453125" defaultRowHeight="14.5"/>
  <cols>
    <col min="1" max="4" width="29" customWidth="1"/>
    <col min="5" max="6" width="48.26953125" customWidth="1"/>
    <col min="7" max="8" width="29" customWidth="1"/>
    <col min="9" max="9" width="40.54296875" customWidth="1"/>
    <col min="10" max="13" width="29" customWidth="1"/>
  </cols>
  <sheetData>
    <row r="1" spans="1:13" ht="31">
      <c r="A1" s="16" t="s">
        <v>5</v>
      </c>
      <c r="B1" s="17" t="s">
        <v>6</v>
      </c>
      <c r="C1" s="17" t="s">
        <v>7</v>
      </c>
      <c r="D1" s="17" t="s">
        <v>47</v>
      </c>
      <c r="E1" s="17" t="s">
        <v>48</v>
      </c>
      <c r="F1" s="17" t="s">
        <v>49</v>
      </c>
      <c r="G1" s="17" t="s">
        <v>50</v>
      </c>
      <c r="H1" s="17" t="s">
        <v>51</v>
      </c>
      <c r="I1" s="17" t="s">
        <v>52</v>
      </c>
      <c r="J1" s="17" t="s">
        <v>53</v>
      </c>
      <c r="K1" s="17" t="s">
        <v>54</v>
      </c>
      <c r="L1" s="17" t="s">
        <v>55</v>
      </c>
      <c r="M1" s="17" t="s">
        <v>56</v>
      </c>
    </row>
    <row r="2" spans="1:13" ht="46.5">
      <c r="A2" s="18" t="s">
        <v>25</v>
      </c>
      <c r="B2" s="18" t="s">
        <v>26</v>
      </c>
      <c r="C2" s="18" t="s">
        <v>57</v>
      </c>
      <c r="D2" s="18" t="s">
        <v>58</v>
      </c>
      <c r="E2" s="18" t="s">
        <v>59</v>
      </c>
      <c r="F2" s="18" t="s">
        <v>60</v>
      </c>
      <c r="G2" s="18" t="s">
        <v>61</v>
      </c>
      <c r="H2" s="18" t="s">
        <v>62</v>
      </c>
      <c r="I2" s="18" t="s">
        <v>63</v>
      </c>
      <c r="J2" s="18" t="s">
        <v>64</v>
      </c>
      <c r="K2" s="18" t="s">
        <v>65</v>
      </c>
      <c r="L2" s="18" t="s">
        <v>66</v>
      </c>
      <c r="M2" s="18" t="s">
        <v>65</v>
      </c>
    </row>
    <row r="3" spans="1:13">
      <c r="A3" s="19" t="s">
        <v>39</v>
      </c>
      <c r="B3" s="19" t="s">
        <v>94</v>
      </c>
      <c r="C3" s="20">
        <v>137714</v>
      </c>
      <c r="D3" s="21" t="s">
        <v>133</v>
      </c>
      <c r="E3" s="21" t="str">
        <f>UPPER(F3)</f>
        <v xml:space="preserve">NÚMERO DE CASO ASIGNADO POR VISA PARA EL SEGUIMIENTO DEL CONTRACARGO.  </v>
      </c>
      <c r="F3" s="21" t="s">
        <v>98</v>
      </c>
      <c r="G3" s="19" t="s">
        <v>40</v>
      </c>
      <c r="H3" s="19" t="s">
        <v>71</v>
      </c>
      <c r="I3" s="21">
        <v>5479572976</v>
      </c>
      <c r="J3" s="19" t="s">
        <v>40</v>
      </c>
      <c r="K3" s="19" t="s">
        <v>70</v>
      </c>
      <c r="L3" s="19" t="s">
        <v>40</v>
      </c>
      <c r="M3" s="19" t="s">
        <v>40</v>
      </c>
    </row>
    <row r="4" spans="1:13">
      <c r="A4" s="19" t="s">
        <v>39</v>
      </c>
      <c r="B4" s="19" t="s">
        <v>94</v>
      </c>
      <c r="C4" s="20">
        <v>137714</v>
      </c>
      <c r="D4" s="21" t="s">
        <v>134</v>
      </c>
      <c r="E4" s="21" t="str">
        <f t="shared" ref="E4:E29" si="0">UPPER(F4)</f>
        <v xml:space="preserve">FECHA DE SEGUIMIENTO O CONTROL INTERNO DEL CASO.  </v>
      </c>
      <c r="F4" s="21" t="s">
        <v>99</v>
      </c>
      <c r="G4" s="19" t="s">
        <v>40</v>
      </c>
      <c r="H4" s="19" t="s">
        <v>71</v>
      </c>
      <c r="I4" s="21"/>
      <c r="J4" s="19" t="s">
        <v>40</v>
      </c>
      <c r="K4" s="19" t="s">
        <v>70</v>
      </c>
      <c r="L4" s="19" t="s">
        <v>40</v>
      </c>
      <c r="M4" s="19" t="s">
        <v>40</v>
      </c>
    </row>
    <row r="5" spans="1:13">
      <c r="A5" s="19" t="s">
        <v>39</v>
      </c>
      <c r="B5" s="19" t="s">
        <v>94</v>
      </c>
      <c r="C5" s="20">
        <v>137714</v>
      </c>
      <c r="D5" s="21" t="s">
        <v>135</v>
      </c>
      <c r="E5" s="21" t="str">
        <f t="shared" si="0"/>
        <v xml:space="preserve">ESTADO ACTUAL DEL CASO DE DISPUTA (E.G., RECIBIDO, EN REVISIÓN).  </v>
      </c>
      <c r="F5" s="21" t="s">
        <v>100</v>
      </c>
      <c r="G5" s="19" t="s">
        <v>40</v>
      </c>
      <c r="H5" s="19" t="s">
        <v>71</v>
      </c>
      <c r="I5" s="21" t="s">
        <v>117</v>
      </c>
      <c r="J5" s="19" t="s">
        <v>40</v>
      </c>
      <c r="K5" s="19" t="s">
        <v>70</v>
      </c>
      <c r="L5" s="19" t="s">
        <v>40</v>
      </c>
      <c r="M5" s="19" t="s">
        <v>40</v>
      </c>
    </row>
    <row r="6" spans="1:13">
      <c r="A6" s="19" t="s">
        <v>39</v>
      </c>
      <c r="B6" s="19" t="s">
        <v>94</v>
      </c>
      <c r="C6" s="20">
        <v>137714</v>
      </c>
      <c r="D6" s="21" t="s">
        <v>136</v>
      </c>
      <c r="E6" s="21" t="str">
        <f t="shared" si="0"/>
        <v>CÓDIGO QUE REPRESENTA LA CONDICIÓN DE DISPUTA</v>
      </c>
      <c r="F6" s="21" t="s">
        <v>101</v>
      </c>
      <c r="G6" s="19" t="s">
        <v>40</v>
      </c>
      <c r="H6" s="19" t="s">
        <v>71</v>
      </c>
      <c r="I6" s="21">
        <v>13.6</v>
      </c>
      <c r="J6" s="19" t="s">
        <v>40</v>
      </c>
      <c r="K6" s="19" t="s">
        <v>70</v>
      </c>
      <c r="L6" s="19" t="s">
        <v>40</v>
      </c>
      <c r="M6" s="19" t="s">
        <v>40</v>
      </c>
    </row>
    <row r="7" spans="1:13">
      <c r="A7" s="19" t="s">
        <v>39</v>
      </c>
      <c r="B7" s="19" t="s">
        <v>94</v>
      </c>
      <c r="C7" s="20">
        <v>137714</v>
      </c>
      <c r="D7" s="21" t="s">
        <v>137</v>
      </c>
      <c r="E7" s="21" t="str">
        <f t="shared" si="0"/>
        <v xml:space="preserve">DÍAS RESTANTES PARA ACTUAR ANTES DE VENCER EL PLAZO DE RESPUESTA.  </v>
      </c>
      <c r="F7" s="21" t="s">
        <v>102</v>
      </c>
      <c r="G7" s="19" t="s">
        <v>40</v>
      </c>
      <c r="H7" s="19" t="s">
        <v>71</v>
      </c>
      <c r="I7" s="21">
        <v>-5</v>
      </c>
      <c r="J7" s="19" t="s">
        <v>40</v>
      </c>
      <c r="K7" s="19" t="s">
        <v>70</v>
      </c>
      <c r="L7" s="19" t="s">
        <v>40</v>
      </c>
      <c r="M7" s="19" t="s">
        <v>40</v>
      </c>
    </row>
    <row r="8" spans="1:13">
      <c r="A8" s="19" t="s">
        <v>39</v>
      </c>
      <c r="B8" s="19" t="s">
        <v>94</v>
      </c>
      <c r="C8" s="20">
        <v>137714</v>
      </c>
      <c r="D8" s="21" t="s">
        <v>138</v>
      </c>
      <c r="E8" s="21" t="str">
        <f t="shared" si="0"/>
        <v xml:space="preserve">MONTO DISPUTADO EXPRESADO EN MONEDA LOCAL CON CÓDIGO DE DIVISA.  </v>
      </c>
      <c r="F8" s="21" t="s">
        <v>103</v>
      </c>
      <c r="G8" s="19" t="s">
        <v>40</v>
      </c>
      <c r="H8" s="19" t="s">
        <v>71</v>
      </c>
      <c r="I8" s="21" t="s">
        <v>118</v>
      </c>
      <c r="J8" s="19" t="s">
        <v>40</v>
      </c>
      <c r="K8" s="19" t="s">
        <v>70</v>
      </c>
      <c r="L8" s="19" t="s">
        <v>40</v>
      </c>
      <c r="M8" s="19" t="s">
        <v>40</v>
      </c>
    </row>
    <row r="9" spans="1:13">
      <c r="A9" s="19" t="s">
        <v>39</v>
      </c>
      <c r="B9" s="19" t="s">
        <v>94</v>
      </c>
      <c r="C9" s="20">
        <v>137714</v>
      </c>
      <c r="D9" s="23" t="s">
        <v>152</v>
      </c>
      <c r="E9" s="21" t="str">
        <f t="shared" si="0"/>
        <v>PRIMEROS 9 DIGITOS DE LA TARJETA DEL CLIENTE</v>
      </c>
      <c r="F9" s="21" t="s">
        <v>155</v>
      </c>
      <c r="G9" s="19" t="s">
        <v>40</v>
      </c>
      <c r="H9" s="19" t="s">
        <v>71</v>
      </c>
      <c r="I9" s="21" t="s">
        <v>156</v>
      </c>
      <c r="J9" s="19" t="s">
        <v>40</v>
      </c>
      <c r="K9" s="19" t="s">
        <v>70</v>
      </c>
      <c r="L9" s="19" t="s">
        <v>40</v>
      </c>
      <c r="M9" s="19" t="s">
        <v>40</v>
      </c>
    </row>
    <row r="10" spans="1:13">
      <c r="A10" s="19" t="s">
        <v>39</v>
      </c>
      <c r="B10" s="19" t="s">
        <v>94</v>
      </c>
      <c r="C10" s="20">
        <v>137714</v>
      </c>
      <c r="D10" s="23" t="s">
        <v>153</v>
      </c>
      <c r="E10" s="21" t="str">
        <f t="shared" si="0"/>
        <v>NUMERO DE LA TARJETA, ENMASCARADA, DEL CLIENTE</v>
      </c>
      <c r="F10" s="21" t="s">
        <v>154</v>
      </c>
      <c r="G10" s="19" t="s">
        <v>40</v>
      </c>
      <c r="H10" s="19" t="s">
        <v>71</v>
      </c>
      <c r="I10" s="21">
        <v>454751204</v>
      </c>
      <c r="J10" s="19" t="s">
        <v>40</v>
      </c>
      <c r="K10" s="19" t="s">
        <v>70</v>
      </c>
      <c r="L10" s="19" t="s">
        <v>40</v>
      </c>
      <c r="M10" s="19" t="s">
        <v>40</v>
      </c>
    </row>
    <row r="11" spans="1:13">
      <c r="A11" s="19" t="s">
        <v>39</v>
      </c>
      <c r="B11" s="19" t="s">
        <v>94</v>
      </c>
      <c r="C11" s="20">
        <v>137714</v>
      </c>
      <c r="D11" s="23" t="s">
        <v>157</v>
      </c>
      <c r="E11" s="21" t="str">
        <f t="shared" si="0"/>
        <v>PRIMEROS 9 DIGITOS DE LA TARJETA VIRTUAL DEL CLIENTE</v>
      </c>
      <c r="F11" s="21" t="s">
        <v>159</v>
      </c>
      <c r="G11" s="19" t="s">
        <v>70</v>
      </c>
      <c r="H11" s="19" t="s">
        <v>71</v>
      </c>
      <c r="I11" s="21" t="s">
        <v>161</v>
      </c>
      <c r="J11" s="19" t="s">
        <v>40</v>
      </c>
      <c r="K11" s="19" t="s">
        <v>70</v>
      </c>
      <c r="L11" s="19" t="s">
        <v>40</v>
      </c>
      <c r="M11" s="19" t="s">
        <v>40</v>
      </c>
    </row>
    <row r="12" spans="1:13">
      <c r="A12" s="19" t="s">
        <v>39</v>
      </c>
      <c r="B12" s="19" t="s">
        <v>94</v>
      </c>
      <c r="C12" s="20">
        <v>137714</v>
      </c>
      <c r="D12" s="23" t="s">
        <v>158</v>
      </c>
      <c r="E12" s="21" t="str">
        <f t="shared" si="0"/>
        <v>NUMERO DE LA TARJETA VIRTUAL, ENMASCARADA, DEL CLIENTE</v>
      </c>
      <c r="F12" s="21" t="s">
        <v>160</v>
      </c>
      <c r="G12" s="19" t="s">
        <v>70</v>
      </c>
      <c r="H12" s="19" t="s">
        <v>71</v>
      </c>
      <c r="I12" s="21">
        <v>438650840</v>
      </c>
      <c r="J12" s="19" t="s">
        <v>40</v>
      </c>
      <c r="K12" s="19" t="s">
        <v>70</v>
      </c>
      <c r="L12" s="19" t="s">
        <v>40</v>
      </c>
      <c r="M12" s="19" t="s">
        <v>40</v>
      </c>
    </row>
    <row r="13" spans="1:13">
      <c r="A13" s="19" t="s">
        <v>39</v>
      </c>
      <c r="B13" s="19" t="s">
        <v>94</v>
      </c>
      <c r="C13" s="20">
        <v>137714</v>
      </c>
      <c r="D13" s="21" t="s">
        <v>139</v>
      </c>
      <c r="E13" s="21" t="str">
        <f t="shared" si="0"/>
        <v xml:space="preserve">ESTADO DEL CASO ASIGNADO POR LA ENTIDAD EMISORA.  </v>
      </c>
      <c r="F13" s="21" t="s">
        <v>104</v>
      </c>
      <c r="G13" s="19" t="s">
        <v>40</v>
      </c>
      <c r="H13" s="19" t="s">
        <v>71</v>
      </c>
      <c r="I13" s="21"/>
      <c r="J13" s="19" t="s">
        <v>40</v>
      </c>
      <c r="K13" s="19" t="s">
        <v>70</v>
      </c>
      <c r="L13" s="19" t="s">
        <v>40</v>
      </c>
      <c r="M13" s="19" t="s">
        <v>40</v>
      </c>
    </row>
    <row r="14" spans="1:13">
      <c r="A14" s="19" t="s">
        <v>39</v>
      </c>
      <c r="B14" s="19" t="s">
        <v>94</v>
      </c>
      <c r="C14" s="20">
        <v>137714</v>
      </c>
      <c r="D14" s="21" t="s">
        <v>140</v>
      </c>
      <c r="E14" s="21" t="str">
        <f t="shared" si="0"/>
        <v xml:space="preserve">NÚMERO ARN (ACQUIRER REFERENCE NUMBER) QUE IDENTIFICA LA TRANSACCIÓN.  </v>
      </c>
      <c r="F14" s="21" t="s">
        <v>105</v>
      </c>
      <c r="G14" s="19" t="s">
        <v>40</v>
      </c>
      <c r="H14" s="19" t="s">
        <v>71</v>
      </c>
      <c r="I14" s="21" t="s">
        <v>119</v>
      </c>
      <c r="J14" s="19" t="s">
        <v>40</v>
      </c>
      <c r="K14" s="19" t="s">
        <v>70</v>
      </c>
      <c r="L14" s="19" t="s">
        <v>40</v>
      </c>
      <c r="M14" s="19" t="s">
        <v>40</v>
      </c>
    </row>
    <row r="15" spans="1:13">
      <c r="A15" s="19" t="s">
        <v>39</v>
      </c>
      <c r="B15" s="19" t="s">
        <v>94</v>
      </c>
      <c r="C15" s="20">
        <v>137714</v>
      </c>
      <c r="D15" s="23" t="s">
        <v>124</v>
      </c>
      <c r="E15" s="21" t="str">
        <f t="shared" si="0"/>
        <v xml:space="preserve">USUARIO O AGENTE QUE ESTÁ GESTIONANDO EL CASO.  </v>
      </c>
      <c r="F15" s="21" t="s">
        <v>106</v>
      </c>
      <c r="G15" s="19" t="s">
        <v>70</v>
      </c>
      <c r="H15" s="19" t="s">
        <v>72</v>
      </c>
      <c r="I15" s="21" t="s">
        <v>120</v>
      </c>
      <c r="J15" s="19" t="s">
        <v>40</v>
      </c>
      <c r="K15" s="19" t="s">
        <v>70</v>
      </c>
      <c r="L15" s="19" t="s">
        <v>40</v>
      </c>
      <c r="M15" s="19" t="s">
        <v>40</v>
      </c>
    </row>
    <row r="16" spans="1:13">
      <c r="A16" s="19" t="s">
        <v>39</v>
      </c>
      <c r="B16" s="19" t="s">
        <v>94</v>
      </c>
      <c r="C16" s="20">
        <v>137714</v>
      </c>
      <c r="D16" s="21" t="s">
        <v>141</v>
      </c>
      <c r="E16" s="21" t="str">
        <f t="shared" si="0"/>
        <v xml:space="preserve">FECHA Y HORA DE LA ÚLTIMA ACCIÓN REGISTRADA EN EL CASO.  </v>
      </c>
      <c r="F16" s="21" t="s">
        <v>107</v>
      </c>
      <c r="G16" s="19" t="s">
        <v>40</v>
      </c>
      <c r="H16" s="19" t="s">
        <v>71</v>
      </c>
      <c r="I16" s="21">
        <v>45969.118668391202</v>
      </c>
      <c r="J16" s="19" t="s">
        <v>40</v>
      </c>
      <c r="K16" s="19" t="s">
        <v>70</v>
      </c>
      <c r="L16" s="19" t="s">
        <v>40</v>
      </c>
      <c r="M16" s="19" t="s">
        <v>40</v>
      </c>
    </row>
    <row r="17" spans="1:13">
      <c r="A17" s="19" t="s">
        <v>39</v>
      </c>
      <c r="B17" s="19" t="s">
        <v>94</v>
      </c>
      <c r="C17" s="20">
        <v>137714</v>
      </c>
      <c r="D17" s="21" t="s">
        <v>142</v>
      </c>
      <c r="E17" s="21" t="str">
        <f t="shared" si="0"/>
        <v xml:space="preserve">NOMBRE DEL BANCO ADQUIRENTE (BID) QUE PROCESÓ LA TRANSACCIÓN.  </v>
      </c>
      <c r="F17" s="21" t="s">
        <v>108</v>
      </c>
      <c r="G17" s="19" t="s">
        <v>40</v>
      </c>
      <c r="H17" s="19" t="s">
        <v>71</v>
      </c>
      <c r="I17" s="21" t="s">
        <v>121</v>
      </c>
      <c r="J17" s="19" t="s">
        <v>40</v>
      </c>
      <c r="K17" s="19" t="s">
        <v>70</v>
      </c>
      <c r="L17" s="19" t="s">
        <v>40</v>
      </c>
      <c r="M17" s="19" t="s">
        <v>40</v>
      </c>
    </row>
    <row r="18" spans="1:13">
      <c r="A18" s="19" t="s">
        <v>39</v>
      </c>
      <c r="B18" s="19" t="s">
        <v>94</v>
      </c>
      <c r="C18" s="20">
        <v>137714</v>
      </c>
      <c r="D18" s="21" t="s">
        <v>143</v>
      </c>
      <c r="E18" s="21" t="str">
        <f t="shared" si="0"/>
        <v xml:space="preserve">CLASIFICACIÓN DEL CASO SEGÚN INDICADORES DE FRAUDE.  </v>
      </c>
      <c r="F18" s="21" t="s">
        <v>109</v>
      </c>
      <c r="G18" s="19" t="s">
        <v>40</v>
      </c>
      <c r="H18" s="19" t="s">
        <v>71</v>
      </c>
      <c r="I18" s="21" t="s">
        <v>122</v>
      </c>
      <c r="J18" s="19" t="s">
        <v>40</v>
      </c>
      <c r="K18" s="19" t="s">
        <v>70</v>
      </c>
      <c r="L18" s="19" t="s">
        <v>40</v>
      </c>
      <c r="M18" s="19" t="s">
        <v>40</v>
      </c>
    </row>
    <row r="19" spans="1:13">
      <c r="A19" s="19" t="s">
        <v>39</v>
      </c>
      <c r="B19" s="19" t="s">
        <v>94</v>
      </c>
      <c r="C19" s="20">
        <v>137714</v>
      </c>
      <c r="D19" s="21" t="s">
        <v>144</v>
      </c>
      <c r="E19" s="21" t="str">
        <f t="shared" si="0"/>
        <v xml:space="preserve">CÓDIGO MCC QUE REPRESENTA EL GIRO O ACTIVIDAD DEL COMERCIO.  </v>
      </c>
      <c r="F19" s="21" t="s">
        <v>110</v>
      </c>
      <c r="G19" s="19" t="s">
        <v>40</v>
      </c>
      <c r="H19" s="19" t="s">
        <v>71</v>
      </c>
      <c r="I19" s="21">
        <v>5137</v>
      </c>
      <c r="J19" s="19" t="s">
        <v>40</v>
      </c>
      <c r="K19" s="19" t="s">
        <v>70</v>
      </c>
      <c r="L19" s="19" t="s">
        <v>40</v>
      </c>
      <c r="M19" s="19" t="s">
        <v>40</v>
      </c>
    </row>
    <row r="20" spans="1:13">
      <c r="A20" s="19" t="s">
        <v>39</v>
      </c>
      <c r="B20" s="19" t="s">
        <v>94</v>
      </c>
      <c r="C20" s="20">
        <v>137714</v>
      </c>
      <c r="D20" s="21" t="s">
        <v>145</v>
      </c>
      <c r="E20" s="21" t="str">
        <f t="shared" si="0"/>
        <v xml:space="preserve">INDICADOR SI LA TRANSACCIÓN FUE REALIZADA POR MOTO (MAIL ORDER/TELEPHONE ORDER).  </v>
      </c>
      <c r="F20" s="21" t="s">
        <v>111</v>
      </c>
      <c r="G20" s="19" t="s">
        <v>40</v>
      </c>
      <c r="H20" s="19" t="s">
        <v>71</v>
      </c>
      <c r="I20" s="21">
        <v>7</v>
      </c>
      <c r="J20" s="19" t="s">
        <v>40</v>
      </c>
      <c r="K20" s="19" t="s">
        <v>70</v>
      </c>
      <c r="L20" s="19" t="s">
        <v>40</v>
      </c>
      <c r="M20" s="19" t="s">
        <v>40</v>
      </c>
    </row>
    <row r="21" spans="1:13">
      <c r="A21" s="19" t="s">
        <v>39</v>
      </c>
      <c r="B21" s="19" t="s">
        <v>94</v>
      </c>
      <c r="C21" s="20">
        <v>137714</v>
      </c>
      <c r="D21" s="23" t="s">
        <v>146</v>
      </c>
      <c r="E21" s="21" t="str">
        <f t="shared" si="0"/>
        <v xml:space="preserve">NOMBRE DEL COMERCIO DONDE SE ORIGINÓ LA TRANSACCIÓN DISPUTADA.  </v>
      </c>
      <c r="F21" s="21" t="s">
        <v>112</v>
      </c>
      <c r="G21" s="19" t="s">
        <v>70</v>
      </c>
      <c r="H21" s="19" t="s">
        <v>71</v>
      </c>
      <c r="I21" s="21" t="s">
        <v>123</v>
      </c>
      <c r="J21" s="19" t="s">
        <v>40</v>
      </c>
      <c r="K21" s="19" t="s">
        <v>70</v>
      </c>
      <c r="L21" s="19" t="s">
        <v>40</v>
      </c>
      <c r="M21" s="19" t="s">
        <v>40</v>
      </c>
    </row>
    <row r="22" spans="1:13">
      <c r="A22" s="19" t="s">
        <v>39</v>
      </c>
      <c r="B22" s="19" t="s">
        <v>94</v>
      </c>
      <c r="C22" s="20">
        <v>137714</v>
      </c>
      <c r="D22" s="21" t="s">
        <v>147</v>
      </c>
      <c r="E22" s="21" t="str">
        <f t="shared" si="0"/>
        <v xml:space="preserve">IDENTIFICADOR DE RED EN LA QUE SE PROCESÓ LA TRANSACCIÓN.  </v>
      </c>
      <c r="F22" s="21" t="s">
        <v>113</v>
      </c>
      <c r="G22" s="19" t="s">
        <v>40</v>
      </c>
      <c r="H22" s="19" t="s">
        <v>71</v>
      </c>
      <c r="I22" s="21">
        <v>2</v>
      </c>
      <c r="J22" s="19" t="s">
        <v>40</v>
      </c>
      <c r="K22" s="19" t="s">
        <v>70</v>
      </c>
      <c r="L22" s="19" t="s">
        <v>40</v>
      </c>
      <c r="M22" s="19" t="s">
        <v>40</v>
      </c>
    </row>
    <row r="23" spans="1:13">
      <c r="A23" s="19" t="s">
        <v>39</v>
      </c>
      <c r="B23" s="19" t="s">
        <v>94</v>
      </c>
      <c r="C23" s="20">
        <v>137714</v>
      </c>
      <c r="D23" s="21" t="s">
        <v>148</v>
      </c>
      <c r="E23" s="21" t="str">
        <f t="shared" si="0"/>
        <v xml:space="preserve">CÓDIGO DE JURISDICCIÓN DE LA TRANSACCIÓN.  </v>
      </c>
      <c r="F23" s="21" t="s">
        <v>114</v>
      </c>
      <c r="G23" s="19" t="s">
        <v>40</v>
      </c>
      <c r="H23" s="19" t="s">
        <v>71</v>
      </c>
      <c r="I23" s="21">
        <v>5</v>
      </c>
      <c r="J23" s="19" t="s">
        <v>40</v>
      </c>
      <c r="K23" s="19" t="s">
        <v>70</v>
      </c>
      <c r="L23" s="19" t="s">
        <v>40</v>
      </c>
      <c r="M23" s="19" t="s">
        <v>40</v>
      </c>
    </row>
    <row r="24" spans="1:13">
      <c r="A24" s="19" t="s">
        <v>39</v>
      </c>
      <c r="B24" s="19" t="s">
        <v>94</v>
      </c>
      <c r="C24" s="20">
        <v>137714</v>
      </c>
      <c r="D24" s="21" t="s">
        <v>149</v>
      </c>
      <c r="E24" s="21" t="str">
        <f t="shared" si="0"/>
        <v xml:space="preserve">INDICADOR DE SI LA TRANSACCIÓN FUE INTERNACIONAL, LOCAL U OTRO.  </v>
      </c>
      <c r="F24" s="21" t="s">
        <v>115</v>
      </c>
      <c r="G24" s="19" t="s">
        <v>40</v>
      </c>
      <c r="H24" s="19" t="s">
        <v>71</v>
      </c>
      <c r="I24" s="21">
        <v>0</v>
      </c>
      <c r="J24" s="19" t="s">
        <v>40</v>
      </c>
      <c r="K24" s="19" t="s">
        <v>70</v>
      </c>
      <c r="L24" s="19" t="s">
        <v>40</v>
      </c>
      <c r="M24" s="19" t="s">
        <v>40</v>
      </c>
    </row>
    <row r="25" spans="1:13">
      <c r="A25" s="19" t="s">
        <v>39</v>
      </c>
      <c r="B25" s="19" t="s">
        <v>94</v>
      </c>
      <c r="C25" s="20">
        <v>137714</v>
      </c>
      <c r="D25" s="21" t="s">
        <v>150</v>
      </c>
      <c r="E25" s="21" t="str">
        <f t="shared" si="0"/>
        <v xml:space="preserve">FECHA DE EXPIRACIÓN DEL REGLAMENTO E/REG Z APLICABLE AL CASO.  </v>
      </c>
      <c r="F25" s="21" t="s">
        <v>116</v>
      </c>
      <c r="G25" s="19" t="s">
        <v>40</v>
      </c>
      <c r="H25" s="19" t="s">
        <v>71</v>
      </c>
      <c r="I25" s="21"/>
      <c r="J25" s="19" t="s">
        <v>40</v>
      </c>
      <c r="K25" s="19" t="s">
        <v>70</v>
      </c>
      <c r="L25" s="19" t="s">
        <v>40</v>
      </c>
      <c r="M25" s="19" t="s">
        <v>40</v>
      </c>
    </row>
    <row r="26" spans="1:13">
      <c r="A26" s="19" t="s">
        <v>39</v>
      </c>
      <c r="B26" s="19" t="s">
        <v>94</v>
      </c>
      <c r="C26" s="20">
        <v>137714</v>
      </c>
      <c r="D26" s="21" t="s">
        <v>67</v>
      </c>
      <c r="E26" s="21" t="str">
        <f t="shared" si="0"/>
        <v>FECHA DE FOTO/DATOS CONFIGURADA EN EL ETL PARA LA EXTRACCIÓN DE DATOS, CORRESPONDE A APERTURAS DE COMERCIOS HASTA EL CIERRE DEL DÍA ANTERIOR</v>
      </c>
      <c r="F26" s="21" t="s">
        <v>68</v>
      </c>
      <c r="G26" s="19" t="s">
        <v>40</v>
      </c>
      <c r="H26" s="19" t="s">
        <v>69</v>
      </c>
      <c r="I26" s="22">
        <v>45841</v>
      </c>
      <c r="J26" s="19" t="s">
        <v>40</v>
      </c>
      <c r="K26" s="19" t="s">
        <v>40</v>
      </c>
      <c r="L26" s="19" t="s">
        <v>70</v>
      </c>
      <c r="M26" s="19" t="s">
        <v>40</v>
      </c>
    </row>
    <row r="27" spans="1:13">
      <c r="A27" s="19" t="s">
        <v>39</v>
      </c>
      <c r="B27" s="19" t="s">
        <v>94</v>
      </c>
      <c r="C27" s="20">
        <v>137714</v>
      </c>
      <c r="D27" s="21" t="s">
        <v>73</v>
      </c>
      <c r="E27" s="21" t="str">
        <f t="shared" si="0"/>
        <v>DATO DE AUDITORÍA: DESCRIPCIÓN DEL APLICATIVO ORIGEN DE LOS DATOS.</v>
      </c>
      <c r="F27" s="21" t="s">
        <v>74</v>
      </c>
      <c r="G27" s="19" t="s">
        <v>40</v>
      </c>
      <c r="H27" s="19" t="s">
        <v>71</v>
      </c>
      <c r="I27" s="21" t="s">
        <v>75</v>
      </c>
      <c r="J27" s="19" t="s">
        <v>40</v>
      </c>
      <c r="K27" s="19" t="s">
        <v>40</v>
      </c>
      <c r="L27" s="19" t="s">
        <v>40</v>
      </c>
      <c r="M27" s="19" t="s">
        <v>40</v>
      </c>
    </row>
    <row r="28" spans="1:13">
      <c r="A28" s="19" t="s">
        <v>39</v>
      </c>
      <c r="B28" s="19" t="s">
        <v>94</v>
      </c>
      <c r="C28" s="20">
        <v>137714</v>
      </c>
      <c r="D28" s="21" t="s">
        <v>76</v>
      </c>
      <c r="E28" s="21" t="str">
        <f t="shared" si="0"/>
        <v>FECHA Y HORA DE INSERCIÓN DEL REGISTRO EN EL MODELO</v>
      </c>
      <c r="F28" s="21" t="s">
        <v>77</v>
      </c>
      <c r="G28" s="19" t="s">
        <v>40</v>
      </c>
      <c r="H28" s="19" t="s">
        <v>90</v>
      </c>
      <c r="I28" s="21" t="s">
        <v>78</v>
      </c>
      <c r="J28" s="19" t="s">
        <v>40</v>
      </c>
      <c r="K28" s="19" t="s">
        <v>40</v>
      </c>
      <c r="L28" s="19" t="s">
        <v>40</v>
      </c>
      <c r="M28" s="19" t="s">
        <v>40</v>
      </c>
    </row>
    <row r="29" spans="1:13">
      <c r="A29" s="19" t="s">
        <v>39</v>
      </c>
      <c r="B29" s="19" t="s">
        <v>94</v>
      </c>
      <c r="C29" s="20">
        <v>137714</v>
      </c>
      <c r="D29" s="21" t="s">
        <v>79</v>
      </c>
      <c r="E29" s="21" t="str">
        <f t="shared" si="0"/>
        <v>USUARIO QUE CREA EL REGISTRO EN LA BD</v>
      </c>
      <c r="F29" s="21" t="s">
        <v>80</v>
      </c>
      <c r="G29" s="19" t="s">
        <v>40</v>
      </c>
      <c r="H29" s="19" t="s">
        <v>71</v>
      </c>
      <c r="I29" s="21" t="s">
        <v>81</v>
      </c>
      <c r="J29" s="19" t="s">
        <v>40</v>
      </c>
      <c r="K29" s="19" t="s">
        <v>40</v>
      </c>
      <c r="L29" s="19" t="s">
        <v>40</v>
      </c>
      <c r="M29" s="19" t="s">
        <v>40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43882-998C-4D89-9A36-04AD87374F8E}">
  <sheetPr codeName="Hoja5"/>
  <dimension ref="A1:M29"/>
  <sheetViews>
    <sheetView showGridLines="0" workbookViewId="0">
      <selection activeCell="A11" sqref="A11:XFD12"/>
    </sheetView>
  </sheetViews>
  <sheetFormatPr baseColWidth="10" defaultColWidth="11.453125" defaultRowHeight="14.5"/>
  <cols>
    <col min="1" max="4" width="29" customWidth="1"/>
    <col min="5" max="6" width="48.26953125" customWidth="1"/>
    <col min="7" max="8" width="29" customWidth="1"/>
    <col min="9" max="9" width="40.54296875" customWidth="1"/>
    <col min="10" max="13" width="29" customWidth="1"/>
  </cols>
  <sheetData>
    <row r="1" spans="1:13" ht="31">
      <c r="A1" s="16" t="s">
        <v>5</v>
      </c>
      <c r="B1" s="17" t="s">
        <v>6</v>
      </c>
      <c r="C1" s="17" t="s">
        <v>7</v>
      </c>
      <c r="D1" s="17" t="s">
        <v>47</v>
      </c>
      <c r="E1" s="17" t="s">
        <v>48</v>
      </c>
      <c r="F1" s="17" t="s">
        <v>49</v>
      </c>
      <c r="G1" s="17" t="s">
        <v>50</v>
      </c>
      <c r="H1" s="17" t="s">
        <v>51</v>
      </c>
      <c r="I1" s="17" t="s">
        <v>52</v>
      </c>
      <c r="J1" s="17" t="s">
        <v>53</v>
      </c>
      <c r="K1" s="17" t="s">
        <v>54</v>
      </c>
      <c r="L1" s="17" t="s">
        <v>55</v>
      </c>
      <c r="M1" s="17" t="s">
        <v>56</v>
      </c>
    </row>
    <row r="2" spans="1:13" ht="46.5">
      <c r="A2" s="18" t="s">
        <v>25</v>
      </c>
      <c r="B2" s="18" t="s">
        <v>26</v>
      </c>
      <c r="C2" s="18" t="s">
        <v>57</v>
      </c>
      <c r="D2" s="18" t="s">
        <v>58</v>
      </c>
      <c r="E2" s="18" t="s">
        <v>59</v>
      </c>
      <c r="F2" s="18" t="s">
        <v>60</v>
      </c>
      <c r="G2" s="18" t="s">
        <v>61</v>
      </c>
      <c r="H2" s="18" t="s">
        <v>62</v>
      </c>
      <c r="I2" s="18" t="s">
        <v>63</v>
      </c>
      <c r="J2" s="18" t="s">
        <v>64</v>
      </c>
      <c r="K2" s="18" t="s">
        <v>65</v>
      </c>
      <c r="L2" s="18" t="s">
        <v>66</v>
      </c>
      <c r="M2" s="18" t="s">
        <v>65</v>
      </c>
    </row>
    <row r="3" spans="1:13">
      <c r="A3" s="19" t="s">
        <v>39</v>
      </c>
      <c r="B3" s="19" t="s">
        <v>94</v>
      </c>
      <c r="C3" s="20">
        <v>137715</v>
      </c>
      <c r="D3" s="21" t="s">
        <v>133</v>
      </c>
      <c r="E3" s="21" t="str">
        <f>UPPER(F3)</f>
        <v xml:space="preserve">NÚMERO DE CASO ASIGNADO POR VISA PARA EL SEGUIMIENTO DEL CONTRACARGO.  </v>
      </c>
      <c r="F3" s="21" t="s">
        <v>98</v>
      </c>
      <c r="G3" s="19" t="s">
        <v>40</v>
      </c>
      <c r="H3" s="19" t="s">
        <v>71</v>
      </c>
      <c r="I3" s="21">
        <v>5479572976</v>
      </c>
      <c r="J3" s="19" t="s">
        <v>40</v>
      </c>
      <c r="K3" s="19" t="s">
        <v>70</v>
      </c>
      <c r="L3" s="19" t="s">
        <v>40</v>
      </c>
      <c r="M3" s="19" t="s">
        <v>40</v>
      </c>
    </row>
    <row r="4" spans="1:13">
      <c r="A4" s="19" t="s">
        <v>39</v>
      </c>
      <c r="B4" s="19" t="s">
        <v>94</v>
      </c>
      <c r="C4" s="20">
        <v>137715</v>
      </c>
      <c r="D4" s="21" t="s">
        <v>134</v>
      </c>
      <c r="E4" s="21" t="str">
        <f t="shared" ref="E4:E29" si="0">UPPER(F4)</f>
        <v xml:space="preserve">FECHA DE SEGUIMIENTO O CONTROL INTERNO DEL CASO.  </v>
      </c>
      <c r="F4" s="21" t="s">
        <v>99</v>
      </c>
      <c r="G4" s="19" t="s">
        <v>40</v>
      </c>
      <c r="H4" s="19" t="s">
        <v>71</v>
      </c>
      <c r="I4" s="21"/>
      <c r="J4" s="19" t="s">
        <v>40</v>
      </c>
      <c r="K4" s="19" t="s">
        <v>70</v>
      </c>
      <c r="L4" s="19" t="s">
        <v>40</v>
      </c>
      <c r="M4" s="19" t="s">
        <v>40</v>
      </c>
    </row>
    <row r="5" spans="1:13">
      <c r="A5" s="19" t="s">
        <v>39</v>
      </c>
      <c r="B5" s="19" t="s">
        <v>94</v>
      </c>
      <c r="C5" s="20">
        <v>137715</v>
      </c>
      <c r="D5" s="21" t="s">
        <v>135</v>
      </c>
      <c r="E5" s="21" t="str">
        <f t="shared" si="0"/>
        <v xml:space="preserve">ESTADO ACTUAL DEL CASO DE DISPUTA (E.G., RECIBIDO, EN REVISIÓN).  </v>
      </c>
      <c r="F5" s="21" t="s">
        <v>100</v>
      </c>
      <c r="G5" s="19" t="s">
        <v>40</v>
      </c>
      <c r="H5" s="19" t="s">
        <v>71</v>
      </c>
      <c r="I5" s="21" t="s">
        <v>117</v>
      </c>
      <c r="J5" s="19" t="s">
        <v>40</v>
      </c>
      <c r="K5" s="19" t="s">
        <v>70</v>
      </c>
      <c r="L5" s="19" t="s">
        <v>40</v>
      </c>
      <c r="M5" s="19" t="s">
        <v>40</v>
      </c>
    </row>
    <row r="6" spans="1:13">
      <c r="A6" s="19" t="s">
        <v>39</v>
      </c>
      <c r="B6" s="19" t="s">
        <v>94</v>
      </c>
      <c r="C6" s="20">
        <v>137715</v>
      </c>
      <c r="D6" s="21" t="s">
        <v>136</v>
      </c>
      <c r="E6" s="21" t="str">
        <f t="shared" si="0"/>
        <v>CÓDIGO QUE REPRESENTA LA CONDICIÓN DE DISPUTA</v>
      </c>
      <c r="F6" s="21" t="s">
        <v>101</v>
      </c>
      <c r="G6" s="19" t="s">
        <v>40</v>
      </c>
      <c r="H6" s="19" t="s">
        <v>71</v>
      </c>
      <c r="I6" s="21">
        <v>13.6</v>
      </c>
      <c r="J6" s="19" t="s">
        <v>40</v>
      </c>
      <c r="K6" s="19" t="s">
        <v>70</v>
      </c>
      <c r="L6" s="19" t="s">
        <v>40</v>
      </c>
      <c r="M6" s="19" t="s">
        <v>40</v>
      </c>
    </row>
    <row r="7" spans="1:13">
      <c r="A7" s="19" t="s">
        <v>39</v>
      </c>
      <c r="B7" s="19" t="s">
        <v>94</v>
      </c>
      <c r="C7" s="20">
        <v>137715</v>
      </c>
      <c r="D7" s="21" t="s">
        <v>137</v>
      </c>
      <c r="E7" s="21" t="str">
        <f t="shared" si="0"/>
        <v xml:space="preserve">DÍAS RESTANTES PARA ACTUAR ANTES DE VENCER EL PLAZO DE RESPUESTA.  </v>
      </c>
      <c r="F7" s="21" t="s">
        <v>102</v>
      </c>
      <c r="G7" s="19" t="s">
        <v>40</v>
      </c>
      <c r="H7" s="19" t="s">
        <v>71</v>
      </c>
      <c r="I7" s="21">
        <v>-5</v>
      </c>
      <c r="J7" s="19" t="s">
        <v>40</v>
      </c>
      <c r="K7" s="19" t="s">
        <v>70</v>
      </c>
      <c r="L7" s="19" t="s">
        <v>40</v>
      </c>
      <c r="M7" s="19" t="s">
        <v>40</v>
      </c>
    </row>
    <row r="8" spans="1:13">
      <c r="A8" s="19" t="s">
        <v>39</v>
      </c>
      <c r="B8" s="19" t="s">
        <v>94</v>
      </c>
      <c r="C8" s="20">
        <v>137715</v>
      </c>
      <c r="D8" s="21" t="s">
        <v>138</v>
      </c>
      <c r="E8" s="21" t="str">
        <f t="shared" si="0"/>
        <v xml:space="preserve">MONTO DISPUTADO EXPRESADO EN MONEDA LOCAL CON CÓDIGO DE DIVISA.  </v>
      </c>
      <c r="F8" s="21" t="s">
        <v>103</v>
      </c>
      <c r="G8" s="19" t="s">
        <v>40</v>
      </c>
      <c r="H8" s="19" t="s">
        <v>71</v>
      </c>
      <c r="I8" s="21" t="s">
        <v>118</v>
      </c>
      <c r="J8" s="19" t="s">
        <v>40</v>
      </c>
      <c r="K8" s="19" t="s">
        <v>70</v>
      </c>
      <c r="L8" s="19" t="s">
        <v>40</v>
      </c>
      <c r="M8" s="19" t="s">
        <v>40</v>
      </c>
    </row>
    <row r="9" spans="1:13">
      <c r="A9" s="19" t="s">
        <v>39</v>
      </c>
      <c r="B9" s="19" t="s">
        <v>94</v>
      </c>
      <c r="C9" s="20">
        <v>137715</v>
      </c>
      <c r="D9" s="23" t="s">
        <v>152</v>
      </c>
      <c r="E9" s="21" t="str">
        <f t="shared" si="0"/>
        <v>PRIMEROS 9 DIGITOS DE LA TARJETA DEL CLIENTE</v>
      </c>
      <c r="F9" s="21" t="s">
        <v>155</v>
      </c>
      <c r="G9" s="19" t="s">
        <v>40</v>
      </c>
      <c r="H9" s="19" t="s">
        <v>71</v>
      </c>
      <c r="I9" s="21" t="s">
        <v>156</v>
      </c>
      <c r="J9" s="19" t="s">
        <v>40</v>
      </c>
      <c r="K9" s="19" t="s">
        <v>70</v>
      </c>
      <c r="L9" s="19" t="s">
        <v>40</v>
      </c>
      <c r="M9" s="19" t="s">
        <v>40</v>
      </c>
    </row>
    <row r="10" spans="1:13">
      <c r="A10" s="19" t="s">
        <v>39</v>
      </c>
      <c r="B10" s="19" t="s">
        <v>94</v>
      </c>
      <c r="C10" s="20">
        <v>137715</v>
      </c>
      <c r="D10" s="23" t="s">
        <v>153</v>
      </c>
      <c r="E10" s="21" t="str">
        <f t="shared" si="0"/>
        <v>NUMERO DE LA TARJETA, ENMASCARADA, DEL CLIENTE</v>
      </c>
      <c r="F10" s="21" t="s">
        <v>154</v>
      </c>
      <c r="G10" s="19" t="s">
        <v>40</v>
      </c>
      <c r="H10" s="19" t="s">
        <v>71</v>
      </c>
      <c r="I10" s="21">
        <v>454751204</v>
      </c>
      <c r="J10" s="19" t="s">
        <v>40</v>
      </c>
      <c r="K10" s="19" t="s">
        <v>70</v>
      </c>
      <c r="L10" s="19" t="s">
        <v>40</v>
      </c>
      <c r="M10" s="19" t="s">
        <v>40</v>
      </c>
    </row>
    <row r="11" spans="1:13">
      <c r="A11" s="19" t="s">
        <v>39</v>
      </c>
      <c r="B11" s="19" t="s">
        <v>94</v>
      </c>
      <c r="C11" s="20">
        <v>137715</v>
      </c>
      <c r="D11" s="23" t="s">
        <v>157</v>
      </c>
      <c r="E11" s="21" t="str">
        <f t="shared" si="0"/>
        <v>PRIMEROS 9 DIGITOS DE LA TARJETA VIRTUAL DEL CLIENTE</v>
      </c>
      <c r="F11" s="21" t="s">
        <v>159</v>
      </c>
      <c r="G11" s="19" t="s">
        <v>70</v>
      </c>
      <c r="H11" s="19" t="s">
        <v>71</v>
      </c>
      <c r="I11" s="21" t="s">
        <v>161</v>
      </c>
      <c r="J11" s="19" t="s">
        <v>40</v>
      </c>
      <c r="K11" s="19" t="s">
        <v>70</v>
      </c>
      <c r="L11" s="19" t="s">
        <v>40</v>
      </c>
      <c r="M11" s="19" t="s">
        <v>40</v>
      </c>
    </row>
    <row r="12" spans="1:13">
      <c r="A12" s="19" t="s">
        <v>39</v>
      </c>
      <c r="B12" s="19" t="s">
        <v>94</v>
      </c>
      <c r="C12" s="20">
        <v>137715</v>
      </c>
      <c r="D12" s="23" t="s">
        <v>158</v>
      </c>
      <c r="E12" s="21" t="str">
        <f t="shared" si="0"/>
        <v>NUMERO DE LA TARJETA VIRTUAL, ENMASCARADA, DEL CLIENTE</v>
      </c>
      <c r="F12" s="21" t="s">
        <v>160</v>
      </c>
      <c r="G12" s="19" t="s">
        <v>70</v>
      </c>
      <c r="H12" s="19" t="s">
        <v>71</v>
      </c>
      <c r="I12" s="21">
        <v>438650840</v>
      </c>
      <c r="J12" s="19" t="s">
        <v>40</v>
      </c>
      <c r="K12" s="19" t="s">
        <v>70</v>
      </c>
      <c r="L12" s="19" t="s">
        <v>40</v>
      </c>
      <c r="M12" s="19" t="s">
        <v>40</v>
      </c>
    </row>
    <row r="13" spans="1:13">
      <c r="A13" s="19" t="s">
        <v>39</v>
      </c>
      <c r="B13" s="19" t="s">
        <v>94</v>
      </c>
      <c r="C13" s="20">
        <v>137715</v>
      </c>
      <c r="D13" s="21" t="s">
        <v>139</v>
      </c>
      <c r="E13" s="21" t="str">
        <f t="shared" si="0"/>
        <v xml:space="preserve">ESTADO DEL CASO ASIGNADO POR LA ENTIDAD EMISORA.  </v>
      </c>
      <c r="F13" s="21" t="s">
        <v>104</v>
      </c>
      <c r="G13" s="19" t="s">
        <v>40</v>
      </c>
      <c r="H13" s="19" t="s">
        <v>71</v>
      </c>
      <c r="I13" s="21"/>
      <c r="J13" s="19" t="s">
        <v>40</v>
      </c>
      <c r="K13" s="19" t="s">
        <v>70</v>
      </c>
      <c r="L13" s="19" t="s">
        <v>40</v>
      </c>
      <c r="M13" s="19" t="s">
        <v>40</v>
      </c>
    </row>
    <row r="14" spans="1:13">
      <c r="A14" s="19" t="s">
        <v>39</v>
      </c>
      <c r="B14" s="19" t="s">
        <v>94</v>
      </c>
      <c r="C14" s="20">
        <v>137715</v>
      </c>
      <c r="D14" s="21" t="s">
        <v>140</v>
      </c>
      <c r="E14" s="21" t="str">
        <f t="shared" si="0"/>
        <v xml:space="preserve">NÚMERO ARN (ACQUIRER REFERENCE NUMBER) QUE IDENTIFICA LA TRANSACCIÓN.  </v>
      </c>
      <c r="F14" s="21" t="s">
        <v>105</v>
      </c>
      <c r="G14" s="19" t="s">
        <v>40</v>
      </c>
      <c r="H14" s="19" t="s">
        <v>71</v>
      </c>
      <c r="I14" s="21" t="s">
        <v>119</v>
      </c>
      <c r="J14" s="19" t="s">
        <v>40</v>
      </c>
      <c r="K14" s="19" t="s">
        <v>70</v>
      </c>
      <c r="L14" s="19" t="s">
        <v>40</v>
      </c>
      <c r="M14" s="19" t="s">
        <v>40</v>
      </c>
    </row>
    <row r="15" spans="1:13">
      <c r="A15" s="19" t="s">
        <v>39</v>
      </c>
      <c r="B15" s="19" t="s">
        <v>94</v>
      </c>
      <c r="C15" s="20">
        <v>137715</v>
      </c>
      <c r="D15" s="23" t="s">
        <v>124</v>
      </c>
      <c r="E15" s="21" t="str">
        <f t="shared" si="0"/>
        <v xml:space="preserve">USUARIO O AGENTE QUE ESTÁ GESTIONANDO EL CASO.  </v>
      </c>
      <c r="F15" s="21" t="s">
        <v>106</v>
      </c>
      <c r="G15" s="19" t="s">
        <v>70</v>
      </c>
      <c r="H15" s="19" t="s">
        <v>72</v>
      </c>
      <c r="I15" s="21" t="s">
        <v>120</v>
      </c>
      <c r="J15" s="19" t="s">
        <v>40</v>
      </c>
      <c r="K15" s="19" t="s">
        <v>70</v>
      </c>
      <c r="L15" s="19" t="s">
        <v>40</v>
      </c>
      <c r="M15" s="19" t="s">
        <v>40</v>
      </c>
    </row>
    <row r="16" spans="1:13">
      <c r="A16" s="19" t="s">
        <v>39</v>
      </c>
      <c r="B16" s="19" t="s">
        <v>94</v>
      </c>
      <c r="C16" s="20">
        <v>137715</v>
      </c>
      <c r="D16" s="21" t="s">
        <v>141</v>
      </c>
      <c r="E16" s="21" t="str">
        <f t="shared" si="0"/>
        <v xml:space="preserve">FECHA Y HORA DE LA ÚLTIMA ACCIÓN REGISTRADA EN EL CASO.  </v>
      </c>
      <c r="F16" s="21" t="s">
        <v>107</v>
      </c>
      <c r="G16" s="19" t="s">
        <v>40</v>
      </c>
      <c r="H16" s="19" t="s">
        <v>71</v>
      </c>
      <c r="I16" s="21">
        <v>45969.118668391202</v>
      </c>
      <c r="J16" s="19" t="s">
        <v>40</v>
      </c>
      <c r="K16" s="19" t="s">
        <v>70</v>
      </c>
      <c r="L16" s="19" t="s">
        <v>40</v>
      </c>
      <c r="M16" s="19" t="s">
        <v>40</v>
      </c>
    </row>
    <row r="17" spans="1:13">
      <c r="A17" s="19" t="s">
        <v>39</v>
      </c>
      <c r="B17" s="19" t="s">
        <v>94</v>
      </c>
      <c r="C17" s="20">
        <v>137715</v>
      </c>
      <c r="D17" s="21" t="s">
        <v>142</v>
      </c>
      <c r="E17" s="21" t="str">
        <f t="shared" si="0"/>
        <v xml:space="preserve">NOMBRE DEL BANCO ADQUIRENTE (BID) QUE PROCESÓ LA TRANSACCIÓN.  </v>
      </c>
      <c r="F17" s="21" t="s">
        <v>108</v>
      </c>
      <c r="G17" s="19" t="s">
        <v>40</v>
      </c>
      <c r="H17" s="19" t="s">
        <v>71</v>
      </c>
      <c r="I17" s="21" t="s">
        <v>121</v>
      </c>
      <c r="J17" s="19" t="s">
        <v>40</v>
      </c>
      <c r="K17" s="19" t="s">
        <v>70</v>
      </c>
      <c r="L17" s="19" t="s">
        <v>40</v>
      </c>
      <c r="M17" s="19" t="s">
        <v>40</v>
      </c>
    </row>
    <row r="18" spans="1:13">
      <c r="A18" s="19" t="s">
        <v>39</v>
      </c>
      <c r="B18" s="19" t="s">
        <v>94</v>
      </c>
      <c r="C18" s="20">
        <v>137715</v>
      </c>
      <c r="D18" s="21" t="s">
        <v>143</v>
      </c>
      <c r="E18" s="21" t="str">
        <f t="shared" si="0"/>
        <v xml:space="preserve">CLASIFICACIÓN DEL CASO SEGÚN INDICADORES DE FRAUDE.  </v>
      </c>
      <c r="F18" s="21" t="s">
        <v>109</v>
      </c>
      <c r="G18" s="19" t="s">
        <v>40</v>
      </c>
      <c r="H18" s="19" t="s">
        <v>71</v>
      </c>
      <c r="I18" s="21" t="s">
        <v>122</v>
      </c>
      <c r="J18" s="19" t="s">
        <v>40</v>
      </c>
      <c r="K18" s="19" t="s">
        <v>70</v>
      </c>
      <c r="L18" s="19" t="s">
        <v>40</v>
      </c>
      <c r="M18" s="19" t="s">
        <v>40</v>
      </c>
    </row>
    <row r="19" spans="1:13">
      <c r="A19" s="19" t="s">
        <v>39</v>
      </c>
      <c r="B19" s="19" t="s">
        <v>94</v>
      </c>
      <c r="C19" s="20">
        <v>137715</v>
      </c>
      <c r="D19" s="21" t="s">
        <v>144</v>
      </c>
      <c r="E19" s="21" t="str">
        <f t="shared" si="0"/>
        <v xml:space="preserve">CÓDIGO MCC QUE REPRESENTA EL GIRO O ACTIVIDAD DEL COMERCIO.  </v>
      </c>
      <c r="F19" s="21" t="s">
        <v>110</v>
      </c>
      <c r="G19" s="19" t="s">
        <v>40</v>
      </c>
      <c r="H19" s="19" t="s">
        <v>71</v>
      </c>
      <c r="I19" s="21">
        <v>5137</v>
      </c>
      <c r="J19" s="19" t="s">
        <v>40</v>
      </c>
      <c r="K19" s="19" t="s">
        <v>70</v>
      </c>
      <c r="L19" s="19" t="s">
        <v>40</v>
      </c>
      <c r="M19" s="19" t="s">
        <v>40</v>
      </c>
    </row>
    <row r="20" spans="1:13">
      <c r="A20" s="19" t="s">
        <v>39</v>
      </c>
      <c r="B20" s="19" t="s">
        <v>94</v>
      </c>
      <c r="C20" s="20">
        <v>137715</v>
      </c>
      <c r="D20" s="21" t="s">
        <v>145</v>
      </c>
      <c r="E20" s="21" t="str">
        <f t="shared" si="0"/>
        <v xml:space="preserve">INDICADOR SI LA TRANSACCIÓN FUE REALIZADA POR MOTO (MAIL ORDER/TELEPHONE ORDER).  </v>
      </c>
      <c r="F20" s="21" t="s">
        <v>111</v>
      </c>
      <c r="G20" s="19" t="s">
        <v>40</v>
      </c>
      <c r="H20" s="19" t="s">
        <v>71</v>
      </c>
      <c r="I20" s="21">
        <v>7</v>
      </c>
      <c r="J20" s="19" t="s">
        <v>40</v>
      </c>
      <c r="K20" s="19" t="s">
        <v>70</v>
      </c>
      <c r="L20" s="19" t="s">
        <v>40</v>
      </c>
      <c r="M20" s="19" t="s">
        <v>40</v>
      </c>
    </row>
    <row r="21" spans="1:13">
      <c r="A21" s="19" t="s">
        <v>39</v>
      </c>
      <c r="B21" s="19" t="s">
        <v>94</v>
      </c>
      <c r="C21" s="20">
        <v>137715</v>
      </c>
      <c r="D21" s="23" t="s">
        <v>146</v>
      </c>
      <c r="E21" s="21" t="str">
        <f t="shared" si="0"/>
        <v xml:space="preserve">NOMBRE DEL COMERCIO DONDE SE ORIGINÓ LA TRANSACCIÓN DISPUTADA.  </v>
      </c>
      <c r="F21" s="21" t="s">
        <v>112</v>
      </c>
      <c r="G21" s="19" t="s">
        <v>70</v>
      </c>
      <c r="H21" s="19" t="s">
        <v>71</v>
      </c>
      <c r="I21" s="21" t="s">
        <v>123</v>
      </c>
      <c r="J21" s="19" t="s">
        <v>40</v>
      </c>
      <c r="K21" s="19" t="s">
        <v>70</v>
      </c>
      <c r="L21" s="19" t="s">
        <v>40</v>
      </c>
      <c r="M21" s="19" t="s">
        <v>40</v>
      </c>
    </row>
    <row r="22" spans="1:13">
      <c r="A22" s="19" t="s">
        <v>39</v>
      </c>
      <c r="B22" s="19" t="s">
        <v>94</v>
      </c>
      <c r="C22" s="20">
        <v>137715</v>
      </c>
      <c r="D22" s="21" t="s">
        <v>147</v>
      </c>
      <c r="E22" s="21" t="str">
        <f t="shared" si="0"/>
        <v xml:space="preserve">IDENTIFICADOR DE RED EN LA QUE SE PROCESÓ LA TRANSACCIÓN.  </v>
      </c>
      <c r="F22" s="21" t="s">
        <v>113</v>
      </c>
      <c r="G22" s="19" t="s">
        <v>40</v>
      </c>
      <c r="H22" s="19" t="s">
        <v>71</v>
      </c>
      <c r="I22" s="21">
        <v>2</v>
      </c>
      <c r="J22" s="19" t="s">
        <v>40</v>
      </c>
      <c r="K22" s="19" t="s">
        <v>70</v>
      </c>
      <c r="L22" s="19" t="s">
        <v>40</v>
      </c>
      <c r="M22" s="19" t="s">
        <v>40</v>
      </c>
    </row>
    <row r="23" spans="1:13">
      <c r="A23" s="19" t="s">
        <v>39</v>
      </c>
      <c r="B23" s="19" t="s">
        <v>94</v>
      </c>
      <c r="C23" s="20">
        <v>137715</v>
      </c>
      <c r="D23" s="21" t="s">
        <v>148</v>
      </c>
      <c r="E23" s="21" t="str">
        <f t="shared" si="0"/>
        <v xml:space="preserve">CÓDIGO DE JURISDICCIÓN DE LA TRANSACCIÓN.  </v>
      </c>
      <c r="F23" s="21" t="s">
        <v>114</v>
      </c>
      <c r="G23" s="19" t="s">
        <v>40</v>
      </c>
      <c r="H23" s="19" t="s">
        <v>71</v>
      </c>
      <c r="I23" s="21">
        <v>5</v>
      </c>
      <c r="J23" s="19" t="s">
        <v>40</v>
      </c>
      <c r="K23" s="19" t="s">
        <v>70</v>
      </c>
      <c r="L23" s="19" t="s">
        <v>40</v>
      </c>
      <c r="M23" s="19" t="s">
        <v>40</v>
      </c>
    </row>
    <row r="24" spans="1:13">
      <c r="A24" s="19" t="s">
        <v>39</v>
      </c>
      <c r="B24" s="19" t="s">
        <v>94</v>
      </c>
      <c r="C24" s="20">
        <v>137715</v>
      </c>
      <c r="D24" s="21" t="s">
        <v>149</v>
      </c>
      <c r="E24" s="21" t="str">
        <f t="shared" si="0"/>
        <v xml:space="preserve">INDICADOR DE SI LA TRANSACCIÓN FUE INTERNACIONAL, LOCAL U OTRO.  </v>
      </c>
      <c r="F24" s="21" t="s">
        <v>115</v>
      </c>
      <c r="G24" s="19" t="s">
        <v>40</v>
      </c>
      <c r="H24" s="19" t="s">
        <v>71</v>
      </c>
      <c r="I24" s="21">
        <v>0</v>
      </c>
      <c r="J24" s="19" t="s">
        <v>40</v>
      </c>
      <c r="K24" s="19" t="s">
        <v>70</v>
      </c>
      <c r="L24" s="19" t="s">
        <v>40</v>
      </c>
      <c r="M24" s="19" t="s">
        <v>40</v>
      </c>
    </row>
    <row r="25" spans="1:13">
      <c r="A25" s="19" t="s">
        <v>39</v>
      </c>
      <c r="B25" s="19" t="s">
        <v>94</v>
      </c>
      <c r="C25" s="20">
        <v>137715</v>
      </c>
      <c r="D25" s="21" t="s">
        <v>150</v>
      </c>
      <c r="E25" s="21" t="str">
        <f t="shared" si="0"/>
        <v xml:space="preserve">FECHA DE EXPIRACIÓN DEL REGLAMENTO E/REG Z APLICABLE AL CASO.  </v>
      </c>
      <c r="F25" s="21" t="s">
        <v>116</v>
      </c>
      <c r="G25" s="19" t="s">
        <v>40</v>
      </c>
      <c r="H25" s="19" t="s">
        <v>71</v>
      </c>
      <c r="I25" s="21"/>
      <c r="J25" s="19" t="s">
        <v>40</v>
      </c>
      <c r="K25" s="19" t="s">
        <v>70</v>
      </c>
      <c r="L25" s="19" t="s">
        <v>40</v>
      </c>
      <c r="M25" s="19" t="s">
        <v>40</v>
      </c>
    </row>
    <row r="26" spans="1:13">
      <c r="A26" s="19" t="s">
        <v>39</v>
      </c>
      <c r="B26" s="19" t="s">
        <v>94</v>
      </c>
      <c r="C26" s="20">
        <v>137715</v>
      </c>
      <c r="D26" s="21" t="s">
        <v>67</v>
      </c>
      <c r="E26" s="21" t="str">
        <f t="shared" si="0"/>
        <v>FECHA DE FOTO/DATOS CONFIGURADA EN EL ETL PARA LA EXTRACCIÓN DE DATOS, CORRESPONDE A APERTURAS DE COMERCIOS HASTA EL CIERRE DEL DÍA ANTERIOR</v>
      </c>
      <c r="F26" s="21" t="s">
        <v>68</v>
      </c>
      <c r="G26" s="19" t="s">
        <v>40</v>
      </c>
      <c r="H26" s="19" t="s">
        <v>69</v>
      </c>
      <c r="I26" s="22">
        <v>45841</v>
      </c>
      <c r="J26" s="19" t="s">
        <v>40</v>
      </c>
      <c r="K26" s="19" t="s">
        <v>40</v>
      </c>
      <c r="L26" s="19" t="s">
        <v>70</v>
      </c>
      <c r="M26" s="19" t="s">
        <v>40</v>
      </c>
    </row>
    <row r="27" spans="1:13">
      <c r="A27" s="19" t="s">
        <v>39</v>
      </c>
      <c r="B27" s="19" t="s">
        <v>94</v>
      </c>
      <c r="C27" s="20">
        <v>137715</v>
      </c>
      <c r="D27" s="21" t="s">
        <v>73</v>
      </c>
      <c r="E27" s="21" t="str">
        <f t="shared" si="0"/>
        <v>DATO DE AUDITORÍA: DESCRIPCIÓN DEL APLICATIVO ORIGEN DE LOS DATOS.</v>
      </c>
      <c r="F27" s="21" t="s">
        <v>74</v>
      </c>
      <c r="G27" s="19" t="s">
        <v>40</v>
      </c>
      <c r="H27" s="19" t="s">
        <v>71</v>
      </c>
      <c r="I27" s="21" t="s">
        <v>75</v>
      </c>
      <c r="J27" s="19" t="s">
        <v>40</v>
      </c>
      <c r="K27" s="19" t="s">
        <v>40</v>
      </c>
      <c r="L27" s="19" t="s">
        <v>40</v>
      </c>
      <c r="M27" s="19" t="s">
        <v>40</v>
      </c>
    </row>
    <row r="28" spans="1:13">
      <c r="A28" s="19" t="s">
        <v>39</v>
      </c>
      <c r="B28" s="19" t="s">
        <v>94</v>
      </c>
      <c r="C28" s="20">
        <v>137715</v>
      </c>
      <c r="D28" s="21" t="s">
        <v>76</v>
      </c>
      <c r="E28" s="21" t="str">
        <f t="shared" si="0"/>
        <v>FECHA Y HORA DE INSERCIÓN DEL REGISTRO EN EL MODELO</v>
      </c>
      <c r="F28" s="21" t="s">
        <v>77</v>
      </c>
      <c r="G28" s="19" t="s">
        <v>40</v>
      </c>
      <c r="H28" s="19" t="s">
        <v>90</v>
      </c>
      <c r="I28" s="21" t="s">
        <v>78</v>
      </c>
      <c r="J28" s="19" t="s">
        <v>40</v>
      </c>
      <c r="K28" s="19" t="s">
        <v>40</v>
      </c>
      <c r="L28" s="19" t="s">
        <v>40</v>
      </c>
      <c r="M28" s="19" t="s">
        <v>40</v>
      </c>
    </row>
    <row r="29" spans="1:13">
      <c r="A29" s="19" t="s">
        <v>39</v>
      </c>
      <c r="B29" s="19" t="s">
        <v>94</v>
      </c>
      <c r="C29" s="20">
        <v>137715</v>
      </c>
      <c r="D29" s="21" t="s">
        <v>79</v>
      </c>
      <c r="E29" s="21" t="str">
        <f t="shared" si="0"/>
        <v>USUARIO QUE CREA EL REGISTRO EN LA BD</v>
      </c>
      <c r="F29" s="21" t="s">
        <v>80</v>
      </c>
      <c r="G29" s="19" t="s">
        <v>40</v>
      </c>
      <c r="H29" s="19" t="s">
        <v>71</v>
      </c>
      <c r="I29" s="21" t="s">
        <v>81</v>
      </c>
      <c r="J29" s="19" t="s">
        <v>40</v>
      </c>
      <c r="K29" s="19" t="s">
        <v>40</v>
      </c>
      <c r="L29" s="19" t="s">
        <v>40</v>
      </c>
      <c r="M29" s="19" t="s">
        <v>40</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7B8D-E0BC-4453-9BBA-809248D63686}">
  <sheetPr codeName="Hoja6"/>
  <dimension ref="A1:M29"/>
  <sheetViews>
    <sheetView showGridLines="0" tabSelected="1" workbookViewId="0">
      <selection activeCell="C11" sqref="C11"/>
    </sheetView>
  </sheetViews>
  <sheetFormatPr baseColWidth="10" defaultColWidth="11.453125" defaultRowHeight="14.5"/>
  <cols>
    <col min="1" max="4" width="29" customWidth="1"/>
    <col min="5" max="6" width="48.26953125" customWidth="1"/>
    <col min="7" max="8" width="29" customWidth="1"/>
    <col min="9" max="9" width="40.54296875" customWidth="1"/>
    <col min="10" max="13" width="29" customWidth="1"/>
  </cols>
  <sheetData>
    <row r="1" spans="1:13" ht="31">
      <c r="A1" s="16" t="s">
        <v>5</v>
      </c>
      <c r="B1" s="17" t="s">
        <v>6</v>
      </c>
      <c r="C1" s="17" t="s">
        <v>7</v>
      </c>
      <c r="D1" s="17" t="s">
        <v>47</v>
      </c>
      <c r="E1" s="17" t="s">
        <v>48</v>
      </c>
      <c r="F1" s="17" t="s">
        <v>49</v>
      </c>
      <c r="G1" s="17" t="s">
        <v>50</v>
      </c>
      <c r="H1" s="17" t="s">
        <v>51</v>
      </c>
      <c r="I1" s="17" t="s">
        <v>52</v>
      </c>
      <c r="J1" s="17" t="s">
        <v>53</v>
      </c>
      <c r="K1" s="17" t="s">
        <v>54</v>
      </c>
      <c r="L1" s="17" t="s">
        <v>55</v>
      </c>
      <c r="M1" s="17" t="s">
        <v>56</v>
      </c>
    </row>
    <row r="2" spans="1:13" ht="46.5">
      <c r="A2" s="18" t="s">
        <v>25</v>
      </c>
      <c r="B2" s="18" t="s">
        <v>26</v>
      </c>
      <c r="C2" s="18" t="s">
        <v>57</v>
      </c>
      <c r="D2" s="18" t="s">
        <v>58</v>
      </c>
      <c r="E2" s="18" t="s">
        <v>59</v>
      </c>
      <c r="F2" s="18" t="s">
        <v>60</v>
      </c>
      <c r="G2" s="18" t="s">
        <v>61</v>
      </c>
      <c r="H2" s="18" t="s">
        <v>62</v>
      </c>
      <c r="I2" s="18" t="s">
        <v>63</v>
      </c>
      <c r="J2" s="18" t="s">
        <v>64</v>
      </c>
      <c r="K2" s="18" t="s">
        <v>65</v>
      </c>
      <c r="L2" s="18" t="s">
        <v>66</v>
      </c>
      <c r="M2" s="18" t="s">
        <v>65</v>
      </c>
    </row>
    <row r="3" spans="1:13">
      <c r="A3" s="19" t="s">
        <v>39</v>
      </c>
      <c r="B3" s="19" t="s">
        <v>94</v>
      </c>
      <c r="C3" s="20">
        <v>137776</v>
      </c>
      <c r="D3" s="21" t="s">
        <v>133</v>
      </c>
      <c r="E3" s="21" t="str">
        <f>UPPER(F3)</f>
        <v xml:space="preserve">NÚMERO DE CASO ASIGNADO POR VISA PARA EL SEGUIMIENTO DEL CONTRACARGO.  </v>
      </c>
      <c r="F3" s="21" t="s">
        <v>98</v>
      </c>
      <c r="G3" s="19" t="s">
        <v>40</v>
      </c>
      <c r="H3" s="19" t="s">
        <v>71</v>
      </c>
      <c r="I3" s="21">
        <v>5479572976</v>
      </c>
      <c r="J3" s="19" t="s">
        <v>40</v>
      </c>
      <c r="K3" s="19" t="s">
        <v>70</v>
      </c>
      <c r="L3" s="19" t="s">
        <v>40</v>
      </c>
      <c r="M3" s="19" t="s">
        <v>40</v>
      </c>
    </row>
    <row r="4" spans="1:13">
      <c r="A4" s="19" t="s">
        <v>39</v>
      </c>
      <c r="B4" s="19" t="s">
        <v>94</v>
      </c>
      <c r="C4" s="20">
        <v>137776</v>
      </c>
      <c r="D4" s="21" t="s">
        <v>134</v>
      </c>
      <c r="E4" s="21" t="str">
        <f t="shared" ref="E4:E29" si="0">UPPER(F4)</f>
        <v xml:space="preserve">FECHA DE SEGUIMIENTO O CONTROL INTERNO DEL CASO.  </v>
      </c>
      <c r="F4" s="21" t="s">
        <v>99</v>
      </c>
      <c r="G4" s="19" t="s">
        <v>40</v>
      </c>
      <c r="H4" s="19" t="s">
        <v>71</v>
      </c>
      <c r="I4" s="21"/>
      <c r="J4" s="19" t="s">
        <v>40</v>
      </c>
      <c r="K4" s="19" t="s">
        <v>70</v>
      </c>
      <c r="L4" s="19" t="s">
        <v>40</v>
      </c>
      <c r="M4" s="19" t="s">
        <v>40</v>
      </c>
    </row>
    <row r="5" spans="1:13">
      <c r="A5" s="19" t="s">
        <v>39</v>
      </c>
      <c r="B5" s="19" t="s">
        <v>94</v>
      </c>
      <c r="C5" s="20">
        <v>137776</v>
      </c>
      <c r="D5" s="21" t="s">
        <v>135</v>
      </c>
      <c r="E5" s="21" t="str">
        <f t="shared" si="0"/>
        <v xml:space="preserve">ESTADO ACTUAL DEL CASO DE DISPUTA (E.G., RECIBIDO, EN REVISIÓN).  </v>
      </c>
      <c r="F5" s="21" t="s">
        <v>100</v>
      </c>
      <c r="G5" s="19" t="s">
        <v>40</v>
      </c>
      <c r="H5" s="19" t="s">
        <v>71</v>
      </c>
      <c r="I5" s="21" t="s">
        <v>117</v>
      </c>
      <c r="J5" s="19" t="s">
        <v>40</v>
      </c>
      <c r="K5" s="19" t="s">
        <v>70</v>
      </c>
      <c r="L5" s="19" t="s">
        <v>40</v>
      </c>
      <c r="M5" s="19" t="s">
        <v>40</v>
      </c>
    </row>
    <row r="6" spans="1:13">
      <c r="A6" s="19" t="s">
        <v>39</v>
      </c>
      <c r="B6" s="19" t="s">
        <v>94</v>
      </c>
      <c r="C6" s="20">
        <v>137776</v>
      </c>
      <c r="D6" s="21" t="s">
        <v>136</v>
      </c>
      <c r="E6" s="21" t="str">
        <f t="shared" si="0"/>
        <v>CÓDIGO QUE REPRESENTA LA CONDICIÓN DE DISPUTA</v>
      </c>
      <c r="F6" s="21" t="s">
        <v>101</v>
      </c>
      <c r="G6" s="19" t="s">
        <v>40</v>
      </c>
      <c r="H6" s="19" t="s">
        <v>71</v>
      </c>
      <c r="I6" s="21">
        <v>13.6</v>
      </c>
      <c r="J6" s="19" t="s">
        <v>40</v>
      </c>
      <c r="K6" s="19" t="s">
        <v>70</v>
      </c>
      <c r="L6" s="19" t="s">
        <v>40</v>
      </c>
      <c r="M6" s="19" t="s">
        <v>40</v>
      </c>
    </row>
    <row r="7" spans="1:13">
      <c r="A7" s="19" t="s">
        <v>39</v>
      </c>
      <c r="B7" s="19" t="s">
        <v>94</v>
      </c>
      <c r="C7" s="20">
        <v>137776</v>
      </c>
      <c r="D7" s="21" t="s">
        <v>137</v>
      </c>
      <c r="E7" s="21" t="str">
        <f t="shared" si="0"/>
        <v xml:space="preserve">DÍAS RESTANTES PARA ACTUAR ANTES DE VENCER EL PLAZO DE RESPUESTA.  </v>
      </c>
      <c r="F7" s="21" t="s">
        <v>102</v>
      </c>
      <c r="G7" s="19" t="s">
        <v>40</v>
      </c>
      <c r="H7" s="19" t="s">
        <v>71</v>
      </c>
      <c r="I7" s="21">
        <v>-5</v>
      </c>
      <c r="J7" s="19" t="s">
        <v>40</v>
      </c>
      <c r="K7" s="19" t="s">
        <v>70</v>
      </c>
      <c r="L7" s="19" t="s">
        <v>40</v>
      </c>
      <c r="M7" s="19" t="s">
        <v>40</v>
      </c>
    </row>
    <row r="8" spans="1:13">
      <c r="A8" s="19" t="s">
        <v>39</v>
      </c>
      <c r="B8" s="19" t="s">
        <v>94</v>
      </c>
      <c r="C8" s="20">
        <v>137776</v>
      </c>
      <c r="D8" s="21" t="s">
        <v>138</v>
      </c>
      <c r="E8" s="21" t="str">
        <f t="shared" si="0"/>
        <v xml:space="preserve">MONTO DISPUTADO EXPRESADO EN MONEDA ORIGINAL CON CÓDIGO DE DIVISA.  </v>
      </c>
      <c r="F8" s="21" t="s">
        <v>151</v>
      </c>
      <c r="G8" s="19" t="s">
        <v>40</v>
      </c>
      <c r="H8" s="19" t="s">
        <v>71</v>
      </c>
      <c r="I8" s="21" t="s">
        <v>118</v>
      </c>
      <c r="J8" s="19" t="s">
        <v>40</v>
      </c>
      <c r="K8" s="19" t="s">
        <v>70</v>
      </c>
      <c r="L8" s="19" t="s">
        <v>40</v>
      </c>
      <c r="M8" s="19" t="s">
        <v>40</v>
      </c>
    </row>
    <row r="9" spans="1:13">
      <c r="A9" s="19" t="s">
        <v>39</v>
      </c>
      <c r="B9" s="19" t="s">
        <v>94</v>
      </c>
      <c r="C9" s="20">
        <v>137776</v>
      </c>
      <c r="D9" s="23" t="s">
        <v>152</v>
      </c>
      <c r="E9" s="21" t="str">
        <f t="shared" si="0"/>
        <v>PRIMEROS 9 DIGITOS DE LA TARJETA DEL CLIENTE</v>
      </c>
      <c r="F9" s="21" t="s">
        <v>155</v>
      </c>
      <c r="G9" s="19" t="s">
        <v>40</v>
      </c>
      <c r="H9" s="19" t="s">
        <v>71</v>
      </c>
      <c r="I9" s="21" t="s">
        <v>156</v>
      </c>
      <c r="J9" s="19" t="s">
        <v>40</v>
      </c>
      <c r="K9" s="19" t="s">
        <v>70</v>
      </c>
      <c r="L9" s="19" t="s">
        <v>40</v>
      </c>
      <c r="M9" s="19" t="s">
        <v>40</v>
      </c>
    </row>
    <row r="10" spans="1:13">
      <c r="A10" s="19" t="s">
        <v>39</v>
      </c>
      <c r="B10" s="19" t="s">
        <v>94</v>
      </c>
      <c r="C10" s="20">
        <v>137776</v>
      </c>
      <c r="D10" s="23" t="s">
        <v>153</v>
      </c>
      <c r="E10" s="21" t="str">
        <f t="shared" si="0"/>
        <v>NUMERO DE LA TARJETA, ENMASCARADA, DEL CLIENTE</v>
      </c>
      <c r="F10" s="21" t="s">
        <v>154</v>
      </c>
      <c r="G10" s="19" t="s">
        <v>40</v>
      </c>
      <c r="H10" s="19" t="s">
        <v>71</v>
      </c>
      <c r="I10" s="21">
        <v>454751204</v>
      </c>
      <c r="J10" s="19" t="s">
        <v>40</v>
      </c>
      <c r="K10" s="19" t="s">
        <v>70</v>
      </c>
      <c r="L10" s="19" t="s">
        <v>40</v>
      </c>
      <c r="M10" s="19" t="s">
        <v>40</v>
      </c>
    </row>
    <row r="11" spans="1:13">
      <c r="A11" s="19" t="s">
        <v>39</v>
      </c>
      <c r="B11" s="19" t="s">
        <v>94</v>
      </c>
      <c r="C11" s="20">
        <v>137716</v>
      </c>
      <c r="D11" s="23" t="s">
        <v>157</v>
      </c>
      <c r="E11" s="21" t="str">
        <f t="shared" si="0"/>
        <v>PRIMEROS 9 DIGITOS DE LA TARJETA VIRTUAL DEL CLIENTE</v>
      </c>
      <c r="F11" s="21" t="s">
        <v>159</v>
      </c>
      <c r="G11" s="19" t="s">
        <v>70</v>
      </c>
      <c r="H11" s="19" t="s">
        <v>71</v>
      </c>
      <c r="I11" s="21" t="s">
        <v>161</v>
      </c>
      <c r="J11" s="19" t="s">
        <v>40</v>
      </c>
      <c r="K11" s="19" t="s">
        <v>70</v>
      </c>
      <c r="L11" s="19" t="s">
        <v>40</v>
      </c>
      <c r="M11" s="19" t="s">
        <v>40</v>
      </c>
    </row>
    <row r="12" spans="1:13">
      <c r="A12" s="19" t="s">
        <v>39</v>
      </c>
      <c r="B12" s="19" t="s">
        <v>94</v>
      </c>
      <c r="C12" s="20">
        <v>137716</v>
      </c>
      <c r="D12" s="23" t="s">
        <v>158</v>
      </c>
      <c r="E12" s="21" t="str">
        <f t="shared" si="0"/>
        <v>NUMERO DE LA TARJETA VIRTUAL, ENMASCARADA, DEL CLIENTE</v>
      </c>
      <c r="F12" s="21" t="s">
        <v>160</v>
      </c>
      <c r="G12" s="19" t="s">
        <v>70</v>
      </c>
      <c r="H12" s="19" t="s">
        <v>71</v>
      </c>
      <c r="I12" s="21">
        <v>438650840</v>
      </c>
      <c r="J12" s="19" t="s">
        <v>40</v>
      </c>
      <c r="K12" s="19" t="s">
        <v>70</v>
      </c>
      <c r="L12" s="19" t="s">
        <v>40</v>
      </c>
      <c r="M12" s="19" t="s">
        <v>40</v>
      </c>
    </row>
    <row r="13" spans="1:13">
      <c r="A13" s="19" t="s">
        <v>39</v>
      </c>
      <c r="B13" s="19" t="s">
        <v>94</v>
      </c>
      <c r="C13" s="20">
        <v>137776</v>
      </c>
      <c r="D13" s="21" t="s">
        <v>139</v>
      </c>
      <c r="E13" s="21" t="str">
        <f t="shared" si="0"/>
        <v xml:space="preserve">ESTADO DEL CASO ASIGNADO POR LA ENTIDAD EMISORA.  </v>
      </c>
      <c r="F13" s="21" t="s">
        <v>104</v>
      </c>
      <c r="G13" s="19" t="s">
        <v>40</v>
      </c>
      <c r="H13" s="19" t="s">
        <v>71</v>
      </c>
      <c r="I13" s="21"/>
      <c r="J13" s="19" t="s">
        <v>40</v>
      </c>
      <c r="K13" s="19" t="s">
        <v>70</v>
      </c>
      <c r="L13" s="19" t="s">
        <v>40</v>
      </c>
      <c r="M13" s="19" t="s">
        <v>40</v>
      </c>
    </row>
    <row r="14" spans="1:13">
      <c r="A14" s="19" t="s">
        <v>39</v>
      </c>
      <c r="B14" s="19" t="s">
        <v>94</v>
      </c>
      <c r="C14" s="20">
        <v>137776</v>
      </c>
      <c r="D14" s="21" t="s">
        <v>140</v>
      </c>
      <c r="E14" s="21" t="str">
        <f t="shared" si="0"/>
        <v xml:space="preserve">NÚMERO ARN (ACQUIRER REFERENCE NUMBER) QUE IDENTIFICA LA TRANSACCIÓN.  </v>
      </c>
      <c r="F14" s="21" t="s">
        <v>105</v>
      </c>
      <c r="G14" s="19" t="s">
        <v>40</v>
      </c>
      <c r="H14" s="19" t="s">
        <v>71</v>
      </c>
      <c r="I14" s="21" t="s">
        <v>119</v>
      </c>
      <c r="J14" s="19" t="s">
        <v>40</v>
      </c>
      <c r="K14" s="19" t="s">
        <v>70</v>
      </c>
      <c r="L14" s="19" t="s">
        <v>40</v>
      </c>
      <c r="M14" s="19" t="s">
        <v>40</v>
      </c>
    </row>
    <row r="15" spans="1:13">
      <c r="A15" s="19" t="s">
        <v>39</v>
      </c>
      <c r="B15" s="19" t="s">
        <v>94</v>
      </c>
      <c r="C15" s="20">
        <v>137776</v>
      </c>
      <c r="D15" s="23" t="s">
        <v>124</v>
      </c>
      <c r="E15" s="21" t="str">
        <f t="shared" si="0"/>
        <v xml:space="preserve">USUARIO O AGENTE QUE ESTÁ GESTIONANDO EL CASO.  </v>
      </c>
      <c r="F15" s="21" t="s">
        <v>106</v>
      </c>
      <c r="G15" s="19" t="s">
        <v>70</v>
      </c>
      <c r="H15" s="19" t="s">
        <v>72</v>
      </c>
      <c r="I15" s="21" t="s">
        <v>120</v>
      </c>
      <c r="J15" s="19" t="s">
        <v>40</v>
      </c>
      <c r="K15" s="19" t="s">
        <v>70</v>
      </c>
      <c r="L15" s="19" t="s">
        <v>40</v>
      </c>
      <c r="M15" s="19" t="s">
        <v>40</v>
      </c>
    </row>
    <row r="16" spans="1:13">
      <c r="A16" s="19" t="s">
        <v>39</v>
      </c>
      <c r="B16" s="19" t="s">
        <v>94</v>
      </c>
      <c r="C16" s="20">
        <v>137776</v>
      </c>
      <c r="D16" s="21" t="s">
        <v>141</v>
      </c>
      <c r="E16" s="21" t="str">
        <f t="shared" si="0"/>
        <v xml:space="preserve">FECHA Y HORA DE LA ÚLTIMA ACCIÓN REGISTRADA EN EL CASO.  </v>
      </c>
      <c r="F16" s="21" t="s">
        <v>107</v>
      </c>
      <c r="G16" s="19" t="s">
        <v>40</v>
      </c>
      <c r="H16" s="19" t="s">
        <v>71</v>
      </c>
      <c r="I16" s="21">
        <v>45969.118668391202</v>
      </c>
      <c r="J16" s="19" t="s">
        <v>40</v>
      </c>
      <c r="K16" s="19" t="s">
        <v>70</v>
      </c>
      <c r="L16" s="19" t="s">
        <v>40</v>
      </c>
      <c r="M16" s="19" t="s">
        <v>40</v>
      </c>
    </row>
    <row r="17" spans="1:13">
      <c r="A17" s="19" t="s">
        <v>39</v>
      </c>
      <c r="B17" s="19" t="s">
        <v>94</v>
      </c>
      <c r="C17" s="20">
        <v>137776</v>
      </c>
      <c r="D17" s="21" t="s">
        <v>142</v>
      </c>
      <c r="E17" s="21" t="str">
        <f t="shared" si="0"/>
        <v xml:space="preserve">NOMBRE DEL BANCO ADQUIRENTE (BID) QUE PROCESÓ LA TRANSACCIÓN.  </v>
      </c>
      <c r="F17" s="21" t="s">
        <v>108</v>
      </c>
      <c r="G17" s="19" t="s">
        <v>40</v>
      </c>
      <c r="H17" s="19" t="s">
        <v>71</v>
      </c>
      <c r="I17" s="21" t="s">
        <v>121</v>
      </c>
      <c r="J17" s="19" t="s">
        <v>40</v>
      </c>
      <c r="K17" s="19" t="s">
        <v>70</v>
      </c>
      <c r="L17" s="19" t="s">
        <v>40</v>
      </c>
      <c r="M17" s="19" t="s">
        <v>40</v>
      </c>
    </row>
    <row r="18" spans="1:13">
      <c r="A18" s="19" t="s">
        <v>39</v>
      </c>
      <c r="B18" s="19" t="s">
        <v>94</v>
      </c>
      <c r="C18" s="20">
        <v>137776</v>
      </c>
      <c r="D18" s="21" t="s">
        <v>143</v>
      </c>
      <c r="E18" s="21" t="str">
        <f t="shared" si="0"/>
        <v xml:space="preserve">CLASIFICACIÓN DEL CASO SEGÚN INDICADORES DE FRAUDE.  </v>
      </c>
      <c r="F18" s="21" t="s">
        <v>109</v>
      </c>
      <c r="G18" s="19" t="s">
        <v>40</v>
      </c>
      <c r="H18" s="19" t="s">
        <v>71</v>
      </c>
      <c r="I18" s="21" t="s">
        <v>122</v>
      </c>
      <c r="J18" s="19" t="s">
        <v>40</v>
      </c>
      <c r="K18" s="19" t="s">
        <v>70</v>
      </c>
      <c r="L18" s="19" t="s">
        <v>40</v>
      </c>
      <c r="M18" s="19" t="s">
        <v>40</v>
      </c>
    </row>
    <row r="19" spans="1:13">
      <c r="A19" s="19" t="s">
        <v>39</v>
      </c>
      <c r="B19" s="19" t="s">
        <v>94</v>
      </c>
      <c r="C19" s="20">
        <v>137776</v>
      </c>
      <c r="D19" s="21" t="s">
        <v>144</v>
      </c>
      <c r="E19" s="21" t="str">
        <f t="shared" si="0"/>
        <v xml:space="preserve">CÓDIGO MCC QUE REPRESENTA EL GIRO O ACTIVIDAD DEL COMERCIO.  </v>
      </c>
      <c r="F19" s="21" t="s">
        <v>110</v>
      </c>
      <c r="G19" s="19" t="s">
        <v>40</v>
      </c>
      <c r="H19" s="19" t="s">
        <v>71</v>
      </c>
      <c r="I19" s="21">
        <v>5137</v>
      </c>
      <c r="J19" s="19" t="s">
        <v>40</v>
      </c>
      <c r="K19" s="19" t="s">
        <v>70</v>
      </c>
      <c r="L19" s="19" t="s">
        <v>40</v>
      </c>
      <c r="M19" s="19" t="s">
        <v>40</v>
      </c>
    </row>
    <row r="20" spans="1:13">
      <c r="A20" s="19" t="s">
        <v>39</v>
      </c>
      <c r="B20" s="19" t="s">
        <v>94</v>
      </c>
      <c r="C20" s="20">
        <v>137776</v>
      </c>
      <c r="D20" s="21" t="s">
        <v>145</v>
      </c>
      <c r="E20" s="21" t="str">
        <f t="shared" si="0"/>
        <v xml:space="preserve">INDICADOR SI LA TRANSACCIÓN FUE REALIZADA POR MOTO (MAIL ORDER/TELEPHONE ORDER).  </v>
      </c>
      <c r="F20" s="21" t="s">
        <v>111</v>
      </c>
      <c r="G20" s="19" t="s">
        <v>40</v>
      </c>
      <c r="H20" s="19" t="s">
        <v>71</v>
      </c>
      <c r="I20" s="21">
        <v>7</v>
      </c>
      <c r="J20" s="19" t="s">
        <v>40</v>
      </c>
      <c r="K20" s="19" t="s">
        <v>70</v>
      </c>
      <c r="L20" s="19" t="s">
        <v>40</v>
      </c>
      <c r="M20" s="19" t="s">
        <v>40</v>
      </c>
    </row>
    <row r="21" spans="1:13">
      <c r="A21" s="19" t="s">
        <v>39</v>
      </c>
      <c r="B21" s="19" t="s">
        <v>94</v>
      </c>
      <c r="C21" s="20">
        <v>137776</v>
      </c>
      <c r="D21" s="23" t="s">
        <v>146</v>
      </c>
      <c r="E21" s="21" t="str">
        <f t="shared" si="0"/>
        <v xml:space="preserve">NOMBRE DEL COMERCIO DONDE SE ORIGINÓ LA TRANSACCIÓN DISPUTADA.  </v>
      </c>
      <c r="F21" s="21" t="s">
        <v>112</v>
      </c>
      <c r="G21" s="19" t="s">
        <v>70</v>
      </c>
      <c r="H21" s="19" t="s">
        <v>71</v>
      </c>
      <c r="I21" s="21" t="s">
        <v>123</v>
      </c>
      <c r="J21" s="19" t="s">
        <v>40</v>
      </c>
      <c r="K21" s="19" t="s">
        <v>70</v>
      </c>
      <c r="L21" s="19" t="s">
        <v>40</v>
      </c>
      <c r="M21" s="19" t="s">
        <v>40</v>
      </c>
    </row>
    <row r="22" spans="1:13">
      <c r="A22" s="19" t="s">
        <v>39</v>
      </c>
      <c r="B22" s="19" t="s">
        <v>94</v>
      </c>
      <c r="C22" s="20">
        <v>137776</v>
      </c>
      <c r="D22" s="21" t="s">
        <v>147</v>
      </c>
      <c r="E22" s="21" t="str">
        <f t="shared" si="0"/>
        <v xml:space="preserve">IDENTIFICADOR DE RED EN LA QUE SE PROCESÓ LA TRANSACCIÓN.  </v>
      </c>
      <c r="F22" s="21" t="s">
        <v>113</v>
      </c>
      <c r="G22" s="19" t="s">
        <v>40</v>
      </c>
      <c r="H22" s="19" t="s">
        <v>71</v>
      </c>
      <c r="I22" s="21">
        <v>2</v>
      </c>
      <c r="J22" s="19" t="s">
        <v>40</v>
      </c>
      <c r="K22" s="19" t="s">
        <v>70</v>
      </c>
      <c r="L22" s="19" t="s">
        <v>40</v>
      </c>
      <c r="M22" s="19" t="s">
        <v>40</v>
      </c>
    </row>
    <row r="23" spans="1:13">
      <c r="A23" s="19" t="s">
        <v>39</v>
      </c>
      <c r="B23" s="19" t="s">
        <v>94</v>
      </c>
      <c r="C23" s="20">
        <v>137776</v>
      </c>
      <c r="D23" s="21" t="s">
        <v>148</v>
      </c>
      <c r="E23" s="21" t="str">
        <f t="shared" si="0"/>
        <v xml:space="preserve">CÓDIGO DE JURISDICCIÓN DE LA TRANSACCIÓN.  </v>
      </c>
      <c r="F23" s="21" t="s">
        <v>114</v>
      </c>
      <c r="G23" s="19" t="s">
        <v>40</v>
      </c>
      <c r="H23" s="19" t="s">
        <v>71</v>
      </c>
      <c r="I23" s="21">
        <v>5</v>
      </c>
      <c r="J23" s="19" t="s">
        <v>40</v>
      </c>
      <c r="K23" s="19" t="s">
        <v>70</v>
      </c>
      <c r="L23" s="19" t="s">
        <v>40</v>
      </c>
      <c r="M23" s="19" t="s">
        <v>40</v>
      </c>
    </row>
    <row r="24" spans="1:13">
      <c r="A24" s="19" t="s">
        <v>39</v>
      </c>
      <c r="B24" s="19" t="s">
        <v>94</v>
      </c>
      <c r="C24" s="20">
        <v>137776</v>
      </c>
      <c r="D24" s="21" t="s">
        <v>149</v>
      </c>
      <c r="E24" s="21" t="str">
        <f t="shared" si="0"/>
        <v xml:space="preserve">INDICADOR DE SI LA TRANSACCIÓN FUE INTERNACIONAL, LOCAL U OTRO.  </v>
      </c>
      <c r="F24" s="21" t="s">
        <v>115</v>
      </c>
      <c r="G24" s="19" t="s">
        <v>40</v>
      </c>
      <c r="H24" s="19" t="s">
        <v>71</v>
      </c>
      <c r="I24" s="21">
        <v>0</v>
      </c>
      <c r="J24" s="19" t="s">
        <v>40</v>
      </c>
      <c r="K24" s="19" t="s">
        <v>70</v>
      </c>
      <c r="L24" s="19" t="s">
        <v>40</v>
      </c>
      <c r="M24" s="19" t="s">
        <v>40</v>
      </c>
    </row>
    <row r="25" spans="1:13">
      <c r="A25" s="19" t="s">
        <v>39</v>
      </c>
      <c r="B25" s="19" t="s">
        <v>94</v>
      </c>
      <c r="C25" s="20">
        <v>137776</v>
      </c>
      <c r="D25" s="21" t="s">
        <v>150</v>
      </c>
      <c r="E25" s="21" t="str">
        <f t="shared" si="0"/>
        <v xml:space="preserve">FECHA DE EXPIRACIÓN DEL REGLAMENTO E/REG Z APLICABLE AL CASO.  </v>
      </c>
      <c r="F25" s="21" t="s">
        <v>116</v>
      </c>
      <c r="G25" s="19" t="s">
        <v>40</v>
      </c>
      <c r="H25" s="19" t="s">
        <v>71</v>
      </c>
      <c r="I25" s="21"/>
      <c r="J25" s="19" t="s">
        <v>40</v>
      </c>
      <c r="K25" s="19" t="s">
        <v>70</v>
      </c>
      <c r="L25" s="19" t="s">
        <v>40</v>
      </c>
      <c r="M25" s="19" t="s">
        <v>40</v>
      </c>
    </row>
    <row r="26" spans="1:13">
      <c r="A26" s="19" t="s">
        <v>39</v>
      </c>
      <c r="B26" s="19" t="s">
        <v>94</v>
      </c>
      <c r="C26" s="20">
        <v>137776</v>
      </c>
      <c r="D26" s="21" t="s">
        <v>67</v>
      </c>
      <c r="E26" s="21" t="str">
        <f t="shared" si="0"/>
        <v>FECHA DE FOTO/DATOS CONFIGURADA EN EL ETL PARA LA EXTRACCIÓN DE DATOS, CORRESPONDE A APERTURAS DE COMERCIOS HASTA EL CIERRE DEL DÍA ANTERIOR</v>
      </c>
      <c r="F26" s="21" t="s">
        <v>68</v>
      </c>
      <c r="G26" s="19" t="s">
        <v>40</v>
      </c>
      <c r="H26" s="19" t="s">
        <v>69</v>
      </c>
      <c r="I26" s="22">
        <v>45841</v>
      </c>
      <c r="J26" s="19" t="s">
        <v>40</v>
      </c>
      <c r="K26" s="19" t="s">
        <v>40</v>
      </c>
      <c r="L26" s="19" t="s">
        <v>70</v>
      </c>
      <c r="M26" s="19" t="s">
        <v>40</v>
      </c>
    </row>
    <row r="27" spans="1:13">
      <c r="A27" s="19" t="s">
        <v>39</v>
      </c>
      <c r="B27" s="19" t="s">
        <v>94</v>
      </c>
      <c r="C27" s="20">
        <v>137776</v>
      </c>
      <c r="D27" s="21" t="s">
        <v>73</v>
      </c>
      <c r="E27" s="21" t="str">
        <f t="shared" si="0"/>
        <v>DATO DE AUDITORÍA: DESCRIPCIÓN DEL APLICATIVO ORIGEN DE LOS DATOS.</v>
      </c>
      <c r="F27" s="21" t="s">
        <v>74</v>
      </c>
      <c r="G27" s="19" t="s">
        <v>40</v>
      </c>
      <c r="H27" s="19" t="s">
        <v>71</v>
      </c>
      <c r="I27" s="21" t="s">
        <v>75</v>
      </c>
      <c r="J27" s="19" t="s">
        <v>40</v>
      </c>
      <c r="K27" s="19" t="s">
        <v>40</v>
      </c>
      <c r="L27" s="19" t="s">
        <v>40</v>
      </c>
      <c r="M27" s="19" t="s">
        <v>40</v>
      </c>
    </row>
    <row r="28" spans="1:13">
      <c r="A28" s="19" t="s">
        <v>39</v>
      </c>
      <c r="B28" s="19" t="s">
        <v>94</v>
      </c>
      <c r="C28" s="20">
        <v>137776</v>
      </c>
      <c r="D28" s="21" t="s">
        <v>76</v>
      </c>
      <c r="E28" s="21" t="str">
        <f t="shared" si="0"/>
        <v>FECHA Y HORA DE INSERCIÓN DEL REGISTRO EN EL MODELO</v>
      </c>
      <c r="F28" s="21" t="s">
        <v>77</v>
      </c>
      <c r="G28" s="19" t="s">
        <v>40</v>
      </c>
      <c r="H28" s="19" t="s">
        <v>90</v>
      </c>
      <c r="I28" s="21" t="s">
        <v>78</v>
      </c>
      <c r="J28" s="19" t="s">
        <v>40</v>
      </c>
      <c r="K28" s="19" t="s">
        <v>40</v>
      </c>
      <c r="L28" s="19" t="s">
        <v>40</v>
      </c>
      <c r="M28" s="19" t="s">
        <v>40</v>
      </c>
    </row>
    <row r="29" spans="1:13">
      <c r="A29" s="19" t="s">
        <v>39</v>
      </c>
      <c r="B29" s="19" t="s">
        <v>94</v>
      </c>
      <c r="C29" s="20">
        <v>137776</v>
      </c>
      <c r="D29" s="21" t="s">
        <v>79</v>
      </c>
      <c r="E29" s="21" t="str">
        <f t="shared" si="0"/>
        <v>USUARIO QUE CREA EL REGISTRO EN LA BD</v>
      </c>
      <c r="F29" s="21" t="s">
        <v>80</v>
      </c>
      <c r="G29" s="19" t="s">
        <v>40</v>
      </c>
      <c r="H29" s="19" t="s">
        <v>71</v>
      </c>
      <c r="I29" s="21" t="s">
        <v>81</v>
      </c>
      <c r="J29" s="19" t="s">
        <v>40</v>
      </c>
      <c r="K29" s="19" t="s">
        <v>40</v>
      </c>
      <c r="L29" s="19" t="s">
        <v>40</v>
      </c>
      <c r="M29" s="19" t="s">
        <v>40</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D24D108C-4E52-415E-80EC-17FFED6487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Datos Sensibles</vt:lpstr>
      <vt:lpstr>Estructuras del Modelo</vt:lpstr>
      <vt:lpstr>137713</vt:lpstr>
      <vt:lpstr>137714</vt:lpstr>
      <vt:lpstr>137715</vt:lpstr>
      <vt:lpstr>137776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Juan Sara</cp:lastModifiedBy>
  <dcterms:created xsi:type="dcterms:W3CDTF">2015-06-05T18:19:34Z</dcterms:created>
  <dcterms:modified xsi:type="dcterms:W3CDTF">2026-07-01T14:45:46Z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