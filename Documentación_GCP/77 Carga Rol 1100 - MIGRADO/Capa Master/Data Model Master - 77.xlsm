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7 Carga Rol 1100 - MIGRADO/Capa Master/"/>
    </mc:Choice>
  </mc:AlternateContent>
  <xr:revisionPtr revIDLastSave="177" documentId="8_{1DCF88E8-8811-44D0-8773-D3AB89B02E57}" xr6:coauthVersionLast="47" xr6:coauthVersionMax="47" xr10:uidLastSave="{3184BAC3-8177-4519-906A-B20F8C18B906}"/>
  <bookViews>
    <workbookView xWindow="-110" yWindow="-110" windowWidth="19420" windowHeight="11500" activeTab="2" xr2:uid="{00000000-000D-0000-FFFF-FFFF00000000}"/>
  </bookViews>
  <sheets>
    <sheet name="Datos Sensibles" sheetId="4" r:id="rId1"/>
    <sheet name="Estructuras del Modelo" sheetId="1" r:id="rId2"/>
    <sheet name="t_contracargo_visa_rol1100" sheetId="2" r:id="rId3"/>
  </sheets>
  <functionGroups builtInGroupCount="19"/>
  <definedNames>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2" l="1"/>
  <c r="E11" i="2"/>
  <c r="E5" i="2"/>
  <c r="E4" i="2"/>
  <c r="E6" i="2"/>
  <c r="E7" i="2"/>
  <c r="E8" i="2"/>
  <c r="E9" i="2"/>
  <c r="E10" i="2"/>
  <c r="E12" i="2"/>
  <c r="E13" i="2"/>
  <c r="E15" i="2"/>
  <c r="E16" i="2"/>
  <c r="E17" i="2"/>
  <c r="E18" i="2"/>
  <c r="E19" i="2"/>
  <c r="E20" i="2"/>
  <c r="E21" i="2"/>
  <c r="E22" i="2"/>
  <c r="E23" i="2"/>
  <c r="E24" i="2"/>
  <c r="E25" i="2"/>
  <c r="E26" i="2"/>
  <c r="E27" i="2"/>
  <c r="E28" i="2"/>
  <c r="E29" i="2"/>
  <c r="E30" i="2"/>
  <c r="E31" i="2"/>
  <c r="E3" i="2"/>
</calcChain>
</file>

<file path=xl/sharedStrings.xml><?xml version="1.0" encoding="utf-8"?>
<sst xmlns="http://schemas.openxmlformats.org/spreadsheetml/2006/main" count="429" uniqueCount="158">
  <si>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</si>
  <si>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</si>
  <si>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</si>
  <si>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</si>
  <si>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</si>
  <si>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</si>
  <si>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</si>
  <si>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</si>
  <si>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</si>
  <si>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</si>
  <si>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</si>
  <si>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</si>
  <si>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</si>
  <si>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</si>
  <si>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</si>
  <si>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</si>
  <si>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</si>
  <si>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</si>
  <si>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</si>
  <si>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</si>
  <si>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</si>
  <si>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</si>
  <si>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</si>
  <si>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</si>
  <si>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</si>
  <si>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</si>
  <si>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</si>
  <si>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</si>
  <si>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</si>
  <si>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</si>
  <si>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</si>
  <si>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</si>
  <si>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</si>
  <si>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</si>
  <si>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</si>
  <si>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</si>
  <si>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</si>
  <si>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</si>
  <si>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</si>
  <si>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</si>
  <si>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m_comercio</t>
  </si>
  <si>
    <t>N</t>
  </si>
  <si>
    <t>prod</t>
  </si>
  <si>
    <t>Master</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</si>
  <si>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</si>
  <si>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</si>
  <si>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</si>
  <si>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</si>
  <si>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</si>
  <si>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</si>
  <si>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</si>
  <si>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</si>
  <si>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</si>
  <si>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</si>
  <si>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</si>
  <si>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</si>
  <si>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</si>
  <si>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</si>
  <si>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</si>
  <si>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</si>
  <si>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</si>
  <si>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</si>
  <si>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</si>
  <si>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</si>
  <si>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</si>
  <si>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</si>
  <si>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</si>
  <si>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</si>
  <si>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</si>
  <si>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</si>
  <si>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</si>
  <si>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</si>
  <si>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</si>
  <si>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STRING</t>
  </si>
  <si>
    <t>nom_responsable_cuenta</t>
  </si>
  <si>
    <t>nom_ejecutivo_dealer</t>
  </si>
  <si>
    <t>record_source</t>
  </si>
  <si>
    <t>Dato de Auditoría: Descripción del aplicativo origen de los datos.</t>
  </si>
  <si>
    <t>as400</t>
  </si>
  <si>
    <t>load_date</t>
  </si>
  <si>
    <t>Fecha y hora de inserción del registro en el modelo</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</si>
  <si>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</si>
  <si>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</si>
  <si>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</si>
  <si>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</si>
  <si>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</si>
  <si>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</si>
  <si>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</si>
  <si>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</si>
  <si>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</si>
  <si>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HEREDADA</t>
  </si>
  <si>
    <t>Apellido paterno</t>
  </si>
  <si>
    <t>Apellido materno</t>
  </si>
  <si>
    <t>Zona (Raw, Master, BI)</t>
  </si>
  <si>
    <t>mc2103@izipay.pe</t>
  </si>
  <si>
    <t>DATETIME</t>
  </si>
  <si>
    <t>RIESGOS</t>
  </si>
  <si>
    <t>CONTRACARGO</t>
  </si>
  <si>
    <t>master_risk</t>
  </si>
  <si>
    <t>Tabla que contiene la informacion historica de contracargos en prearbitraje y arbitraje extraídos de la plataforma de Visa proveniente de un conjunto de reportes demoninado Rol 1100</t>
  </si>
  <si>
    <t>t_contracargo_visa_rol1100</t>
  </si>
  <si>
    <t>Incremental</t>
  </si>
  <si>
    <t>Diario (9:00am)</t>
  </si>
  <si>
    <t>Riesgos</t>
  </si>
  <si>
    <t>Código que representa la condición de disputa</t>
  </si>
  <si>
    <t>Número de caso asignado por Visa para el seguimiento del contracargo.</t>
  </si>
  <si>
    <t>Fecha de seguimiento o control interno del caso.</t>
  </si>
  <si>
    <t>Estado actual del caso de disputa (e.g., recibido, en revisión).</t>
  </si>
  <si>
    <t>Días restantes para actuar antes de vencer el plazo de respuesta.</t>
  </si>
  <si>
    <t>Moneda en la que se realizó la transacción.</t>
  </si>
  <si>
    <t>Estado del caso asignado por la entidad emisora.</t>
  </si>
  <si>
    <t>Usuario o agente que está gestionando el caso.</t>
  </si>
  <si>
    <t>Nombre del banco adquirente (BID) que procesó la transacción.</t>
  </si>
  <si>
    <t>Clasificación del caso según indicadores de fraude.</t>
  </si>
  <si>
    <t>Código MCC que representa el giro o actividad del comercio.</t>
  </si>
  <si>
    <t>Indicador si la transacción fue realizada por MOTO (Mail Order/Telephone Order).</t>
  </si>
  <si>
    <t>Nombre del comercio donde se originó la transacción disputada.</t>
  </si>
  <si>
    <t>Identificador de red en la que se procesó la transacción.</t>
  </si>
  <si>
    <t>Código de jurisdicción de la transacción.</t>
  </si>
  <si>
    <t>Indicador de si la transacción fue internacional, local u otro.</t>
  </si>
  <si>
    <t>Fecha de expiración del reglamento E/Reg Z aplicable al caso.</t>
  </si>
  <si>
    <t>fecha_seguimiento_caso</t>
  </si>
  <si>
    <t>estado_caso</t>
  </si>
  <si>
    <t>moneda_transaccion</t>
  </si>
  <si>
    <t>estado_caso_emisor</t>
  </si>
  <si>
    <t>usuario_asignado</t>
  </si>
  <si>
    <t>fecha_hora_ultima_accion</t>
  </si>
  <si>
    <t>clasificacion_fraude</t>
  </si>
  <si>
    <t>ambito_transaccion</t>
  </si>
  <si>
    <t>nro_caso</t>
  </si>
  <si>
    <t>cod_condicion_disputa</t>
  </si>
  <si>
    <t>arn_inicio</t>
  </si>
  <si>
    <t>arn_fin</t>
  </si>
  <si>
    <t>Número ARN (Acquirer Reference Number) que identifica la transacción (primeros 23 caracteres del ARN)</t>
  </si>
  <si>
    <t>Número ARN (Acquirer Reference Number) que identifica la transacción (últimos 12 caracteres del ARN)</t>
  </si>
  <si>
    <t>nom_banco_adquirente</t>
  </si>
  <si>
    <t>cod_giro_comercio</t>
  </si>
  <si>
    <t>ind_moto</t>
  </si>
  <si>
    <t>nom_comercio</t>
  </si>
  <si>
    <t>cod_red_transaccion</t>
  </si>
  <si>
    <t>cod_jurisdiccion</t>
  </si>
  <si>
    <t>fecha_expiracion</t>
  </si>
  <si>
    <t>2025-07-04t03:07:39.145385</t>
  </si>
  <si>
    <t>INT64</t>
  </si>
  <si>
    <t>FLOAT64</t>
  </si>
  <si>
    <t>mto_disputado</t>
  </si>
  <si>
    <t>Monto disputado expresado en moneda origen</t>
  </si>
  <si>
    <t>Fecha y hora de la última acción registrada en el caso, en horario local.</t>
  </si>
  <si>
    <t>cant_dias_vencimiento</t>
  </si>
  <si>
    <t>BYTES</t>
  </si>
  <si>
    <t>tarjeta_enmascarada</t>
  </si>
  <si>
    <t>bin</t>
  </si>
  <si>
    <t>tarjeta_enmascarada_token</t>
  </si>
  <si>
    <t>bin_token</t>
  </si>
  <si>
    <t>Primeros 9 digitos de la tarjeta</t>
  </si>
  <si>
    <t>Numero de la tarjeta del cliente (enmascarada)</t>
  </si>
  <si>
    <t>Numero de la tarjeta tokenizada del cliente (enmascarada)</t>
  </si>
  <si>
    <t>Primeros 9 digitos de la tarjeta tokenizada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</si>
</sst>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0">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0" fillId="4" borderId="1" xfId="0" applyFill="1" applyBorder="1" applyAlignment="1">
      <alignment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0" fontId="0" fillId="0" borderId="1" xfId="0" applyBorder="1" applyAlignment="1">
      <alignment horizontal="center" vertical="center" wrapText="1"/>
    </xf>
    <xf numFmtId="0" fontId="3" fillId="2" borderId="1" xfId="0" applyFont="1" applyFill="1" applyBorder="1" applyAlignment="1">
      <alignment horizontal="center" vertical="center" wrapText="1"/>
    </xf>
    <xf numFmtId="0" fontId="5" fillId="0" borderId="1" xfId="1" applyBorder="1" applyAlignment="1">
      <alignment vertical="center" wrapText="1"/>
    </xf>
    <xf numFmtId="0" fontId="0" fillId="0" borderId="1" xfId="0" applyBorder="1" applyAlignment="1">
      <alignment vertical="center" wrapText="1"/>
    </xf>
    <xf numFmtId="0" fontId="1" fillId="0" borderId="0" xfId="0" applyFont="1" applyAlignment="1">
      <alignment vertical="center" wrapText="1"/>
    </xf>
    <xf numFmtId="0" fontId="0" fillId="5" borderId="1" xfId="0" applyFill="1" applyBorder="1" applyAlignment="1">
      <alignment vertical="center"/>
    </xf>
    <xf numFmtId="14" fontId="0" fillId="0" borderId="1" xfId="0" applyNumberFormat="1" applyBorder="1" applyAlignment="1">
      <alignment horizontal="left" vertical="center"/>
    </xf>
    <xf numFmtId="0" fontId="0" fillId="0" borderId="1" xfId="0" applyBorder="1" applyAlignment="1">
      <alignment horizontal="left" vertical="center"/>
    </xf>
    <xf numFmtId="11" fontId="0" fillId="0" borderId="1" xfId="0" applyNumberFormat="1" applyBorder="1" applyAlignment="1">
      <alignment horizontal="left" vertical="center"/>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22"/>
  <sheetViews>
    <sheetView showGridLines="0" workbookViewId="0">
      <selection activeCell="K8" sqref="K8"/>
    </sheetView>
  </sheetViews>
  <sheetFormatPr baseColWidth="10" defaultRowHeight="14.5"/>
  <cols>
    <col min="1" max="1" width="7.26953125" customWidth="1"/>
    <col min="2" max="5" width="23.26953125" customWidth="1"/>
    <col min="6" max="6" width="27.81640625" customWidth="1"/>
    <col min="7" max="7" width="23.26953125" customWidth="1"/>
  </cols>
  <sheetData>
    <row r="1" spans="1:7">
      <c r="A1" s="1"/>
      <c r="B1" s="1"/>
      <c r="C1" s="1"/>
      <c r="D1" s="1"/>
      <c r="E1" s="1"/>
      <c r="F1" s="1"/>
      <c r="G1" s="1"/>
    </row>
    <row r="2" spans="1:7" ht="29.5">
      <c r="A2" s="5" t="s">
        <v>84</v>
      </c>
      <c r="B2" s="1"/>
      <c r="C2" s="1"/>
      <c r="D2" s="1"/>
      <c r="E2" s="1"/>
      <c r="F2" s="1"/>
      <c r="G2" s="1"/>
    </row>
    <row r="3" spans="1:7" s="1" customFormat="1" ht="66" customHeight="1">
      <c r="A3" s="29" t="s">
        <v>85</v>
      </c>
      <c r="B3" s="29"/>
      <c r="C3" s="29"/>
      <c r="D3" s="29"/>
      <c r="E3" s="29"/>
      <c r="F3" s="29"/>
      <c r="G3" s="29"/>
    </row>
    <row r="4" spans="1:7">
      <c r="A4" s="1"/>
      <c r="B4" s="1"/>
      <c r="C4" s="1"/>
      <c r="D4" s="1"/>
      <c r="E4" s="1"/>
      <c r="F4" s="1"/>
      <c r="G4" s="1"/>
    </row>
    <row r="5" spans="1:7">
      <c r="A5" s="6" t="s">
        <v>86</v>
      </c>
      <c r="B5" s="6" t="s">
        <v>87</v>
      </c>
      <c r="C5" s="6" t="s">
        <v>88</v>
      </c>
      <c r="D5" s="6" t="s">
        <v>89</v>
      </c>
      <c r="E5" s="6" t="s">
        <v>7</v>
      </c>
      <c r="F5" s="6" t="s">
        <v>49</v>
      </c>
      <c r="G5" s="6" t="s">
        <v>8</v>
      </c>
    </row>
    <row r="6" spans="1:7">
      <c r="A6" s="7">
        <v>1</v>
      </c>
      <c r="B6" s="4" t="s">
        <v>90</v>
      </c>
      <c r="C6" s="4" t="s">
        <v>90</v>
      </c>
      <c r="D6" s="4" t="s">
        <v>90</v>
      </c>
      <c r="E6" s="4" t="s">
        <v>40</v>
      </c>
      <c r="F6" s="8" t="s">
        <v>74</v>
      </c>
      <c r="G6" s="9" t="s">
        <v>91</v>
      </c>
    </row>
    <row r="7" spans="1:7">
      <c r="A7" s="7">
        <v>2</v>
      </c>
      <c r="B7" s="4" t="s">
        <v>90</v>
      </c>
      <c r="C7" s="4" t="s">
        <v>90</v>
      </c>
      <c r="D7" s="4" t="s">
        <v>90</v>
      </c>
      <c r="E7" s="4" t="s">
        <v>40</v>
      </c>
      <c r="F7" s="8" t="s">
        <v>75</v>
      </c>
      <c r="G7" s="9" t="s">
        <v>92</v>
      </c>
    </row>
    <row r="8" spans="1:7">
      <c r="A8" s="7"/>
      <c r="B8" s="4"/>
      <c r="C8" s="4"/>
      <c r="D8" s="4"/>
      <c r="E8" s="4"/>
      <c r="F8" s="8"/>
      <c r="G8" s="9"/>
    </row>
    <row r="9" spans="1:7">
      <c r="A9" s="7"/>
      <c r="B9" s="4"/>
      <c r="C9" s="4"/>
      <c r="D9" s="4"/>
      <c r="E9" s="4"/>
      <c r="F9" s="8"/>
      <c r="G9" s="9"/>
    </row>
    <row r="10" spans="1:7">
      <c r="A10" s="7"/>
      <c r="B10" s="4"/>
      <c r="C10" s="4"/>
      <c r="D10" s="4"/>
      <c r="E10" s="4"/>
      <c r="F10" s="8"/>
      <c r="G10" s="9"/>
    </row>
    <row r="11" spans="1:7">
      <c r="A11" s="7"/>
      <c r="B11" s="4"/>
      <c r="C11" s="4"/>
      <c r="D11" s="4"/>
      <c r="E11" s="4"/>
      <c r="F11" s="8"/>
      <c r="G11" s="9"/>
    </row>
    <row r="12" spans="1:7">
      <c r="A12" s="7"/>
      <c r="B12" s="4"/>
      <c r="C12" s="4"/>
      <c r="D12" s="4"/>
      <c r="E12" s="4"/>
      <c r="F12" s="10"/>
      <c r="G12" s="9"/>
    </row>
    <row r="13" spans="1:7">
      <c r="A13" s="7"/>
      <c r="B13" s="4"/>
      <c r="C13" s="4"/>
      <c r="D13" s="4"/>
      <c r="E13" s="4"/>
      <c r="F13" s="10"/>
      <c r="G13" s="9"/>
    </row>
    <row r="14" spans="1:7">
      <c r="A14" s="7"/>
      <c r="B14" s="4"/>
      <c r="C14" s="4"/>
      <c r="D14" s="4"/>
      <c r="E14" s="4"/>
      <c r="F14" s="10"/>
      <c r="G14" s="9"/>
    </row>
    <row r="15" spans="1:7">
      <c r="A15" s="7"/>
      <c r="B15" s="4"/>
      <c r="C15" s="4"/>
      <c r="D15" s="4"/>
      <c r="E15" s="4"/>
      <c r="F15" s="10"/>
      <c r="G15" s="9"/>
    </row>
    <row r="16" spans="1:7">
      <c r="A16" s="7"/>
      <c r="B16" s="4"/>
      <c r="C16" s="4"/>
      <c r="D16" s="4"/>
      <c r="E16" s="4"/>
      <c r="F16" s="10"/>
      <c r="G16" s="9"/>
    </row>
    <row r="17" spans="1:7">
      <c r="A17" s="7"/>
      <c r="B17" s="4"/>
      <c r="C17" s="4"/>
      <c r="D17" s="4"/>
      <c r="E17" s="4"/>
      <c r="F17" s="10"/>
      <c r="G17" s="9"/>
    </row>
    <row r="18" spans="1:7">
      <c r="A18" s="7"/>
      <c r="B18" s="4"/>
      <c r="C18" s="4"/>
      <c r="D18" s="4"/>
      <c r="E18" s="4"/>
      <c r="F18" s="10"/>
      <c r="G18" s="9"/>
    </row>
    <row r="19" spans="1:7">
      <c r="A19" s="7"/>
      <c r="B19" s="4"/>
      <c r="C19" s="4"/>
      <c r="D19" s="4"/>
      <c r="E19" s="4"/>
      <c r="F19" s="10"/>
      <c r="G19" s="9"/>
    </row>
    <row r="20" spans="1:7">
      <c r="A20" s="7"/>
      <c r="B20" s="4"/>
      <c r="C20" s="4"/>
      <c r="D20" s="4"/>
      <c r="E20" s="4"/>
      <c r="F20" s="10"/>
      <c r="G20" s="9"/>
    </row>
    <row r="21" spans="1:7">
      <c r="A21" s="1"/>
      <c r="B21" s="1"/>
      <c r="C21" s="1"/>
      <c r="D21" s="1"/>
      <c r="E21" s="1"/>
      <c r="F21" s="1"/>
      <c r="G21" s="1"/>
    </row>
    <row r="22" spans="1:7">
      <c r="A22" s="1"/>
      <c r="B22" s="1"/>
      <c r="C22" s="1"/>
      <c r="D22" s="1"/>
      <c r="E22" s="1"/>
      <c r="F22" s="1"/>
      <c r="G22"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C1" workbookViewId="0">
      <selection activeCell="H3" sqref="H3"/>
    </sheetView>
  </sheetViews>
  <sheetFormatPr baseColWidth="10" defaultColWidth="9.1796875" defaultRowHeight="14.5"/>
  <cols>
    <col min="1" max="8" width="33.26953125" style="2" customWidth="1"/>
    <col min="9" max="9" width="49.1796875" style="2" customWidth="1"/>
    <col min="10" max="20" width="33.26953125" style="2" customWidth="1"/>
    <col min="21" max="16384" width="9.1796875" style="2"/>
  </cols>
  <sheetData>
    <row r="1" spans="1:20">
      <c r="A1" s="6" t="s">
        <v>0</v>
      </c>
      <c r="B1" s="6" t="s">
        <v>1</v>
      </c>
      <c r="C1" s="6" t="s">
        <v>2</v>
      </c>
      <c r="D1" s="6" t="s">
        <v>3</v>
      </c>
      <c r="E1" s="6" t="s">
        <v>4</v>
      </c>
      <c r="F1" s="21" t="s">
        <v>5</v>
      </c>
      <c r="G1" s="6" t="s">
        <v>6</v>
      </c>
      <c r="H1" s="6" t="s">
        <v>7</v>
      </c>
      <c r="I1" s="6" t="s">
        <v>8</v>
      </c>
      <c r="J1" s="6" t="s">
        <v>9</v>
      </c>
      <c r="K1" s="6" t="s">
        <v>10</v>
      </c>
      <c r="L1" s="6" t="s">
        <v>11</v>
      </c>
      <c r="M1" s="6" t="s">
        <v>12</v>
      </c>
      <c r="N1" s="6" t="s">
        <v>13</v>
      </c>
      <c r="O1" s="6" t="s">
        <v>14</v>
      </c>
      <c r="P1" s="6" t="s">
        <v>15</v>
      </c>
      <c r="Q1" s="6" t="s">
        <v>16</v>
      </c>
      <c r="R1" s="6" t="s">
        <v>17</v>
      </c>
      <c r="S1" s="6" t="s">
        <v>18</v>
      </c>
      <c r="T1" s="6" t="s">
        <v>19</v>
      </c>
    </row>
    <row r="2" spans="1:20" ht="42">
      <c r="A2" s="11" t="s">
        <v>20</v>
      </c>
      <c r="B2" s="11" t="s">
        <v>21</v>
      </c>
      <c r="C2" s="11" t="s">
        <v>22</v>
      </c>
      <c r="D2" s="11" t="s">
        <v>23</v>
      </c>
      <c r="E2" s="11" t="s">
        <v>24</v>
      </c>
      <c r="F2" s="11" t="s">
        <v>25</v>
      </c>
      <c r="G2" s="11" t="s">
        <v>26</v>
      </c>
      <c r="H2" s="11" t="s">
        <v>27</v>
      </c>
      <c r="I2" s="11" t="s">
        <v>28</v>
      </c>
      <c r="J2" s="12" t="s">
        <v>29</v>
      </c>
      <c r="K2" s="12" t="s">
        <v>30</v>
      </c>
      <c r="L2" s="13"/>
      <c r="M2" s="11" t="s">
        <v>31</v>
      </c>
      <c r="N2" s="11" t="s">
        <v>32</v>
      </c>
      <c r="O2" s="11" t="s">
        <v>33</v>
      </c>
      <c r="P2" s="11" t="s">
        <v>93</v>
      </c>
      <c r="Q2" s="11" t="s">
        <v>34</v>
      </c>
      <c r="R2" s="11" t="s">
        <v>35</v>
      </c>
      <c r="S2" s="11" t="s">
        <v>36</v>
      </c>
      <c r="T2" s="11" t="s">
        <v>37</v>
      </c>
    </row>
    <row r="3" spans="1:20" ht="58">
      <c r="A3" s="20" t="s">
        <v>38</v>
      </c>
      <c r="B3" s="20" t="s">
        <v>96</v>
      </c>
      <c r="C3" s="20" t="s">
        <v>97</v>
      </c>
      <c r="D3" s="20" t="s">
        <v>96</v>
      </c>
      <c r="E3" s="20" t="s">
        <v>97</v>
      </c>
      <c r="F3" s="20" t="s">
        <v>39</v>
      </c>
      <c r="G3" s="20" t="s">
        <v>98</v>
      </c>
      <c r="H3" s="22" t="s">
        <v>100</v>
      </c>
      <c r="I3" s="23" t="s">
        <v>99</v>
      </c>
      <c r="J3" s="20" t="s">
        <v>101</v>
      </c>
      <c r="K3" s="20" t="s">
        <v>102</v>
      </c>
      <c r="L3" s="23"/>
      <c r="M3" s="22" t="s">
        <v>94</v>
      </c>
      <c r="N3" s="20" t="s">
        <v>41</v>
      </c>
      <c r="O3" s="20" t="s">
        <v>42</v>
      </c>
      <c r="P3" s="20" t="s">
        <v>43</v>
      </c>
      <c r="Q3" s="20" t="s">
        <v>103</v>
      </c>
      <c r="R3" s="20"/>
      <c r="S3" s="20"/>
      <c r="T3" s="20"/>
    </row>
    <row r="4" spans="1:20">
      <c r="A4" s="3"/>
      <c r="B4" s="3"/>
      <c r="C4" s="3"/>
      <c r="D4" s="3"/>
      <c r="E4" s="3"/>
      <c r="F4" s="3"/>
      <c r="G4" s="3"/>
      <c r="H4" s="3"/>
      <c r="I4" s="3"/>
      <c r="J4" s="3"/>
      <c r="K4" s="3"/>
      <c r="L4" s="3"/>
      <c r="M4" s="3"/>
      <c r="N4" s="3"/>
      <c r="O4" s="3"/>
      <c r="P4" s="3"/>
      <c r="Q4" s="3"/>
      <c r="R4" s="3"/>
      <c r="S4" s="3"/>
      <c r="T4" s="3"/>
    </row>
    <row r="5" spans="1:20">
      <c r="A5" s="24" t="s">
        <v>44</v>
      </c>
      <c r="B5" s="3"/>
      <c r="C5" s="3"/>
      <c r="D5" s="3"/>
      <c r="E5" s="3"/>
      <c r="F5" s="3"/>
      <c r="G5" s="3"/>
      <c r="H5" s="3"/>
      <c r="I5" s="3"/>
      <c r="J5" s="3"/>
      <c r="K5" s="3"/>
      <c r="L5" s="3"/>
      <c r="M5" s="3"/>
      <c r="N5" s="3"/>
      <c r="O5" s="3"/>
      <c r="P5" s="3"/>
      <c r="Q5" s="3"/>
      <c r="R5" s="3"/>
      <c r="S5" s="3"/>
      <c r="T5" s="3"/>
    </row>
    <row r="6" spans="1:20">
      <c r="A6" s="2" t="s">
        <v>45</v>
      </c>
      <c r="B6" s="3"/>
      <c r="C6" s="3"/>
      <c r="D6" s="3"/>
      <c r="E6" s="3"/>
      <c r="F6" s="3"/>
      <c r="G6" s="3"/>
      <c r="H6" s="3"/>
      <c r="I6" s="3"/>
      <c r="J6" s="3"/>
      <c r="K6" s="3"/>
      <c r="L6" s="3"/>
      <c r="M6" s="3"/>
      <c r="N6" s="3"/>
      <c r="O6" s="3"/>
      <c r="P6" s="3"/>
      <c r="Q6" s="3"/>
      <c r="R6" s="3"/>
      <c r="S6" s="3"/>
      <c r="T6" s="3"/>
    </row>
    <row r="7" spans="1:20">
      <c r="A7" s="2" t="s">
        <v>46</v>
      </c>
      <c r="B7" s="3"/>
      <c r="C7" s="3"/>
      <c r="D7" s="3"/>
      <c r="E7" s="3"/>
      <c r="F7" s="3"/>
      <c r="G7" s="3"/>
      <c r="H7" s="3"/>
      <c r="I7" s="3"/>
      <c r="J7" s="3"/>
      <c r="K7" s="3"/>
      <c r="L7" s="3"/>
      <c r="M7" s="3"/>
      <c r="N7" s="3"/>
      <c r="O7" s="3"/>
      <c r="P7" s="3"/>
      <c r="Q7" s="3"/>
      <c r="R7" s="3"/>
      <c r="S7" s="3"/>
      <c r="T7" s="3"/>
    </row>
    <row r="8" spans="1:20">
      <c r="A8" s="2" t="s">
        <v>47</v>
      </c>
      <c r="B8" s="3"/>
      <c r="C8" s="3"/>
      <c r="D8" s="3"/>
      <c r="E8" s="3"/>
      <c r="F8" s="3"/>
      <c r="G8" s="3"/>
      <c r="H8" s="3"/>
      <c r="I8" s="3"/>
      <c r="J8" s="3"/>
      <c r="K8" s="3"/>
      <c r="L8" s="3"/>
      <c r="M8" s="3"/>
      <c r="N8" s="3"/>
      <c r="O8" s="3"/>
      <c r="P8" s="3"/>
      <c r="Q8" s="3"/>
      <c r="R8" s="3"/>
      <c r="S8" s="3"/>
      <c r="T8" s="3"/>
    </row>
    <row r="9" spans="1:20">
      <c r="A9" s="2" t="s">
        <v>48</v>
      </c>
      <c r="B9" s="3"/>
      <c r="C9" s="3"/>
      <c r="D9" s="3"/>
      <c r="E9" s="3"/>
      <c r="F9" s="3"/>
      <c r="G9" s="3"/>
      <c r="H9" s="3"/>
      <c r="I9" s="3"/>
      <c r="J9" s="3"/>
      <c r="K9" s="3"/>
      <c r="L9" s="3"/>
      <c r="M9" s="3"/>
      <c r="N9" s="3"/>
      <c r="O9" s="3"/>
      <c r="P9" s="3"/>
      <c r="Q9" s="3"/>
      <c r="R9" s="3"/>
      <c r="S9" s="3"/>
      <c r="T9" s="3"/>
    </row>
    <row r="10" spans="1:20">
      <c r="A10" s="3"/>
      <c r="B10" s="3"/>
      <c r="C10" s="3"/>
      <c r="D10" s="3"/>
      <c r="E10" s="3"/>
      <c r="F10" s="3"/>
      <c r="G10" s="3"/>
      <c r="H10" s="3"/>
      <c r="I10" s="3"/>
      <c r="J10" s="3"/>
      <c r="K10" s="3"/>
      <c r="L10" s="3"/>
      <c r="M10" s="3"/>
      <c r="N10" s="3"/>
      <c r="O10" s="3"/>
      <c r="P10" s="3"/>
      <c r="Q10" s="3"/>
      <c r="R10" s="3"/>
      <c r="S10" s="3"/>
      <c r="T10" s="3"/>
    </row>
  </sheetData>
  <hyperlinks>
    <hyperlink ref="H3" location="t_contracargo_visa_rol1100!A1" display="t_contracargo_visa_rol1100" xr:uid="{0DB9A7A6-B614-41D9-8932-0970FDE8FB75}"/>
    <hyperlink ref="M3" r:id="rId1" xr:uid="{AE7499B5-4EFF-4EE2-9DA4-B351D470EE4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31"/>
  <sheetViews>
    <sheetView showGridLines="0" tabSelected="1" topLeftCell="A5" workbookViewId="0">
      <selection activeCell="F14" sqref="F14"/>
    </sheetView>
  </sheetViews>
  <sheetFormatPr baseColWidth="10" defaultColWidth="11.453125" defaultRowHeight="14.5"/>
  <cols>
    <col min="1" max="4" width="29" customWidth="1"/>
    <col min="5" max="5" width="50.26953125" customWidth="1"/>
    <col min="6" max="6" width="66.81640625" customWidth="1"/>
    <col min="7" max="8" width="29" customWidth="1"/>
    <col min="9" max="9" width="40.54296875" customWidth="1"/>
    <col min="10" max="13" width="29" customWidth="1"/>
  </cols>
  <sheetData>
    <row r="1" spans="1:13" ht="31">
      <c r="A1" s="14" t="s">
        <v>5</v>
      </c>
      <c r="B1" s="15" t="s">
        <v>6</v>
      </c>
      <c r="C1" s="15" t="s">
        <v>7</v>
      </c>
      <c r="D1" s="15" t="s">
        <v>49</v>
      </c>
      <c r="E1" s="15" t="s">
        <v>50</v>
      </c>
      <c r="F1" s="15" t="s">
        <v>51</v>
      </c>
      <c r="G1" s="15" t="s">
        <v>52</v>
      </c>
      <c r="H1" s="15" t="s">
        <v>53</v>
      </c>
      <c r="I1" s="15" t="s">
        <v>54</v>
      </c>
      <c r="J1" s="15" t="s">
        <v>55</v>
      </c>
      <c r="K1" s="15" t="s">
        <v>56</v>
      </c>
      <c r="L1" s="15" t="s">
        <v>57</v>
      </c>
      <c r="M1" s="15" t="s">
        <v>58</v>
      </c>
    </row>
    <row r="2" spans="1:13" ht="46.5">
      <c r="A2" s="16" t="s">
        <v>25</v>
      </c>
      <c r="B2" s="16" t="s">
        <v>26</v>
      </c>
      <c r="C2" s="16" t="s">
        <v>59</v>
      </c>
      <c r="D2" s="16" t="s">
        <v>60</v>
      </c>
      <c r="E2" s="16" t="s">
        <v>61</v>
      </c>
      <c r="F2" s="16" t="s">
        <v>62</v>
      </c>
      <c r="G2" s="16" t="s">
        <v>63</v>
      </c>
      <c r="H2" s="16" t="s">
        <v>64</v>
      </c>
      <c r="I2" s="16" t="s">
        <v>65</v>
      </c>
      <c r="J2" s="16" t="s">
        <v>66</v>
      </c>
      <c r="K2" s="16" t="s">
        <v>67</v>
      </c>
      <c r="L2" s="16" t="s">
        <v>68</v>
      </c>
      <c r="M2" s="16" t="s">
        <v>67</v>
      </c>
    </row>
    <row r="3" spans="1:13">
      <c r="A3" s="17" t="s">
        <v>39</v>
      </c>
      <c r="B3" s="17" t="s">
        <v>98</v>
      </c>
      <c r="C3" s="18" t="s">
        <v>100</v>
      </c>
      <c r="D3" s="19" t="s">
        <v>69</v>
      </c>
      <c r="E3" s="19" t="str">
        <f>UPPER(F3)</f>
        <v>FECHA DE FOTO/DATOS CONFIGURADA EN EL ETL PARA LA EXTRACCIÓN DE DATOS, CORRESPONDE A APERTURAS DE COMERCIOS HASTA EL CIERRE DEL DÍA ANTERIOR</v>
      </c>
      <c r="F3" s="19" t="s">
        <v>70</v>
      </c>
      <c r="G3" s="17" t="s">
        <v>41</v>
      </c>
      <c r="H3" s="17" t="s">
        <v>71</v>
      </c>
      <c r="I3" s="26">
        <v>45841</v>
      </c>
      <c r="J3" s="17" t="s">
        <v>41</v>
      </c>
      <c r="K3" s="17" t="s">
        <v>41</v>
      </c>
      <c r="L3" s="17" t="s">
        <v>72</v>
      </c>
      <c r="M3" s="17" t="s">
        <v>41</v>
      </c>
    </row>
    <row r="4" spans="1:13">
      <c r="A4" s="17" t="s">
        <v>39</v>
      </c>
      <c r="B4" s="17" t="s">
        <v>98</v>
      </c>
      <c r="C4" s="18" t="s">
        <v>100</v>
      </c>
      <c r="D4" s="19" t="s">
        <v>129</v>
      </c>
      <c r="E4" s="19" t="str">
        <f t="shared" ref="E4:E28" si="0">UPPER(F4)</f>
        <v>NÚMERO DE CASO ASIGNADO POR VISA PARA EL SEGUIMIENTO DEL CONTRACARGO.</v>
      </c>
      <c r="F4" s="19" t="s">
        <v>105</v>
      </c>
      <c r="G4" s="17" t="s">
        <v>41</v>
      </c>
      <c r="H4" s="17" t="s">
        <v>73</v>
      </c>
      <c r="I4" s="27"/>
      <c r="J4" s="17" t="s">
        <v>41</v>
      </c>
      <c r="K4" s="17" t="s">
        <v>72</v>
      </c>
      <c r="L4" s="17" t="s">
        <v>41</v>
      </c>
      <c r="M4" s="17" t="s">
        <v>41</v>
      </c>
    </row>
    <row r="5" spans="1:13">
      <c r="A5" s="17" t="s">
        <v>39</v>
      </c>
      <c r="B5" s="17" t="s">
        <v>98</v>
      </c>
      <c r="C5" s="18" t="s">
        <v>100</v>
      </c>
      <c r="D5" s="19" t="s">
        <v>121</v>
      </c>
      <c r="E5" s="19" t="str">
        <f>UPPER(F5)</f>
        <v>FECHA DE SEGUIMIENTO O CONTROL INTERNO DEL CASO.</v>
      </c>
      <c r="F5" s="19" t="s">
        <v>106</v>
      </c>
      <c r="G5" s="17" t="s">
        <v>41</v>
      </c>
      <c r="H5" s="17" t="s">
        <v>71</v>
      </c>
      <c r="I5" s="27"/>
      <c r="J5" s="17" t="s">
        <v>41</v>
      </c>
      <c r="K5" s="17" t="s">
        <v>72</v>
      </c>
      <c r="L5" s="17" t="s">
        <v>41</v>
      </c>
      <c r="M5" s="17" t="s">
        <v>41</v>
      </c>
    </row>
    <row r="6" spans="1:13">
      <c r="A6" s="17" t="s">
        <v>39</v>
      </c>
      <c r="B6" s="17" t="s">
        <v>98</v>
      </c>
      <c r="C6" s="18" t="s">
        <v>100</v>
      </c>
      <c r="D6" s="19" t="s">
        <v>122</v>
      </c>
      <c r="E6" s="19" t="str">
        <f t="shared" si="0"/>
        <v>ESTADO ACTUAL DEL CASO DE DISPUTA (E.G., RECIBIDO, EN REVISIÓN).</v>
      </c>
      <c r="F6" s="19" t="s">
        <v>107</v>
      </c>
      <c r="G6" s="17" t="s">
        <v>41</v>
      </c>
      <c r="H6" s="17" t="s">
        <v>73</v>
      </c>
      <c r="I6" s="27"/>
      <c r="J6" s="17" t="s">
        <v>41</v>
      </c>
      <c r="K6" s="17" t="s">
        <v>72</v>
      </c>
      <c r="L6" s="17" t="s">
        <v>41</v>
      </c>
      <c r="M6" s="17" t="s">
        <v>72</v>
      </c>
    </row>
    <row r="7" spans="1:13">
      <c r="A7" s="17" t="s">
        <v>39</v>
      </c>
      <c r="B7" s="17" t="s">
        <v>98</v>
      </c>
      <c r="C7" s="18" t="s">
        <v>100</v>
      </c>
      <c r="D7" s="19" t="s">
        <v>130</v>
      </c>
      <c r="E7" s="19" t="str">
        <f t="shared" si="0"/>
        <v>CÓDIGO QUE REPRESENTA LA CONDICIÓN DE DISPUTA</v>
      </c>
      <c r="F7" s="19" t="s">
        <v>104</v>
      </c>
      <c r="G7" s="17" t="s">
        <v>41</v>
      </c>
      <c r="H7" s="17" t="s">
        <v>73</v>
      </c>
      <c r="I7" s="27"/>
      <c r="J7" s="17" t="s">
        <v>41</v>
      </c>
      <c r="K7" s="17" t="s">
        <v>72</v>
      </c>
      <c r="L7" s="17" t="s">
        <v>41</v>
      </c>
      <c r="M7" s="17" t="s">
        <v>72</v>
      </c>
    </row>
    <row r="8" spans="1:13">
      <c r="A8" s="17" t="s">
        <v>39</v>
      </c>
      <c r="B8" s="17" t="s">
        <v>98</v>
      </c>
      <c r="C8" s="18" t="s">
        <v>100</v>
      </c>
      <c r="D8" s="19" t="s">
        <v>148</v>
      </c>
      <c r="E8" s="19" t="str">
        <f t="shared" si="0"/>
        <v>DÍAS RESTANTES PARA ACTUAR ANTES DE VENCER EL PLAZO DE RESPUESTA.</v>
      </c>
      <c r="F8" s="19" t="s">
        <v>108</v>
      </c>
      <c r="G8" s="17" t="s">
        <v>41</v>
      </c>
      <c r="H8" s="17" t="s">
        <v>143</v>
      </c>
      <c r="I8" s="27"/>
      <c r="J8" s="17" t="s">
        <v>41</v>
      </c>
      <c r="K8" s="17" t="s">
        <v>72</v>
      </c>
      <c r="L8" s="17" t="s">
        <v>41</v>
      </c>
      <c r="M8" s="17" t="s">
        <v>41</v>
      </c>
    </row>
    <row r="9" spans="1:13">
      <c r="A9" s="17" t="s">
        <v>39</v>
      </c>
      <c r="B9" s="17" t="s">
        <v>98</v>
      </c>
      <c r="C9" s="18" t="s">
        <v>100</v>
      </c>
      <c r="D9" s="19" t="s">
        <v>123</v>
      </c>
      <c r="E9" s="19" t="str">
        <f t="shared" si="0"/>
        <v>MONEDA EN LA QUE SE REALIZÓ LA TRANSACCIÓN.</v>
      </c>
      <c r="F9" s="19" t="s">
        <v>109</v>
      </c>
      <c r="G9" s="17" t="s">
        <v>41</v>
      </c>
      <c r="H9" s="17" t="s">
        <v>73</v>
      </c>
      <c r="I9" s="27"/>
      <c r="J9" s="17" t="s">
        <v>41</v>
      </c>
      <c r="K9" s="17" t="s">
        <v>72</v>
      </c>
      <c r="L9" s="17" t="s">
        <v>41</v>
      </c>
      <c r="M9" s="17" t="s">
        <v>41</v>
      </c>
    </row>
    <row r="10" spans="1:13">
      <c r="A10" s="17" t="s">
        <v>39</v>
      </c>
      <c r="B10" s="17" t="s">
        <v>98</v>
      </c>
      <c r="C10" s="18" t="s">
        <v>100</v>
      </c>
      <c r="D10" s="19" t="s">
        <v>145</v>
      </c>
      <c r="E10" s="19" t="str">
        <f t="shared" si="0"/>
        <v>MONTO DISPUTADO EXPRESADO EN MONEDA ORIGEN</v>
      </c>
      <c r="F10" s="19" t="s">
        <v>146</v>
      </c>
      <c r="G10" s="17" t="s">
        <v>72</v>
      </c>
      <c r="H10" s="17" t="s">
        <v>144</v>
      </c>
      <c r="I10" s="28"/>
      <c r="J10" s="17" t="s">
        <v>41</v>
      </c>
      <c r="K10" s="17" t="s">
        <v>72</v>
      </c>
      <c r="L10" s="17" t="s">
        <v>41</v>
      </c>
      <c r="M10" s="17" t="s">
        <v>41</v>
      </c>
    </row>
    <row r="11" spans="1:13">
      <c r="A11" s="17" t="s">
        <v>39</v>
      </c>
      <c r="B11" s="17" t="s">
        <v>98</v>
      </c>
      <c r="C11" s="18" t="s">
        <v>100</v>
      </c>
      <c r="D11" s="25" t="s">
        <v>151</v>
      </c>
      <c r="E11" s="19" t="str">
        <f t="shared" ref="E11" si="1">UPPER(F11)</f>
        <v>PRIMEROS 9 DIGITOS DE LA TARJETA</v>
      </c>
      <c r="F11" s="19" t="s">
        <v>154</v>
      </c>
      <c r="G11" s="17" t="s">
        <v>72</v>
      </c>
      <c r="H11" s="17" t="s">
        <v>73</v>
      </c>
      <c r="I11" s="27"/>
      <c r="J11" s="17" t="s">
        <v>72</v>
      </c>
      <c r="K11" s="17" t="s">
        <v>72</v>
      </c>
      <c r="L11" s="17" t="s">
        <v>41</v>
      </c>
      <c r="M11" s="17" t="s">
        <v>41</v>
      </c>
    </row>
    <row r="12" spans="1:13">
      <c r="A12" s="17" t="s">
        <v>39</v>
      </c>
      <c r="B12" s="17" t="s">
        <v>98</v>
      </c>
      <c r="C12" s="18" t="s">
        <v>100</v>
      </c>
      <c r="D12" s="25" t="s">
        <v>150</v>
      </c>
      <c r="E12" s="19" t="str">
        <f t="shared" si="0"/>
        <v>NUMERO DE LA TARJETA DEL CLIENTE (ENMASCARADA)</v>
      </c>
      <c r="F12" s="19" t="s">
        <v>155</v>
      </c>
      <c r="G12" s="17" t="s">
        <v>72</v>
      </c>
      <c r="H12" s="17" t="s">
        <v>73</v>
      </c>
      <c r="I12" s="27"/>
      <c r="J12" s="17" t="s">
        <v>72</v>
      </c>
      <c r="K12" s="17" t="s">
        <v>72</v>
      </c>
      <c r="L12" s="17" t="s">
        <v>41</v>
      </c>
      <c r="M12" s="17" t="s">
        <v>41</v>
      </c>
    </row>
    <row r="13" spans="1:13">
      <c r="A13" s="17" t="s">
        <v>39</v>
      </c>
      <c r="B13" s="17" t="s">
        <v>98</v>
      </c>
      <c r="C13" s="18" t="s">
        <v>100</v>
      </c>
      <c r="D13" s="25" t="s">
        <v>153</v>
      </c>
      <c r="E13" s="19" t="str">
        <f t="shared" si="0"/>
        <v>PRIMEROS 9 DIGITOS DE LA TARJETA TOKENIZADA</v>
      </c>
      <c r="F13" s="19" t="s">
        <v>157</v>
      </c>
      <c r="G13" s="17" t="s">
        <v>72</v>
      </c>
      <c r="H13" s="17" t="s">
        <v>73</v>
      </c>
      <c r="I13" s="27"/>
      <c r="J13" s="17" t="s">
        <v>41</v>
      </c>
      <c r="K13" s="17" t="s">
        <v>72</v>
      </c>
      <c r="L13" s="17" t="s">
        <v>41</v>
      </c>
      <c r="M13" s="17" t="s">
        <v>41</v>
      </c>
    </row>
    <row r="14" spans="1:13">
      <c r="A14" s="17" t="s">
        <v>39</v>
      </c>
      <c r="B14" s="17" t="s">
        <v>98</v>
      </c>
      <c r="C14" s="18" t="s">
        <v>100</v>
      </c>
      <c r="D14" s="25" t="s">
        <v>152</v>
      </c>
      <c r="E14" s="19" t="str">
        <f t="shared" si="0"/>
        <v>NUMERO DE LA TARJETA TOKENIZADA DEL CLIENTE (ENMASCARADA)</v>
      </c>
      <c r="F14" s="19" t="s">
        <v>156</v>
      </c>
      <c r="G14" s="17" t="s">
        <v>72</v>
      </c>
      <c r="H14" s="17" t="s">
        <v>73</v>
      </c>
      <c r="I14" s="27"/>
      <c r="J14" s="17" t="s">
        <v>72</v>
      </c>
      <c r="K14" s="17" t="s">
        <v>72</v>
      </c>
      <c r="L14" s="17" t="s">
        <v>41</v>
      </c>
      <c r="M14" s="17" t="s">
        <v>41</v>
      </c>
    </row>
    <row r="15" spans="1:13">
      <c r="A15" s="17" t="s">
        <v>39</v>
      </c>
      <c r="B15" s="17" t="s">
        <v>98</v>
      </c>
      <c r="C15" s="18" t="s">
        <v>100</v>
      </c>
      <c r="D15" s="19" t="s">
        <v>124</v>
      </c>
      <c r="E15" s="19" t="str">
        <f t="shared" si="0"/>
        <v>ESTADO DEL CASO ASIGNADO POR LA ENTIDAD EMISORA.</v>
      </c>
      <c r="F15" s="19" t="s">
        <v>110</v>
      </c>
      <c r="G15" s="17" t="s">
        <v>41</v>
      </c>
      <c r="H15" s="17" t="s">
        <v>73</v>
      </c>
      <c r="I15" s="27"/>
      <c r="J15" s="17" t="s">
        <v>41</v>
      </c>
      <c r="K15" s="17" t="s">
        <v>72</v>
      </c>
      <c r="L15" s="17" t="s">
        <v>41</v>
      </c>
      <c r="M15" s="17" t="s">
        <v>41</v>
      </c>
    </row>
    <row r="16" spans="1:13">
      <c r="A16" s="17" t="s">
        <v>39</v>
      </c>
      <c r="B16" s="17" t="s">
        <v>98</v>
      </c>
      <c r="C16" s="18" t="s">
        <v>100</v>
      </c>
      <c r="D16" s="19" t="s">
        <v>131</v>
      </c>
      <c r="E16" s="19" t="str">
        <f t="shared" si="0"/>
        <v>NÚMERO ARN (ACQUIRER REFERENCE NUMBER) QUE IDENTIFICA LA TRANSACCIÓN (PRIMEROS 23 CARACTERES DEL ARN)</v>
      </c>
      <c r="F16" s="19" t="s">
        <v>133</v>
      </c>
      <c r="G16" s="17" t="s">
        <v>72</v>
      </c>
      <c r="H16" s="17" t="s">
        <v>73</v>
      </c>
      <c r="I16" s="28"/>
      <c r="J16" s="17" t="s">
        <v>41</v>
      </c>
      <c r="K16" s="17" t="s">
        <v>72</v>
      </c>
      <c r="L16" s="17" t="s">
        <v>41</v>
      </c>
      <c r="M16" s="17" t="s">
        <v>41</v>
      </c>
    </row>
    <row r="17" spans="1:13">
      <c r="A17" s="17" t="s">
        <v>39</v>
      </c>
      <c r="B17" s="17" t="s">
        <v>98</v>
      </c>
      <c r="C17" s="18" t="s">
        <v>100</v>
      </c>
      <c r="D17" s="19" t="s">
        <v>132</v>
      </c>
      <c r="E17" s="19" t="str">
        <f t="shared" si="0"/>
        <v>NÚMERO ARN (ACQUIRER REFERENCE NUMBER) QUE IDENTIFICA LA TRANSACCIÓN (ÚLTIMOS 12 CARACTERES DEL ARN)</v>
      </c>
      <c r="F17" s="19" t="s">
        <v>134</v>
      </c>
      <c r="G17" s="17" t="s">
        <v>72</v>
      </c>
      <c r="H17" s="17" t="s">
        <v>73</v>
      </c>
      <c r="I17" s="27"/>
      <c r="J17" s="17" t="s">
        <v>41</v>
      </c>
      <c r="K17" s="17" t="s">
        <v>72</v>
      </c>
      <c r="L17" s="17" t="s">
        <v>41</v>
      </c>
      <c r="M17" s="17" t="s">
        <v>41</v>
      </c>
    </row>
    <row r="18" spans="1:13">
      <c r="A18" s="17" t="s">
        <v>39</v>
      </c>
      <c r="B18" s="17" t="s">
        <v>98</v>
      </c>
      <c r="C18" s="18" t="s">
        <v>100</v>
      </c>
      <c r="D18" s="25" t="s">
        <v>125</v>
      </c>
      <c r="E18" s="19" t="str">
        <f t="shared" si="0"/>
        <v>USUARIO O AGENTE QUE ESTÁ GESTIONANDO EL CASO.</v>
      </c>
      <c r="F18" s="19" t="s">
        <v>111</v>
      </c>
      <c r="G18" s="17" t="s">
        <v>72</v>
      </c>
      <c r="H18" s="17" t="s">
        <v>149</v>
      </c>
      <c r="I18" s="27"/>
      <c r="J18" s="17" t="s">
        <v>41</v>
      </c>
      <c r="K18" s="17" t="s">
        <v>72</v>
      </c>
      <c r="L18" s="17" t="s">
        <v>41</v>
      </c>
      <c r="M18" s="17" t="s">
        <v>41</v>
      </c>
    </row>
    <row r="19" spans="1:13">
      <c r="A19" s="17" t="s">
        <v>39</v>
      </c>
      <c r="B19" s="17" t="s">
        <v>98</v>
      </c>
      <c r="C19" s="18" t="s">
        <v>100</v>
      </c>
      <c r="D19" s="19" t="s">
        <v>126</v>
      </c>
      <c r="E19" s="19" t="str">
        <f t="shared" si="0"/>
        <v>FECHA Y HORA DE LA ÚLTIMA ACCIÓN REGISTRADA EN EL CASO, EN HORARIO LOCAL.</v>
      </c>
      <c r="F19" s="19" t="s">
        <v>147</v>
      </c>
      <c r="G19" s="17" t="s">
        <v>41</v>
      </c>
      <c r="H19" s="17" t="s">
        <v>95</v>
      </c>
      <c r="I19" s="27"/>
      <c r="J19" s="17" t="s">
        <v>41</v>
      </c>
      <c r="K19" s="17" t="s">
        <v>72</v>
      </c>
      <c r="L19" s="17" t="s">
        <v>41</v>
      </c>
      <c r="M19" s="17" t="s">
        <v>41</v>
      </c>
    </row>
    <row r="20" spans="1:13">
      <c r="A20" s="17" t="s">
        <v>39</v>
      </c>
      <c r="B20" s="17" t="s">
        <v>98</v>
      </c>
      <c r="C20" s="18" t="s">
        <v>100</v>
      </c>
      <c r="D20" s="19" t="s">
        <v>135</v>
      </c>
      <c r="E20" s="19" t="str">
        <f t="shared" si="0"/>
        <v>NOMBRE DEL BANCO ADQUIRENTE (BID) QUE PROCESÓ LA TRANSACCIÓN.</v>
      </c>
      <c r="F20" s="19" t="s">
        <v>112</v>
      </c>
      <c r="G20" s="17" t="s">
        <v>41</v>
      </c>
      <c r="H20" s="17" t="s">
        <v>73</v>
      </c>
      <c r="I20" s="27"/>
      <c r="J20" s="17" t="s">
        <v>41</v>
      </c>
      <c r="K20" s="17" t="s">
        <v>72</v>
      </c>
      <c r="L20" s="17" t="s">
        <v>41</v>
      </c>
      <c r="M20" s="17" t="s">
        <v>41</v>
      </c>
    </row>
    <row r="21" spans="1:13">
      <c r="A21" s="17" t="s">
        <v>39</v>
      </c>
      <c r="B21" s="17" t="s">
        <v>98</v>
      </c>
      <c r="C21" s="18" t="s">
        <v>100</v>
      </c>
      <c r="D21" s="19" t="s">
        <v>127</v>
      </c>
      <c r="E21" s="19" t="str">
        <f t="shared" si="0"/>
        <v>CLASIFICACIÓN DEL CASO SEGÚN INDICADORES DE FRAUDE.</v>
      </c>
      <c r="F21" s="19" t="s">
        <v>113</v>
      </c>
      <c r="G21" s="17" t="s">
        <v>41</v>
      </c>
      <c r="H21" s="17" t="s">
        <v>73</v>
      </c>
      <c r="I21" s="27"/>
      <c r="J21" s="17" t="s">
        <v>41</v>
      </c>
      <c r="K21" s="17" t="s">
        <v>72</v>
      </c>
      <c r="L21" s="17" t="s">
        <v>41</v>
      </c>
      <c r="M21" s="17" t="s">
        <v>41</v>
      </c>
    </row>
    <row r="22" spans="1:13">
      <c r="A22" s="17" t="s">
        <v>39</v>
      </c>
      <c r="B22" s="17" t="s">
        <v>98</v>
      </c>
      <c r="C22" s="18" t="s">
        <v>100</v>
      </c>
      <c r="D22" s="19" t="s">
        <v>136</v>
      </c>
      <c r="E22" s="19" t="str">
        <f t="shared" si="0"/>
        <v>CÓDIGO MCC QUE REPRESENTA EL GIRO O ACTIVIDAD DEL COMERCIO.</v>
      </c>
      <c r="F22" s="19" t="s">
        <v>114</v>
      </c>
      <c r="G22" s="17" t="s">
        <v>41</v>
      </c>
      <c r="H22" s="17" t="s">
        <v>73</v>
      </c>
      <c r="I22" s="27"/>
      <c r="J22" s="17" t="s">
        <v>41</v>
      </c>
      <c r="K22" s="17" t="s">
        <v>72</v>
      </c>
      <c r="L22" s="17" t="s">
        <v>41</v>
      </c>
      <c r="M22" s="17" t="s">
        <v>72</v>
      </c>
    </row>
    <row r="23" spans="1:13">
      <c r="A23" s="17" t="s">
        <v>39</v>
      </c>
      <c r="B23" s="17" t="s">
        <v>98</v>
      </c>
      <c r="C23" s="18" t="s">
        <v>100</v>
      </c>
      <c r="D23" s="19" t="s">
        <v>137</v>
      </c>
      <c r="E23" s="19" t="str">
        <f t="shared" si="0"/>
        <v>INDICADOR SI LA TRANSACCIÓN FUE REALIZADA POR MOTO (MAIL ORDER/TELEPHONE ORDER).</v>
      </c>
      <c r="F23" s="19" t="s">
        <v>115</v>
      </c>
      <c r="G23" s="17" t="s">
        <v>41</v>
      </c>
      <c r="H23" s="17" t="s">
        <v>73</v>
      </c>
      <c r="I23" s="27"/>
      <c r="J23" s="17" t="s">
        <v>41</v>
      </c>
      <c r="K23" s="17" t="s">
        <v>72</v>
      </c>
      <c r="L23" s="17" t="s">
        <v>41</v>
      </c>
      <c r="M23" s="17" t="s">
        <v>41</v>
      </c>
    </row>
    <row r="24" spans="1:13">
      <c r="A24" s="17" t="s">
        <v>39</v>
      </c>
      <c r="B24" s="17" t="s">
        <v>98</v>
      </c>
      <c r="C24" s="18" t="s">
        <v>100</v>
      </c>
      <c r="D24" s="19" t="s">
        <v>138</v>
      </c>
      <c r="E24" s="19" t="str">
        <f t="shared" si="0"/>
        <v>NOMBRE DEL COMERCIO DONDE SE ORIGINÓ LA TRANSACCIÓN DISPUTADA.</v>
      </c>
      <c r="F24" s="19" t="s">
        <v>116</v>
      </c>
      <c r="G24" s="17" t="s">
        <v>41</v>
      </c>
      <c r="H24" s="17" t="s">
        <v>73</v>
      </c>
      <c r="I24" s="27"/>
      <c r="J24" s="17" t="s">
        <v>41</v>
      </c>
      <c r="K24" s="17" t="s">
        <v>72</v>
      </c>
      <c r="L24" s="17" t="s">
        <v>41</v>
      </c>
      <c r="M24" s="17" t="s">
        <v>41</v>
      </c>
    </row>
    <row r="25" spans="1:13">
      <c r="A25" s="17" t="s">
        <v>39</v>
      </c>
      <c r="B25" s="17" t="s">
        <v>98</v>
      </c>
      <c r="C25" s="18" t="s">
        <v>100</v>
      </c>
      <c r="D25" s="19" t="s">
        <v>139</v>
      </c>
      <c r="E25" s="19" t="str">
        <f t="shared" si="0"/>
        <v>IDENTIFICADOR DE RED EN LA QUE SE PROCESÓ LA TRANSACCIÓN.</v>
      </c>
      <c r="F25" s="19" t="s">
        <v>117</v>
      </c>
      <c r="G25" s="17" t="s">
        <v>41</v>
      </c>
      <c r="H25" s="17" t="s">
        <v>73</v>
      </c>
      <c r="I25" s="27"/>
      <c r="J25" s="17" t="s">
        <v>41</v>
      </c>
      <c r="K25" s="17" t="s">
        <v>72</v>
      </c>
      <c r="L25" s="17" t="s">
        <v>41</v>
      </c>
      <c r="M25" s="17" t="s">
        <v>41</v>
      </c>
    </row>
    <row r="26" spans="1:13">
      <c r="A26" s="17" t="s">
        <v>39</v>
      </c>
      <c r="B26" s="17" t="s">
        <v>98</v>
      </c>
      <c r="C26" s="18" t="s">
        <v>100</v>
      </c>
      <c r="D26" s="19" t="s">
        <v>140</v>
      </c>
      <c r="E26" s="19" t="str">
        <f t="shared" si="0"/>
        <v>CÓDIGO DE JURISDICCIÓN DE LA TRANSACCIÓN.</v>
      </c>
      <c r="F26" s="19" t="s">
        <v>118</v>
      </c>
      <c r="G26" s="17" t="s">
        <v>41</v>
      </c>
      <c r="H26" s="17" t="s">
        <v>73</v>
      </c>
      <c r="I26" s="27"/>
      <c r="J26" s="17" t="s">
        <v>41</v>
      </c>
      <c r="K26" s="17" t="s">
        <v>72</v>
      </c>
      <c r="L26" s="17" t="s">
        <v>41</v>
      </c>
      <c r="M26" s="17" t="s">
        <v>41</v>
      </c>
    </row>
    <row r="27" spans="1:13">
      <c r="A27" s="17" t="s">
        <v>39</v>
      </c>
      <c r="B27" s="17" t="s">
        <v>98</v>
      </c>
      <c r="C27" s="18" t="s">
        <v>100</v>
      </c>
      <c r="D27" s="19" t="s">
        <v>128</v>
      </c>
      <c r="E27" s="19" t="str">
        <f t="shared" si="0"/>
        <v>INDICADOR DE SI LA TRANSACCIÓN FUE INTERNACIONAL, LOCAL U OTRO.</v>
      </c>
      <c r="F27" s="19" t="s">
        <v>119</v>
      </c>
      <c r="G27" s="17" t="s">
        <v>41</v>
      </c>
      <c r="H27" s="17" t="s">
        <v>73</v>
      </c>
      <c r="I27" s="27"/>
      <c r="J27" s="17" t="s">
        <v>41</v>
      </c>
      <c r="K27" s="17" t="s">
        <v>72</v>
      </c>
      <c r="L27" s="17" t="s">
        <v>41</v>
      </c>
      <c r="M27" s="17" t="s">
        <v>72</v>
      </c>
    </row>
    <row r="28" spans="1:13">
      <c r="A28" s="17" t="s">
        <v>39</v>
      </c>
      <c r="B28" s="17" t="s">
        <v>98</v>
      </c>
      <c r="C28" s="18" t="s">
        <v>100</v>
      </c>
      <c r="D28" s="19" t="s">
        <v>141</v>
      </c>
      <c r="E28" s="19" t="str">
        <f t="shared" si="0"/>
        <v>FECHA DE EXPIRACIÓN DEL REGLAMENTO E/REG Z APLICABLE AL CASO.</v>
      </c>
      <c r="F28" s="19" t="s">
        <v>120</v>
      </c>
      <c r="G28" s="17" t="s">
        <v>41</v>
      </c>
      <c r="H28" s="17" t="s">
        <v>71</v>
      </c>
      <c r="I28" s="27"/>
      <c r="J28" s="17" t="s">
        <v>41</v>
      </c>
      <c r="K28" s="17" t="s">
        <v>72</v>
      </c>
      <c r="L28" s="17" t="s">
        <v>41</v>
      </c>
      <c r="M28" s="17" t="s">
        <v>41</v>
      </c>
    </row>
    <row r="29" spans="1:13">
      <c r="A29" s="17" t="s">
        <v>39</v>
      </c>
      <c r="B29" s="17" t="s">
        <v>98</v>
      </c>
      <c r="C29" s="18" t="s">
        <v>100</v>
      </c>
      <c r="D29" s="19" t="s">
        <v>76</v>
      </c>
      <c r="E29" s="19" t="str">
        <f t="shared" ref="E29:E31" si="2">UPPER(F29)</f>
        <v>DATO DE AUDITORÍA: DESCRIPCIÓN DEL APLICATIVO ORIGEN DE LOS DATOS.</v>
      </c>
      <c r="F29" s="19" t="s">
        <v>77</v>
      </c>
      <c r="G29" s="17" t="s">
        <v>41</v>
      </c>
      <c r="H29" s="17" t="s">
        <v>73</v>
      </c>
      <c r="I29" s="27" t="s">
        <v>78</v>
      </c>
      <c r="J29" s="17" t="s">
        <v>41</v>
      </c>
      <c r="K29" s="17" t="s">
        <v>41</v>
      </c>
      <c r="L29" s="17" t="s">
        <v>41</v>
      </c>
      <c r="M29" s="17" t="s">
        <v>41</v>
      </c>
    </row>
    <row r="30" spans="1:13">
      <c r="A30" s="17" t="s">
        <v>39</v>
      </c>
      <c r="B30" s="17" t="s">
        <v>98</v>
      </c>
      <c r="C30" s="18" t="s">
        <v>100</v>
      </c>
      <c r="D30" s="19" t="s">
        <v>79</v>
      </c>
      <c r="E30" s="19" t="str">
        <f t="shared" si="2"/>
        <v>FECHA Y HORA DE INSERCIÓN DEL REGISTRO EN EL MODELO</v>
      </c>
      <c r="F30" s="19" t="s">
        <v>80</v>
      </c>
      <c r="G30" s="17" t="s">
        <v>41</v>
      </c>
      <c r="H30" s="17" t="s">
        <v>95</v>
      </c>
      <c r="I30" s="27" t="s">
        <v>142</v>
      </c>
      <c r="J30" s="17" t="s">
        <v>41</v>
      </c>
      <c r="K30" s="17" t="s">
        <v>41</v>
      </c>
      <c r="L30" s="17" t="s">
        <v>41</v>
      </c>
      <c r="M30" s="17" t="s">
        <v>41</v>
      </c>
    </row>
    <row r="31" spans="1:13">
      <c r="A31" s="17" t="s">
        <v>39</v>
      </c>
      <c r="B31" s="17" t="s">
        <v>98</v>
      </c>
      <c r="C31" s="18" t="s">
        <v>100</v>
      </c>
      <c r="D31" s="19" t="s">
        <v>81</v>
      </c>
      <c r="E31" s="19" t="str">
        <f t="shared" si="2"/>
        <v>USUARIO QUE CREA EL REGISTRO EN LA BD</v>
      </c>
      <c r="F31" s="19" t="s">
        <v>82</v>
      </c>
      <c r="G31" s="17" t="s">
        <v>41</v>
      </c>
      <c r="H31" s="17" t="s">
        <v>73</v>
      </c>
      <c r="I31" s="27" t="s">
        <v>83</v>
      </c>
      <c r="J31" s="17" t="s">
        <v>41</v>
      </c>
      <c r="K31" s="17" t="s">
        <v>41</v>
      </c>
      <c r="L31" s="17" t="s">
        <v>41</v>
      </c>
      <c r="M31" s="17" t="s">
        <v>41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2.xml><?xml version="1.0" encoding="utf-8"?>
<ds:datastoreItem xmlns:ds="http://schemas.openxmlformats.org/officeDocument/2006/customXml" ds:itemID="{C328D7AA-3E3A-47C1-B98D-E597F1220F2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B7F921-B723-4C15-9B1B-F767409F20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 Sensibles</vt:lpstr>
      <vt:lpstr>Estructuras del Modelo</vt:lpstr>
      <vt:lpstr>t_contracargo_visa_rol1100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Juan Sara</cp:lastModifiedBy>
  <dcterms:created xsi:type="dcterms:W3CDTF">2015-06-05T18:19:34Z</dcterms:created>
  <dcterms:modified xsi:type="dcterms:W3CDTF">2026-06-18T14:49:31Z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