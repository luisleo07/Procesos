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08 Fraude Consolidado/Capa Master/"/>
    </mc:Choice>
  </mc:AlternateContent>
  <xr:revisionPtr revIDLastSave="398" documentId="8_{1DCF88E8-8811-44D0-8773-D3AB89B02E57}" xr6:coauthVersionLast="47" xr6:coauthVersionMax="47" xr10:uidLastSave="{BF0F7FB0-1540-4308-A48B-FD190C46C738}"/>
  <bookViews>
    <workbookView xWindow="-110" yWindow="-110" windowWidth="19420" windowHeight="11500" activeTab="2" xr2:uid="{00000000-000D-0000-FFFF-FFFF00000000}"/>
  </bookViews>
  <sheets>
    <sheet name="Datos Sensibles" sheetId="4" r:id="rId1"/>
    <sheet name="Estructuras del Modelo" sheetId="1" r:id="rId2"/>
    <sheet name="m_consolidacion_fraude" sheetId="2" r:id="rId3"/>
  </sheets>
  <functionGroups builtInGroupCount="19"/>
  <definedNames>
    <definedName name="_xleta.AND" hidden="1" xlm="1">#NAME?</definedName>
    <definedName name="_xleta.TYP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9" i="2" l="1"/>
  <c r="E15" i="2"/>
  <c r="E14" i="2"/>
  <c r="E13" i="2"/>
  <c r="E16" i="2"/>
  <c r="E12" i="2"/>
  <c r="E11" i="2"/>
  <c r="E3" i="2"/>
  <c r="E4" i="2"/>
  <c r="E10" i="2"/>
  <c r="E9" i="2"/>
  <c r="E8" i="2"/>
  <c r="E5" i="2"/>
  <c r="E6" i="2"/>
  <c r="E20" i="2"/>
  <c r="E21" i="2"/>
</calcChain>
</file>

<file path=xl/sharedStrings.xml><?xml version="1.0" encoding="utf-8"?>
<sst xmlns="http://schemas.openxmlformats.org/spreadsheetml/2006/main" count="317" uniqueCount="140">
  <si>
    <t>Organization</t>
  </si>
  <si>
    <t>Business Domain</t>
  </si>
  <si>
    <t>Business Sub Domain</t>
  </si>
  <si>
    <t>Technical Domain</t>
  </si>
  <si>
    <t>Technical Sub Domain</t>
  </si>
  <si>
    <t>Project</t>
  </si>
  <si>
    <t>Dataset</t>
  </si>
  <si>
    <t>Table</t>
  </si>
  <si>
    <t>Description</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</si>
  <si>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</si>
  <si>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</si>
  <si>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</si>
  <si>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</si>
  <si>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</si>
  <si>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</si>
  <si>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</si>
  <si>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</si>
  <si>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</si>
  <si>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</si>
  <si>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</si>
  <si>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</si>
  <si>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</si>
  <si>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</si>
  <si>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</si>
  <si>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</si>
  <si>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</si>
  <si>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</si>
  <si>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</si>
  <si>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</si>
  <si>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</si>
  <si>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</si>
  <si>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</si>
  <si>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</si>
  <si>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</si>
  <si>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</si>
  <si>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</si>
  <si>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</si>
  <si>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</si>
  <si>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prd-izipay-data-storage-pv</t>
  </si>
  <si>
    <t>N</t>
  </si>
  <si>
    <t>prod</t>
  </si>
  <si>
    <t>Master</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</si>
  <si>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</si>
  <si>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</si>
  <si>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</si>
  <si>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</si>
  <si>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</si>
  <si>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Column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</si>
  <si>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</si>
  <si>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</si>
  <si>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</si>
  <si>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</si>
  <si>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</si>
  <si>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</si>
  <si>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</si>
  <si>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</si>
  <si>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</si>
  <si>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</si>
  <si>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</si>
  <si>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</si>
  <si>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</si>
  <si>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</si>
  <si>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</si>
  <si>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</si>
  <si>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</si>
  <si>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</si>
  <si>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</si>
  <si>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process_date</t>
  </si>
  <si>
    <t>Fecha de foto/datos configurada en el ETL para la extracción de datos, corresponde a aperturas de comercios hasta el cierre del día anterior</t>
  </si>
  <si>
    <t>DATE</t>
  </si>
  <si>
    <t>Y</t>
  </si>
  <si>
    <t>STRING</t>
  </si>
  <si>
    <t>cod_comercio</t>
  </si>
  <si>
    <t>Código que se utiliza para identificar cada comercio</t>
  </si>
  <si>
    <t>load_date</t>
  </si>
  <si>
    <t>Fecha y hora de inserción del registro en el modelo</t>
  </si>
  <si>
    <t>creation_user</t>
  </si>
  <si>
    <t>Usuario que crea el registro en la BD</t>
  </si>
  <si>
    <t>prd-data-operation-migration@prd-izipay-data-operation.iam.gserviceaccount.com</t>
  </si>
  <si>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</si>
  <si>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</si>
  <si>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</si>
  <si>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</si>
  <si>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</si>
  <si>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</si>
  <si>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Zona (Raw, Master, BI)</t>
  </si>
  <si>
    <t>2025-07-04T03:07:39.145385</t>
  </si>
  <si>
    <t>master_risk</t>
  </si>
  <si>
    <t>Riesgos</t>
  </si>
  <si>
    <t>fecha_trx</t>
  </si>
  <si>
    <t>canal</t>
  </si>
  <si>
    <t xml:space="preserve">NOMBRE DEL COMERCIO </t>
  </si>
  <si>
    <t>Fecha en la que se dio la transacción</t>
  </si>
  <si>
    <t>Hora en que se identifico una transaccion fraudulenta en monitor</t>
  </si>
  <si>
    <t>Codigo de autorización de la transacción</t>
  </si>
  <si>
    <t>Nombre del comercio donde se realizo la transacción</t>
  </si>
  <si>
    <t xml:space="preserve">EBN*SERVICIOS DIGITALES       </t>
  </si>
  <si>
    <t>Monto de la transacción convertido a soles.</t>
  </si>
  <si>
    <t>FLOAT64</t>
  </si>
  <si>
    <t>Código de la forma en que se ingresaron los datos de la tarjeta</t>
  </si>
  <si>
    <t>03458Q</t>
  </si>
  <si>
    <t>FECHA EN QUE SE IDENTIFICO UNA TRANSACCION FRAUDULENTA EN MONITOR</t>
  </si>
  <si>
    <t>NUMERO DE TRANSACCIONES REALIZADAS</t>
  </si>
  <si>
    <t>Numero de transacciones realizadas</t>
  </si>
  <si>
    <t>Fecha en la que se identifico una transaccion fraudulenta en monitor</t>
  </si>
  <si>
    <t>hora_trx_fraude_monitor</t>
  </si>
  <si>
    <t>fecha_trx_fraude_monitor</t>
  </si>
  <si>
    <t>Número de tarjeta enmascarado o tokenizado según estándar interno</t>
  </si>
  <si>
    <t>Identificador de la tarjeta en formato hash</t>
  </si>
  <si>
    <t>Tener un consolidado de todos los fraudes que se identifican desde tc40, asbanc, safe y monitor</t>
  </si>
  <si>
    <t>33ec704d6b387c4e7d3efcc21a413cd446c1bfacd11f5183716fc766c4384181</t>
  </si>
  <si>
    <t>4532981****67890</t>
  </si>
  <si>
    <t>cod_autorizacion</t>
  </si>
  <si>
    <t>condicion_pto_venta</t>
  </si>
  <si>
    <t>Condicion de punto de venta</t>
  </si>
  <si>
    <t>Código del tipo o categoría de fraude</t>
  </si>
  <si>
    <t>Fuente desde donde se detecto dicho fraude</t>
  </si>
  <si>
    <t>Asbanc, Safe, TC40, Monitor</t>
  </si>
  <si>
    <t>6, 4, 0, 2</t>
  </si>
  <si>
    <t>Canal a través del cual se realizó la transacción.</t>
  </si>
  <si>
    <t>POS</t>
  </si>
  <si>
    <t>Identificador o dirección IP del terminal.</t>
  </si>
  <si>
    <t>CD870977</t>
  </si>
  <si>
    <t>mc2301@izipay.pe</t>
  </si>
  <si>
    <t>record_source</t>
  </si>
  <si>
    <t>tarjeta_hash</t>
  </si>
  <si>
    <t>nom_comercio</t>
  </si>
  <si>
    <t>cod_metodo_ingreso</t>
  </si>
  <si>
    <t>mto_trx_pen</t>
  </si>
  <si>
    <t>tarjeta_enmascarada</t>
  </si>
  <si>
    <t>cod_tipo_fraude</t>
  </si>
  <si>
    <t>ident_terminal</t>
  </si>
  <si>
    <t>cant_trx</t>
  </si>
  <si>
    <t>Diario</t>
  </si>
  <si>
    <t>Incremental</t>
  </si>
  <si>
    <t>TIMESTAMP</t>
  </si>
  <si>
    <t>m_consolidacion_fraude</t>
  </si>
  <si>
    <t>Fraudes</t>
  </si>
  <si>
    <t>Fraude</t>
  </si>
  <si>
    <t>Izipay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</si>
</sst>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15">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12"/>
      <color rgb="FFFFFFFF"/>
      <name val="Calibri"/>
      <family val="2"/>
      <scheme val="minor"/>
    </font>
    <font>
      <sz val="12"/>
      <color rgb="FFFFFFFF"/>
      <name val="Calibri"/>
      <family val="2"/>
      <scheme val="minor"/>
    </font>
    <font>
      <b/>
      <sz val="12"/>
      <color theme="1"/>
      <name val="Calibri"/>
      <family val="2"/>
      <scheme val="minor"/>
    </font>
    <font>
      <sz val="11"/>
      <color rgb="FF222222"/>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sz val="10"/>
      <color theme="1"/>
      <name val="Arial"/>
      <family val="2"/>
    </font>
    <font>
      <sz val="12"/>
      <color theme="1"/>
      <name val="Calibri"/>
      <family val="2"/>
      <scheme val="minor"/>
    </font>
  </fonts>
  <fills count="5">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FF"/>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5" fillId="0" borderId="0" applyNumberFormat="0" applyFill="0" applyBorder="0" applyAlignment="0" applyProtection="0"/>
  </cellStyleXfs>
  <cellXfs count="35">
    <xf numFmtId="0" fontId="0" fillId="0" borderId="0" xfId="0"/>
    <xf numFmtId="0" fontId="0" fillId="0" borderId="0" xfId="0" applyAlignment="1">
      <alignment wrapText="1"/>
    </xf>
    <xf numFmtId="0" fontId="1" fillId="0" borderId="0" xfId="0" applyFont="1" applyAlignment="1">
      <alignment wrapText="1"/>
    </xf>
    <xf numFmtId="0" fontId="0" fillId="0" borderId="0" xfId="0" applyAlignment="1">
      <alignment vertical="center"/>
    </xf>
    <xf numFmtId="0" fontId="0" fillId="0" borderId="0" xfId="0" applyAlignment="1">
      <alignment vertical="center" wrapText="1"/>
    </xf>
    <xf numFmtId="0" fontId="0" fillId="0" borderId="1" xfId="0" applyBorder="1" applyAlignment="1">
      <alignment horizontal="center" wrapText="1"/>
    </xf>
    <xf numFmtId="0" fontId="5" fillId="0" borderId="1" xfId="1" applyBorder="1" applyAlignment="1">
      <alignment wrapText="1"/>
    </xf>
    <xf numFmtId="0" fontId="0" fillId="0" borderId="1" xfId="0" applyBorder="1"/>
    <xf numFmtId="0" fontId="0" fillId="0" borderId="1" xfId="0" applyBorder="1" applyAlignment="1">
      <alignment wrapText="1"/>
    </xf>
    <xf numFmtId="0" fontId="10" fillId="0" borderId="0" xfId="0" applyFont="1" applyAlignment="1">
      <alignment vertical="center"/>
    </xf>
    <xf numFmtId="0" fontId="2" fillId="2" borderId="1" xfId="0" applyFont="1" applyFill="1" applyBorder="1" applyAlignment="1">
      <alignment horizontal="center" vertical="center" wrapText="1"/>
    </xf>
    <xf numFmtId="0" fontId="0" fillId="0" borderId="1" xfId="0" applyBorder="1" applyAlignment="1">
      <alignment horizontal="right" wrapText="1"/>
    </xf>
    <xf numFmtId="0" fontId="0" fillId="4" borderId="1" xfId="0" applyFill="1" applyBorder="1" applyAlignment="1">
      <alignment vertical="top" wrapText="1"/>
    </xf>
    <xf numFmtId="0" fontId="13" fillId="4" borderId="1" xfId="0" applyFont="1" applyFill="1" applyBorder="1" applyAlignment="1">
      <alignment horizontal="center" vertical="center" wrapText="1"/>
    </xf>
    <xf numFmtId="0" fontId="0" fillId="4" borderId="1" xfId="0" applyFill="1" applyBorder="1" applyAlignment="1">
      <alignment wrapText="1"/>
    </xf>
    <xf numFmtId="0" fontId="2" fillId="2" borderId="1" xfId="0" applyFont="1" applyFill="1" applyBorder="1" applyAlignment="1">
      <alignment horizontal="center" wrapText="1"/>
    </xf>
    <xf numFmtId="0" fontId="3" fillId="2" borderId="1" xfId="0" applyFont="1" applyFill="1" applyBorder="1" applyAlignment="1">
      <alignment horizont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1" xfId="0" applyFill="1" applyBorder="1" applyAlignment="1">
      <alignment vertical="center" wrapText="1"/>
    </xf>
    <xf numFmtId="0" fontId="6"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0" fillId="0" borderId="1" xfId="0" applyBorder="1" applyAlignment="1">
      <alignment horizontal="center" vertical="center"/>
    </xf>
    <xf numFmtId="0" fontId="9" fillId="0" borderId="1" xfId="0" applyFont="1" applyBorder="1" applyAlignment="1">
      <alignment horizontal="center" vertical="center"/>
    </xf>
    <xf numFmtId="0" fontId="0" fillId="0" borderId="1" xfId="0" applyBorder="1" applyAlignment="1">
      <alignment vertical="center"/>
    </xf>
    <xf numFmtId="14" fontId="0" fillId="0" borderId="1" xfId="0" applyNumberFormat="1" applyBorder="1" applyAlignment="1">
      <alignment vertical="center"/>
    </xf>
    <xf numFmtId="0" fontId="5" fillId="0" borderId="1" xfId="1" applyBorder="1" applyAlignment="1">
      <alignment vertical="center"/>
    </xf>
    <xf numFmtId="164" fontId="0" fillId="0" borderId="1" xfId="0" applyNumberFormat="1" applyBorder="1" applyAlignment="1">
      <alignment horizontal="left"/>
    </xf>
    <xf numFmtId="21" fontId="0" fillId="0" borderId="1" xfId="0" applyNumberFormat="1" applyBorder="1" applyAlignment="1">
      <alignment horizontal="left"/>
    </xf>
    <xf numFmtId="0" fontId="0" fillId="0" borderId="1" xfId="0" applyBorder="1" applyAlignment="1">
      <alignment horizontal="left"/>
    </xf>
    <xf numFmtId="0" fontId="0" fillId="0" borderId="1" xfId="0" applyBorder="1" applyAlignment="1">
      <alignment horizontal="left" vertical="center"/>
    </xf>
    <xf numFmtId="0" fontId="0" fillId="0" borderId="2" xfId="0" applyBorder="1" applyAlignment="1">
      <alignment horizontal="center" vertical="center"/>
    </xf>
    <xf numFmtId="0" fontId="14" fillId="0" borderId="1" xfId="0" applyFont="1" applyBorder="1"/>
    <xf numFmtId="0" fontId="11" fillId="0" borderId="0" xfId="0" applyFont="1" applyAlignment="1">
      <alignment vertical="center"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hyperlink" Target="mailto:mc2301@izipay.pe"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mailto:prd-data-operation-migration@prd-izipay-data-operation.iam.gserviceaccoun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sheetPr codeName="Hoja4"/>
  <dimension ref="A1:G22"/>
  <sheetViews>
    <sheetView showGridLines="0" topLeftCell="A2" workbookViewId="0">
      <selection activeCell="C11" sqref="C11"/>
    </sheetView>
  </sheetViews>
  <sheetFormatPr baseColWidth="10" defaultRowHeight="14.5"/>
  <cols>
    <col min="1" max="1" width="7.1796875" customWidth="1"/>
    <col min="2" max="5" width="23.1796875" customWidth="1"/>
    <col min="6" max="6" width="27.81640625" customWidth="1"/>
    <col min="7" max="7" width="23.1796875" customWidth="1"/>
  </cols>
  <sheetData>
    <row r="1" spans="1:7">
      <c r="A1" s="1"/>
      <c r="B1" s="1"/>
      <c r="C1" s="1"/>
      <c r="D1" s="1"/>
      <c r="E1" s="1"/>
      <c r="F1" s="1"/>
      <c r="G1" s="1"/>
    </row>
    <row r="2" spans="1:7" ht="29.5">
      <c r="A2" s="9" t="s">
        <v>79</v>
      </c>
      <c r="B2" s="1"/>
      <c r="C2" s="1"/>
      <c r="D2" s="1"/>
      <c r="E2" s="1"/>
      <c r="F2" s="1"/>
      <c r="G2" s="1"/>
    </row>
    <row r="3" spans="1:7" s="1" customFormat="1" ht="66" customHeight="1">
      <c r="A3" s="34" t="s">
        <v>80</v>
      </c>
      <c r="B3" s="34"/>
      <c r="C3" s="34"/>
      <c r="D3" s="34"/>
      <c r="E3" s="34"/>
      <c r="F3" s="34"/>
      <c r="G3" s="34"/>
    </row>
    <row r="4" spans="1:7">
      <c r="A4" s="1"/>
      <c r="B4" s="1"/>
      <c r="C4" s="1"/>
      <c r="D4" s="1"/>
      <c r="E4" s="1"/>
      <c r="F4" s="1"/>
      <c r="G4" s="1"/>
    </row>
    <row r="5" spans="1:7">
      <c r="A5" s="10" t="s">
        <v>81</v>
      </c>
      <c r="B5" s="10" t="s">
        <v>82</v>
      </c>
      <c r="C5" s="10" t="s">
        <v>83</v>
      </c>
      <c r="D5" s="10" t="s">
        <v>84</v>
      </c>
      <c r="E5" s="10" t="s">
        <v>7</v>
      </c>
      <c r="F5" s="10" t="s">
        <v>47</v>
      </c>
      <c r="G5" s="10" t="s">
        <v>8</v>
      </c>
    </row>
    <row r="6" spans="1:7">
      <c r="A6" s="11"/>
      <c r="B6" s="8"/>
      <c r="C6" s="8"/>
      <c r="D6" s="8"/>
      <c r="E6" s="8"/>
      <c r="F6" s="12"/>
      <c r="G6" s="13"/>
    </row>
    <row r="7" spans="1:7">
      <c r="A7" s="11"/>
      <c r="B7" s="8"/>
      <c r="C7" s="8"/>
      <c r="D7" s="8"/>
      <c r="E7" s="8"/>
      <c r="F7" s="12"/>
      <c r="G7" s="13"/>
    </row>
    <row r="8" spans="1:7">
      <c r="A8" s="11"/>
      <c r="B8" s="8"/>
      <c r="C8" s="8"/>
      <c r="D8" s="8"/>
      <c r="E8" s="8"/>
      <c r="F8" s="12"/>
      <c r="G8" s="13"/>
    </row>
    <row r="9" spans="1:7">
      <c r="A9" s="11"/>
      <c r="B9" s="8"/>
      <c r="C9" s="8"/>
      <c r="D9" s="8"/>
      <c r="E9" s="8"/>
      <c r="F9" s="12"/>
      <c r="G9" s="13"/>
    </row>
    <row r="10" spans="1:7">
      <c r="A10" s="11"/>
      <c r="B10" s="8"/>
      <c r="C10" s="8"/>
      <c r="D10" s="8"/>
      <c r="E10" s="8"/>
      <c r="F10" s="12"/>
      <c r="G10" s="13"/>
    </row>
    <row r="11" spans="1:7">
      <c r="A11" s="11"/>
      <c r="B11" s="8"/>
      <c r="C11" s="8"/>
      <c r="D11" s="8"/>
      <c r="E11" s="8"/>
      <c r="F11" s="12"/>
      <c r="G11" s="13"/>
    </row>
    <row r="12" spans="1:7">
      <c r="A12" s="11"/>
      <c r="B12" s="8"/>
      <c r="C12" s="8"/>
      <c r="D12" s="8"/>
      <c r="E12" s="8"/>
      <c r="F12" s="14"/>
      <c r="G12" s="13"/>
    </row>
    <row r="13" spans="1:7">
      <c r="A13" s="11"/>
      <c r="B13" s="8"/>
      <c r="C13" s="8"/>
      <c r="D13" s="8"/>
      <c r="E13" s="8"/>
      <c r="F13" s="14"/>
      <c r="G13" s="13"/>
    </row>
    <row r="14" spans="1:7">
      <c r="A14" s="11"/>
      <c r="B14" s="8"/>
      <c r="C14" s="8"/>
      <c r="D14" s="8"/>
      <c r="E14" s="8"/>
      <c r="F14" s="14"/>
      <c r="G14" s="13"/>
    </row>
    <row r="15" spans="1:7">
      <c r="A15" s="11"/>
      <c r="B15" s="8"/>
      <c r="C15" s="8"/>
      <c r="D15" s="8"/>
      <c r="E15" s="8"/>
      <c r="F15" s="14"/>
      <c r="G15" s="13"/>
    </row>
    <row r="16" spans="1:7">
      <c r="A16" s="11"/>
      <c r="B16" s="8"/>
      <c r="C16" s="8"/>
      <c r="D16" s="8"/>
      <c r="E16" s="8"/>
      <c r="F16" s="14"/>
      <c r="G16" s="13"/>
    </row>
    <row r="17" spans="1:7">
      <c r="A17" s="11"/>
      <c r="B17" s="8"/>
      <c r="C17" s="8"/>
      <c r="D17" s="8"/>
      <c r="E17" s="8"/>
      <c r="F17" s="14"/>
      <c r="G17" s="13"/>
    </row>
    <row r="18" spans="1:7">
      <c r="A18" s="11"/>
      <c r="B18" s="8"/>
      <c r="C18" s="8"/>
      <c r="D18" s="8"/>
      <c r="E18" s="8"/>
      <c r="F18" s="14"/>
      <c r="G18" s="13"/>
    </row>
    <row r="19" spans="1:7">
      <c r="A19" s="11"/>
      <c r="B19" s="8"/>
      <c r="C19" s="8"/>
      <c r="D19" s="8"/>
      <c r="E19" s="8"/>
      <c r="F19" s="14"/>
      <c r="G19" s="13"/>
    </row>
    <row r="20" spans="1:7">
      <c r="A20" s="11"/>
      <c r="B20" s="8"/>
      <c r="C20" s="8"/>
      <c r="D20" s="8"/>
      <c r="E20" s="8"/>
      <c r="F20" s="14"/>
      <c r="G20" s="13"/>
    </row>
    <row r="21" spans="1:7">
      <c r="A21" s="1"/>
      <c r="B21" s="1"/>
      <c r="C21" s="1"/>
      <c r="D21" s="1"/>
      <c r="E21" s="1"/>
      <c r="F21" s="1"/>
      <c r="G21" s="1"/>
    </row>
    <row r="22" spans="1:7">
      <c r="A22" s="1"/>
      <c r="B22" s="1"/>
      <c r="C22" s="1"/>
      <c r="D22" s="1"/>
      <c r="E22" s="1"/>
      <c r="F22" s="1"/>
      <c r="G22" s="1"/>
    </row>
  </sheetData>
  <mergeCells count="1">
    <mergeCell ref="A3:G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0"/>
  <sheetViews>
    <sheetView showGridLines="0" topLeftCell="P1" workbookViewId="0">
      <selection activeCell="C4" sqref="C4"/>
    </sheetView>
  </sheetViews>
  <sheetFormatPr baseColWidth="10" defaultColWidth="9.1796875" defaultRowHeight="14.5"/>
  <cols>
    <col min="1" max="8" width="33.1796875" customWidth="1"/>
    <col min="9" max="9" width="41.6328125" customWidth="1"/>
    <col min="10" max="20" width="33.1796875" customWidth="1"/>
  </cols>
  <sheetData>
    <row r="1" spans="1:20">
      <c r="A1" s="15" t="s">
        <v>0</v>
      </c>
      <c r="B1" s="15" t="s">
        <v>1</v>
      </c>
      <c r="C1" s="15" t="s">
        <v>2</v>
      </c>
      <c r="D1" s="15" t="s">
        <v>3</v>
      </c>
      <c r="E1" s="15" t="s">
        <v>4</v>
      </c>
      <c r="F1" s="16" t="s">
        <v>5</v>
      </c>
      <c r="G1" s="15" t="s">
        <v>6</v>
      </c>
      <c r="H1" s="15" t="s">
        <v>7</v>
      </c>
      <c r="I1" s="15" t="s">
        <v>8</v>
      </c>
      <c r="J1" s="15" t="s">
        <v>9</v>
      </c>
      <c r="K1" s="15" t="s">
        <v>10</v>
      </c>
      <c r="L1" s="15" t="s">
        <v>11</v>
      </c>
      <c r="M1" s="15" t="s">
        <v>12</v>
      </c>
      <c r="N1" s="15" t="s">
        <v>13</v>
      </c>
      <c r="O1" s="15" t="s">
        <v>14</v>
      </c>
      <c r="P1" s="15" t="s">
        <v>15</v>
      </c>
      <c r="Q1" s="15" t="s">
        <v>16</v>
      </c>
      <c r="R1" s="15" t="s">
        <v>17</v>
      </c>
      <c r="S1" s="15" t="s">
        <v>18</v>
      </c>
      <c r="T1" s="15" t="s">
        <v>19</v>
      </c>
    </row>
    <row r="2" spans="1:20" ht="42">
      <c r="A2" s="17" t="s">
        <v>20</v>
      </c>
      <c r="B2" s="17" t="s">
        <v>21</v>
      </c>
      <c r="C2" s="17" t="s">
        <v>22</v>
      </c>
      <c r="D2" s="17" t="s">
        <v>23</v>
      </c>
      <c r="E2" s="17" t="s">
        <v>24</v>
      </c>
      <c r="F2" s="17" t="s">
        <v>25</v>
      </c>
      <c r="G2" s="17" t="s">
        <v>26</v>
      </c>
      <c r="H2" s="17" t="s">
        <v>27</v>
      </c>
      <c r="I2" s="17" t="s">
        <v>28</v>
      </c>
      <c r="J2" s="18" t="s">
        <v>29</v>
      </c>
      <c r="K2" s="18" t="s">
        <v>30</v>
      </c>
      <c r="L2" s="19"/>
      <c r="M2" s="17" t="s">
        <v>31</v>
      </c>
      <c r="N2" s="17" t="s">
        <v>32</v>
      </c>
      <c r="O2" s="17" t="s">
        <v>33</v>
      </c>
      <c r="P2" s="17" t="s">
        <v>85</v>
      </c>
      <c r="Q2" s="17" t="s">
        <v>34</v>
      </c>
      <c r="R2" s="17" t="s">
        <v>35</v>
      </c>
      <c r="S2" s="17" t="s">
        <v>36</v>
      </c>
      <c r="T2" s="17" t="s">
        <v>37</v>
      </c>
    </row>
    <row r="3" spans="1:20">
      <c r="A3" s="5" t="s">
        <v>139</v>
      </c>
      <c r="B3" s="5" t="s">
        <v>88</v>
      </c>
      <c r="C3" s="5" t="s">
        <v>137</v>
      </c>
      <c r="D3" s="5" t="s">
        <v>88</v>
      </c>
      <c r="E3" s="5" t="s">
        <v>138</v>
      </c>
      <c r="F3" s="5" t="s">
        <v>38</v>
      </c>
      <c r="G3" s="5" t="s">
        <v>87</v>
      </c>
      <c r="H3" s="7" t="s">
        <v>136</v>
      </c>
      <c r="I3" s="7" t="s">
        <v>109</v>
      </c>
      <c r="J3" s="5" t="s">
        <v>134</v>
      </c>
      <c r="K3" s="5" t="s">
        <v>133</v>
      </c>
      <c r="L3" s="8"/>
      <c r="M3" s="6" t="s">
        <v>123</v>
      </c>
      <c r="N3" s="5" t="s">
        <v>39</v>
      </c>
      <c r="O3" s="5" t="s">
        <v>40</v>
      </c>
      <c r="P3" s="5" t="s">
        <v>41</v>
      </c>
      <c r="Q3" s="5" t="s">
        <v>88</v>
      </c>
      <c r="R3" s="5"/>
      <c r="S3" s="5"/>
      <c r="T3" s="5"/>
    </row>
    <row r="4" spans="1:20">
      <c r="A4" s="1"/>
      <c r="B4" s="1"/>
      <c r="C4" s="1"/>
      <c r="D4" s="1"/>
      <c r="E4" s="1"/>
      <c r="F4" s="1"/>
      <c r="G4" s="1"/>
      <c r="H4" s="1"/>
      <c r="I4" s="1"/>
      <c r="J4" s="1"/>
      <c r="K4" s="1"/>
      <c r="L4" s="1"/>
      <c r="M4" s="1"/>
      <c r="N4" s="1"/>
      <c r="O4" s="1"/>
      <c r="P4" s="1"/>
      <c r="Q4" s="1"/>
      <c r="R4" s="1"/>
      <c r="S4" s="1"/>
      <c r="T4" s="1"/>
    </row>
    <row r="5" spans="1:20">
      <c r="A5" s="2" t="s">
        <v>42</v>
      </c>
      <c r="B5" s="1"/>
      <c r="C5" s="1"/>
      <c r="D5" s="1"/>
      <c r="E5" s="1"/>
      <c r="F5" s="1"/>
      <c r="G5" s="1"/>
      <c r="H5" s="1"/>
      <c r="I5" s="1"/>
      <c r="J5" s="1"/>
      <c r="K5" s="1"/>
      <c r="L5" s="1"/>
      <c r="M5" s="1"/>
      <c r="N5" s="1"/>
      <c r="O5" s="1"/>
      <c r="P5" s="1"/>
      <c r="Q5" s="1"/>
      <c r="R5" s="1"/>
      <c r="S5" s="1"/>
      <c r="T5" s="1"/>
    </row>
    <row r="6" spans="1:20">
      <c r="A6" s="3" t="s">
        <v>43</v>
      </c>
      <c r="B6" s="1"/>
      <c r="C6" s="1"/>
      <c r="D6" s="4"/>
      <c r="E6" s="4"/>
      <c r="F6" s="4"/>
      <c r="G6" s="4"/>
      <c r="H6" s="1"/>
      <c r="I6" s="1"/>
      <c r="J6" s="1"/>
      <c r="K6" s="1"/>
      <c r="L6" s="1"/>
      <c r="M6" s="1"/>
      <c r="N6" s="1"/>
      <c r="O6" s="1"/>
      <c r="P6" s="1"/>
      <c r="Q6" s="1"/>
      <c r="R6" s="1"/>
      <c r="S6" s="1"/>
      <c r="T6" s="1"/>
    </row>
    <row r="7" spans="1:20">
      <c r="A7" s="3" t="s">
        <v>44</v>
      </c>
      <c r="B7" s="1"/>
      <c r="C7" s="1"/>
      <c r="D7" s="4"/>
      <c r="E7" s="4"/>
      <c r="F7" s="4"/>
      <c r="G7" s="4"/>
      <c r="I7" s="1"/>
      <c r="J7" s="1"/>
      <c r="K7" s="1"/>
      <c r="L7" s="1"/>
      <c r="M7" s="1"/>
      <c r="N7" s="1"/>
      <c r="O7" s="1"/>
      <c r="P7" s="1"/>
      <c r="Q7" s="1"/>
      <c r="R7" s="1"/>
      <c r="S7" s="1"/>
      <c r="T7" s="1"/>
    </row>
    <row r="8" spans="1:20">
      <c r="A8" s="3" t="s">
        <v>45</v>
      </c>
      <c r="B8" s="1"/>
      <c r="C8" s="1"/>
      <c r="D8" s="1"/>
      <c r="E8" s="1"/>
      <c r="F8" s="1"/>
      <c r="G8" s="1"/>
      <c r="H8" s="1"/>
      <c r="I8" s="1"/>
      <c r="J8" s="1"/>
      <c r="K8" s="1"/>
      <c r="L8" s="1"/>
      <c r="M8" s="1"/>
      <c r="N8" s="1"/>
      <c r="O8" s="1"/>
      <c r="P8" s="1"/>
      <c r="Q8" s="1"/>
      <c r="R8" s="1"/>
      <c r="S8" s="1"/>
      <c r="T8" s="1"/>
    </row>
    <row r="9" spans="1:20">
      <c r="A9" s="3" t="s">
        <v>46</v>
      </c>
      <c r="B9" s="1"/>
      <c r="C9" s="1"/>
      <c r="D9" s="1"/>
      <c r="E9" s="1"/>
      <c r="F9" s="1"/>
      <c r="G9" s="1"/>
      <c r="H9" s="1"/>
      <c r="I9" s="1"/>
      <c r="J9" s="1"/>
      <c r="K9" s="1"/>
      <c r="L9" s="1"/>
      <c r="M9" s="1"/>
      <c r="N9" s="1"/>
      <c r="O9" s="1"/>
      <c r="P9" s="1"/>
      <c r="Q9" s="1"/>
      <c r="R9" s="1"/>
      <c r="S9" s="1"/>
      <c r="T9" s="1"/>
    </row>
    <row r="10" spans="1:20">
      <c r="A10" s="1"/>
      <c r="B10" s="1"/>
      <c r="C10" s="1"/>
      <c r="D10" s="1"/>
      <c r="E10" s="1"/>
      <c r="F10" s="1"/>
      <c r="G10" s="1"/>
      <c r="H10" s="1"/>
      <c r="I10" s="1"/>
      <c r="J10" s="1"/>
      <c r="K10" s="1"/>
      <c r="L10" s="1"/>
      <c r="M10" s="1"/>
      <c r="N10" s="1"/>
      <c r="O10" s="1"/>
      <c r="P10" s="1"/>
      <c r="Q10" s="1"/>
      <c r="R10" s="1"/>
      <c r="S10" s="1"/>
      <c r="T10" s="1"/>
    </row>
  </sheetData>
  <hyperlinks>
    <hyperlink ref="M3" r:id="rId1" xr:uid="{AE7499B5-4EFF-4EE2-9DA4-B351D470EE4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M21"/>
  <sheetViews>
    <sheetView showGridLines="0" tabSelected="1" topLeftCell="A2" workbookViewId="0">
      <selection activeCell="D9" sqref="D9"/>
    </sheetView>
  </sheetViews>
  <sheetFormatPr baseColWidth="10" defaultColWidth="11.453125" defaultRowHeight="14.5"/>
  <cols>
    <col min="1" max="4" width="29" customWidth="1"/>
    <col min="5" max="5" width="44.6328125" customWidth="1"/>
    <col min="6" max="6" width="48.1796875" customWidth="1"/>
    <col min="7" max="7" width="14.90625" customWidth="1"/>
    <col min="8" max="8" width="19.6328125" customWidth="1"/>
    <col min="9" max="9" width="40.54296875" customWidth="1"/>
    <col min="10" max="13" width="29" customWidth="1"/>
  </cols>
  <sheetData>
    <row r="1" spans="1:13" ht="31">
      <c r="A1" s="20" t="s">
        <v>5</v>
      </c>
      <c r="B1" s="21" t="s">
        <v>6</v>
      </c>
      <c r="C1" s="21" t="s">
        <v>7</v>
      </c>
      <c r="D1" s="21" t="s">
        <v>47</v>
      </c>
      <c r="E1" s="21" t="s">
        <v>48</v>
      </c>
      <c r="F1" s="21" t="s">
        <v>49</v>
      </c>
      <c r="G1" s="21" t="s">
        <v>50</v>
      </c>
      <c r="H1" s="21" t="s">
        <v>51</v>
      </c>
      <c r="I1" s="21" t="s">
        <v>52</v>
      </c>
      <c r="J1" s="21" t="s">
        <v>53</v>
      </c>
      <c r="K1" s="21" t="s">
        <v>54</v>
      </c>
      <c r="L1" s="21" t="s">
        <v>55</v>
      </c>
      <c r="M1" s="21" t="s">
        <v>56</v>
      </c>
    </row>
    <row r="2" spans="1:13" ht="46.5">
      <c r="A2" s="22" t="s">
        <v>25</v>
      </c>
      <c r="B2" s="22" t="s">
        <v>26</v>
      </c>
      <c r="C2" s="22" t="s">
        <v>57</v>
      </c>
      <c r="D2" s="22" t="s">
        <v>58</v>
      </c>
      <c r="E2" s="22" t="s">
        <v>59</v>
      </c>
      <c r="F2" s="22" t="s">
        <v>60</v>
      </c>
      <c r="G2" s="22" t="s">
        <v>61</v>
      </c>
      <c r="H2" s="22" t="s">
        <v>62</v>
      </c>
      <c r="I2" s="22" t="s">
        <v>63</v>
      </c>
      <c r="J2" s="22" t="s">
        <v>64</v>
      </c>
      <c r="K2" s="22" t="s">
        <v>65</v>
      </c>
      <c r="L2" s="22" t="s">
        <v>66</v>
      </c>
      <c r="M2" s="22" t="s">
        <v>65</v>
      </c>
    </row>
    <row r="3" spans="1:13">
      <c r="A3" s="23" t="s">
        <v>38</v>
      </c>
      <c r="B3" s="5" t="s">
        <v>87</v>
      </c>
      <c r="C3" s="24" t="s">
        <v>136</v>
      </c>
      <c r="D3" s="25" t="s">
        <v>67</v>
      </c>
      <c r="E3" s="25" t="str">
        <f>UPPER(F3)</f>
        <v>FECHA DE FOTO/DATOS CONFIGURADA EN EL ETL PARA LA EXTRACCIÓN DE DATOS, CORRESPONDE A APERTURAS DE COMERCIOS HASTA EL CIERRE DEL DÍA ANTERIOR</v>
      </c>
      <c r="F3" s="25" t="s">
        <v>68</v>
      </c>
      <c r="G3" s="23" t="s">
        <v>39</v>
      </c>
      <c r="H3" s="23" t="s">
        <v>69</v>
      </c>
      <c r="I3" s="28">
        <v>45841</v>
      </c>
      <c r="J3" s="23" t="s">
        <v>39</v>
      </c>
      <c r="K3" s="23" t="s">
        <v>39</v>
      </c>
      <c r="L3" s="23" t="s">
        <v>70</v>
      </c>
      <c r="M3" s="23" t="s">
        <v>39</v>
      </c>
    </row>
    <row r="4" spans="1:13">
      <c r="A4" s="23" t="s">
        <v>38</v>
      </c>
      <c r="B4" s="5" t="s">
        <v>87</v>
      </c>
      <c r="C4" s="24" t="s">
        <v>136</v>
      </c>
      <c r="D4" s="25" t="s">
        <v>89</v>
      </c>
      <c r="E4" s="25" t="str">
        <f>UPPER(F4)</f>
        <v>FECHA EN LA QUE SE DIO LA TRANSACCIÓN</v>
      </c>
      <c r="F4" s="25" t="s">
        <v>92</v>
      </c>
      <c r="G4" s="23" t="s">
        <v>39</v>
      </c>
      <c r="H4" s="23" t="s">
        <v>69</v>
      </c>
      <c r="I4" s="26">
        <v>45841</v>
      </c>
      <c r="J4" s="23" t="s">
        <v>39</v>
      </c>
      <c r="K4" s="23" t="s">
        <v>39</v>
      </c>
      <c r="L4" s="23" t="s">
        <v>39</v>
      </c>
      <c r="M4" s="23" t="s">
        <v>70</v>
      </c>
    </row>
    <row r="5" spans="1:13">
      <c r="A5" s="23" t="s">
        <v>38</v>
      </c>
      <c r="B5" s="5" t="s">
        <v>87</v>
      </c>
      <c r="C5" s="24" t="s">
        <v>136</v>
      </c>
      <c r="D5" s="25" t="s">
        <v>105</v>
      </c>
      <c r="E5" s="25" t="str">
        <f>UPPER(F5)</f>
        <v>HORA EN QUE SE IDENTIFICO UNA TRANSACCION FRAUDULENTA EN MONITOR</v>
      </c>
      <c r="F5" s="25" t="s">
        <v>93</v>
      </c>
      <c r="G5" s="23" t="s">
        <v>39</v>
      </c>
      <c r="H5" s="23" t="s">
        <v>71</v>
      </c>
      <c r="I5" s="29">
        <v>0.21064814814814814</v>
      </c>
      <c r="J5" s="23" t="s">
        <v>39</v>
      </c>
      <c r="K5" s="23" t="s">
        <v>70</v>
      </c>
      <c r="L5" s="23" t="s">
        <v>39</v>
      </c>
      <c r="M5" s="23" t="s">
        <v>39</v>
      </c>
    </row>
    <row r="6" spans="1:13">
      <c r="A6" s="23" t="s">
        <v>38</v>
      </c>
      <c r="B6" s="5" t="s">
        <v>87</v>
      </c>
      <c r="C6" s="24" t="s">
        <v>136</v>
      </c>
      <c r="D6" s="25" t="s">
        <v>72</v>
      </c>
      <c r="E6" s="25" t="str">
        <f t="shared" ref="E6" si="0">UPPER(F6)</f>
        <v>CÓDIGO QUE SE UTILIZA PARA IDENTIFICAR CADA COMERCIO</v>
      </c>
      <c r="F6" s="25" t="s">
        <v>73</v>
      </c>
      <c r="G6" s="23" t="s">
        <v>39</v>
      </c>
      <c r="H6" s="23" t="s">
        <v>71</v>
      </c>
      <c r="I6" s="25">
        <v>2044226</v>
      </c>
      <c r="J6" s="23" t="s">
        <v>39</v>
      </c>
      <c r="K6" s="23" t="s">
        <v>70</v>
      </c>
      <c r="L6" s="23" t="s">
        <v>39</v>
      </c>
      <c r="M6" s="23" t="s">
        <v>70</v>
      </c>
    </row>
    <row r="7" spans="1:13">
      <c r="A7" s="23" t="s">
        <v>38</v>
      </c>
      <c r="B7" s="5" t="s">
        <v>87</v>
      </c>
      <c r="C7" s="24" t="s">
        <v>136</v>
      </c>
      <c r="D7" s="25" t="s">
        <v>126</v>
      </c>
      <c r="E7" s="25" t="s">
        <v>91</v>
      </c>
      <c r="F7" s="25" t="s">
        <v>95</v>
      </c>
      <c r="G7" s="23" t="s">
        <v>39</v>
      </c>
      <c r="H7" s="23" t="s">
        <v>71</v>
      </c>
      <c r="I7" s="30" t="s">
        <v>96</v>
      </c>
      <c r="J7" s="23" t="s">
        <v>39</v>
      </c>
      <c r="K7" s="23" t="s">
        <v>70</v>
      </c>
      <c r="L7" s="23" t="s">
        <v>39</v>
      </c>
      <c r="M7" s="23" t="s">
        <v>39</v>
      </c>
    </row>
    <row r="8" spans="1:13">
      <c r="A8" s="23" t="s">
        <v>38</v>
      </c>
      <c r="B8" s="5" t="s">
        <v>87</v>
      </c>
      <c r="C8" s="24" t="s">
        <v>136</v>
      </c>
      <c r="D8" s="25" t="s">
        <v>127</v>
      </c>
      <c r="E8" s="25" t="str">
        <f t="shared" ref="E8:E10" si="1">UPPER(F8)</f>
        <v>CÓDIGO DE LA FORMA EN QUE SE INGRESARON LOS DATOS DE LA TARJETA</v>
      </c>
      <c r="F8" s="25" t="s">
        <v>99</v>
      </c>
      <c r="G8" s="23" t="s">
        <v>39</v>
      </c>
      <c r="H8" s="23" t="s">
        <v>98</v>
      </c>
      <c r="I8" s="30">
        <v>10</v>
      </c>
      <c r="J8" s="23" t="s">
        <v>39</v>
      </c>
      <c r="K8" s="23" t="s">
        <v>70</v>
      </c>
      <c r="L8" s="23" t="s">
        <v>39</v>
      </c>
      <c r="M8" s="23" t="s">
        <v>39</v>
      </c>
    </row>
    <row r="9" spans="1:13">
      <c r="A9" s="23" t="s">
        <v>38</v>
      </c>
      <c r="B9" s="5" t="s">
        <v>87</v>
      </c>
      <c r="C9" s="24" t="s">
        <v>136</v>
      </c>
      <c r="D9" s="25" t="s">
        <v>128</v>
      </c>
      <c r="E9" s="25" t="str">
        <f t="shared" si="1"/>
        <v>MONTO DE LA TRANSACCIÓN CONVERTIDO A SOLES.</v>
      </c>
      <c r="F9" s="25" t="s">
        <v>97</v>
      </c>
      <c r="G9" s="23" t="s">
        <v>39</v>
      </c>
      <c r="H9" s="23" t="s">
        <v>98</v>
      </c>
      <c r="I9" s="30">
        <v>215.5</v>
      </c>
      <c r="J9" s="23" t="s">
        <v>39</v>
      </c>
      <c r="K9" s="23" t="s">
        <v>70</v>
      </c>
      <c r="L9" s="23" t="s">
        <v>39</v>
      </c>
      <c r="M9" s="23" t="s">
        <v>39</v>
      </c>
    </row>
    <row r="10" spans="1:13">
      <c r="A10" s="23" t="s">
        <v>38</v>
      </c>
      <c r="B10" s="5" t="s">
        <v>87</v>
      </c>
      <c r="C10" s="24" t="s">
        <v>136</v>
      </c>
      <c r="D10" s="25" t="s">
        <v>112</v>
      </c>
      <c r="E10" s="25" t="str">
        <f t="shared" si="1"/>
        <v>CODIGO DE AUTORIZACIÓN DE LA TRANSACCIÓN</v>
      </c>
      <c r="F10" s="25" t="s">
        <v>94</v>
      </c>
      <c r="G10" s="23" t="s">
        <v>39</v>
      </c>
      <c r="H10" s="23" t="s">
        <v>71</v>
      </c>
      <c r="I10" s="31" t="s">
        <v>100</v>
      </c>
      <c r="J10" s="23" t="s">
        <v>39</v>
      </c>
      <c r="K10" s="23" t="s">
        <v>70</v>
      </c>
      <c r="L10" s="23" t="s">
        <v>39</v>
      </c>
      <c r="M10" s="23" t="s">
        <v>39</v>
      </c>
    </row>
    <row r="11" spans="1:13" ht="15.5">
      <c r="A11" s="23" t="s">
        <v>38</v>
      </c>
      <c r="B11" s="5" t="s">
        <v>87</v>
      </c>
      <c r="C11" s="24" t="s">
        <v>136</v>
      </c>
      <c r="D11" s="25" t="s">
        <v>125</v>
      </c>
      <c r="E11" s="25" t="str">
        <f t="shared" ref="E11:E16" si="2">UPPER(F11)</f>
        <v>IDENTIFICADOR DE LA TARJETA EN FORMATO HASH</v>
      </c>
      <c r="F11" s="25" t="s">
        <v>108</v>
      </c>
      <c r="G11" s="23" t="s">
        <v>39</v>
      </c>
      <c r="H11" s="23" t="s">
        <v>71</v>
      </c>
      <c r="I11" s="33" t="s">
        <v>110</v>
      </c>
      <c r="J11" s="23" t="s">
        <v>39</v>
      </c>
      <c r="K11" s="23" t="s">
        <v>70</v>
      </c>
      <c r="L11" s="23" t="s">
        <v>39</v>
      </c>
      <c r="M11" s="23" t="s">
        <v>39</v>
      </c>
    </row>
    <row r="12" spans="1:13">
      <c r="A12" s="23" t="s">
        <v>38</v>
      </c>
      <c r="B12" s="5" t="s">
        <v>87</v>
      </c>
      <c r="C12" s="24" t="s">
        <v>136</v>
      </c>
      <c r="D12" s="25" t="s">
        <v>129</v>
      </c>
      <c r="E12" s="25" t="str">
        <f t="shared" si="2"/>
        <v>NÚMERO DE TARJETA ENMASCARADO O TOKENIZADO SEGÚN ESTÁNDAR INTERNO</v>
      </c>
      <c r="F12" s="25" t="s">
        <v>107</v>
      </c>
      <c r="G12" s="23" t="s">
        <v>39</v>
      </c>
      <c r="H12" s="23" t="s">
        <v>71</v>
      </c>
      <c r="I12" t="s">
        <v>111</v>
      </c>
      <c r="J12" s="23" t="s">
        <v>39</v>
      </c>
      <c r="K12" s="23" t="s">
        <v>70</v>
      </c>
      <c r="L12" s="23" t="s">
        <v>39</v>
      </c>
      <c r="M12" s="23" t="s">
        <v>39</v>
      </c>
    </row>
    <row r="13" spans="1:13">
      <c r="A13" s="23" t="s">
        <v>38</v>
      </c>
      <c r="B13" s="5" t="s">
        <v>87</v>
      </c>
      <c r="C13" s="24" t="s">
        <v>136</v>
      </c>
      <c r="D13" s="25" t="s">
        <v>130</v>
      </c>
      <c r="E13" s="25" t="str">
        <f t="shared" si="2"/>
        <v>CÓDIGO DEL TIPO O CATEGORÍA DE FRAUDE</v>
      </c>
      <c r="F13" s="25" t="s">
        <v>115</v>
      </c>
      <c r="G13" s="32" t="s">
        <v>39</v>
      </c>
      <c r="H13" s="23" t="s">
        <v>98</v>
      </c>
      <c r="I13" s="25" t="s">
        <v>118</v>
      </c>
      <c r="J13" s="23" t="s">
        <v>39</v>
      </c>
      <c r="K13" s="23" t="s">
        <v>70</v>
      </c>
      <c r="L13" s="23" t="s">
        <v>39</v>
      </c>
      <c r="M13" s="23" t="s">
        <v>39</v>
      </c>
    </row>
    <row r="14" spans="1:13">
      <c r="A14" s="23" t="s">
        <v>38</v>
      </c>
      <c r="B14" s="5" t="s">
        <v>87</v>
      </c>
      <c r="C14" s="24" t="s">
        <v>136</v>
      </c>
      <c r="D14" s="25" t="s">
        <v>90</v>
      </c>
      <c r="E14" s="25" t="str">
        <f t="shared" si="2"/>
        <v>CANAL A TRAVÉS DEL CUAL SE REALIZÓ LA TRANSACCIÓN.</v>
      </c>
      <c r="F14" s="25" t="s">
        <v>119</v>
      </c>
      <c r="G14" s="23" t="s">
        <v>39</v>
      </c>
      <c r="H14" s="23" t="s">
        <v>71</v>
      </c>
      <c r="I14" s="25" t="s">
        <v>120</v>
      </c>
      <c r="J14" s="23" t="s">
        <v>39</v>
      </c>
      <c r="K14" s="23" t="s">
        <v>70</v>
      </c>
      <c r="L14" s="23" t="s">
        <v>39</v>
      </c>
      <c r="M14" s="23" t="s">
        <v>70</v>
      </c>
    </row>
    <row r="15" spans="1:13">
      <c r="A15" s="23" t="s">
        <v>38</v>
      </c>
      <c r="B15" s="5" t="s">
        <v>87</v>
      </c>
      <c r="C15" s="24" t="s">
        <v>136</v>
      </c>
      <c r="D15" s="25" t="s">
        <v>131</v>
      </c>
      <c r="E15" s="25" t="str">
        <f t="shared" si="2"/>
        <v>IDENTIFICADOR O DIRECCIÓN IP DEL TERMINAL.</v>
      </c>
      <c r="F15" t="s">
        <v>121</v>
      </c>
      <c r="G15" s="23" t="s">
        <v>39</v>
      </c>
      <c r="H15" s="23" t="s">
        <v>71</v>
      </c>
      <c r="I15" t="s">
        <v>122</v>
      </c>
      <c r="J15" s="23" t="s">
        <v>39</v>
      </c>
      <c r="K15" s="23" t="s">
        <v>70</v>
      </c>
      <c r="L15" s="23" t="s">
        <v>39</v>
      </c>
      <c r="M15" s="23" t="s">
        <v>39</v>
      </c>
    </row>
    <row r="16" spans="1:13">
      <c r="A16" s="23" t="s">
        <v>38</v>
      </c>
      <c r="B16" s="5" t="s">
        <v>87</v>
      </c>
      <c r="C16" s="24" t="s">
        <v>136</v>
      </c>
      <c r="D16" s="25" t="s">
        <v>113</v>
      </c>
      <c r="E16" s="25" t="str">
        <f t="shared" si="2"/>
        <v>CONDICION DE PUNTO DE VENTA</v>
      </c>
      <c r="F16" s="25" t="s">
        <v>114</v>
      </c>
      <c r="G16" s="23" t="s">
        <v>39</v>
      </c>
      <c r="H16" s="23" t="s">
        <v>71</v>
      </c>
      <c r="I16" s="25">
        <v>0</v>
      </c>
      <c r="J16" s="23" t="s">
        <v>39</v>
      </c>
      <c r="K16" s="23" t="s">
        <v>70</v>
      </c>
      <c r="L16" s="23" t="s">
        <v>39</v>
      </c>
      <c r="M16" s="23" t="s">
        <v>39</v>
      </c>
    </row>
    <row r="17" spans="1:13">
      <c r="A17" s="23" t="s">
        <v>38</v>
      </c>
      <c r="B17" s="5" t="s">
        <v>87</v>
      </c>
      <c r="C17" s="24" t="s">
        <v>136</v>
      </c>
      <c r="D17" s="25" t="s">
        <v>132</v>
      </c>
      <c r="E17" s="25" t="s">
        <v>102</v>
      </c>
      <c r="F17" s="25" t="s">
        <v>103</v>
      </c>
      <c r="G17" s="23" t="s">
        <v>39</v>
      </c>
      <c r="H17" s="23" t="s">
        <v>98</v>
      </c>
      <c r="I17" s="25">
        <v>23553</v>
      </c>
      <c r="J17" s="23" t="s">
        <v>39</v>
      </c>
      <c r="K17" s="23" t="s">
        <v>70</v>
      </c>
      <c r="L17" s="23" t="s">
        <v>39</v>
      </c>
      <c r="M17" s="23" t="s">
        <v>39</v>
      </c>
    </row>
    <row r="18" spans="1:13">
      <c r="A18" s="23" t="s">
        <v>38</v>
      </c>
      <c r="B18" s="5" t="s">
        <v>87</v>
      </c>
      <c r="C18" s="24" t="s">
        <v>136</v>
      </c>
      <c r="D18" s="25" t="s">
        <v>106</v>
      </c>
      <c r="E18" s="25" t="s">
        <v>101</v>
      </c>
      <c r="F18" s="25" t="s">
        <v>104</v>
      </c>
      <c r="G18" s="23" t="s">
        <v>39</v>
      </c>
      <c r="H18" s="23" t="s">
        <v>69</v>
      </c>
      <c r="I18" s="28">
        <v>45841</v>
      </c>
      <c r="J18" s="23" t="s">
        <v>39</v>
      </c>
      <c r="K18" s="23" t="s">
        <v>70</v>
      </c>
      <c r="L18" s="23" t="s">
        <v>39</v>
      </c>
      <c r="M18" s="23" t="s">
        <v>70</v>
      </c>
    </row>
    <row r="19" spans="1:13">
      <c r="A19" s="23" t="s">
        <v>38</v>
      </c>
      <c r="B19" s="5" t="s">
        <v>87</v>
      </c>
      <c r="C19" s="24" t="s">
        <v>136</v>
      </c>
      <c r="D19" s="25" t="s">
        <v>124</v>
      </c>
      <c r="E19" s="25" t="str">
        <f t="shared" ref="E19" si="3">UPPER(F19)</f>
        <v>FUENTE DESDE DONDE SE DETECTO DICHO FRAUDE</v>
      </c>
      <c r="F19" s="25" t="s">
        <v>116</v>
      </c>
      <c r="G19" s="23" t="s">
        <v>39</v>
      </c>
      <c r="H19" s="23" t="s">
        <v>71</v>
      </c>
      <c r="I19" s="25" t="s">
        <v>117</v>
      </c>
      <c r="J19" s="23" t="s">
        <v>39</v>
      </c>
      <c r="K19" s="23" t="s">
        <v>39</v>
      </c>
      <c r="L19" s="23" t="s">
        <v>39</v>
      </c>
      <c r="M19" s="23" t="s">
        <v>39</v>
      </c>
    </row>
    <row r="20" spans="1:13">
      <c r="A20" s="23" t="s">
        <v>38</v>
      </c>
      <c r="B20" s="5" t="s">
        <v>87</v>
      </c>
      <c r="C20" s="24" t="s">
        <v>136</v>
      </c>
      <c r="D20" s="25" t="s">
        <v>74</v>
      </c>
      <c r="E20" s="25" t="str">
        <f t="shared" ref="E20:E21" si="4">UPPER(F20)</f>
        <v>FECHA Y HORA DE INSERCIÓN DEL REGISTRO EN EL MODELO</v>
      </c>
      <c r="F20" s="25" t="s">
        <v>75</v>
      </c>
      <c r="G20" s="23" t="s">
        <v>39</v>
      </c>
      <c r="H20" s="23" t="s">
        <v>135</v>
      </c>
      <c r="I20" s="25" t="s">
        <v>86</v>
      </c>
      <c r="J20" s="23" t="s">
        <v>39</v>
      </c>
      <c r="K20" s="23" t="s">
        <v>39</v>
      </c>
      <c r="L20" s="23" t="s">
        <v>39</v>
      </c>
      <c r="M20" s="23" t="s">
        <v>39</v>
      </c>
    </row>
    <row r="21" spans="1:13">
      <c r="A21" s="23" t="s">
        <v>38</v>
      </c>
      <c r="B21" s="5" t="s">
        <v>87</v>
      </c>
      <c r="C21" s="24" t="s">
        <v>136</v>
      </c>
      <c r="D21" s="25" t="s">
        <v>76</v>
      </c>
      <c r="E21" s="25" t="str">
        <f t="shared" si="4"/>
        <v>USUARIO QUE CREA EL REGISTRO EN LA BD</v>
      </c>
      <c r="F21" s="25" t="s">
        <v>77</v>
      </c>
      <c r="G21" s="23" t="s">
        <v>39</v>
      </c>
      <c r="H21" s="23" t="s">
        <v>71</v>
      </c>
      <c r="I21" s="27" t="s">
        <v>78</v>
      </c>
      <c r="J21" s="23" t="s">
        <v>39</v>
      </c>
      <c r="K21" s="23" t="s">
        <v>39</v>
      </c>
      <c r="L21" s="23" t="s">
        <v>39</v>
      </c>
      <c r="M21" s="23" t="s">
        <v>39</v>
      </c>
    </row>
  </sheetData>
  <hyperlinks>
    <hyperlink ref="I21" r:id="rId1" xr:uid="{5055E7C2-704F-4DF8-B13D-BB52B0115323}"/>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6" ma:contentTypeDescription="Create a new document." ma:contentTypeScope="" ma:versionID="b9c598f3bf5821ec7c8d150fb2409204">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251c203eb9aee4e487258461f501dc14"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EA0224-0EAD-4FFD-8BC7-52E7E297356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80ac410-b05f-448e-8dee-046357d4e70e"/>
    <ds:schemaRef ds:uri="0d36e45e-9b33-40cd-9496-1b0b6d1fa3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85006A4-5124-4F73-8C0E-FFC53E124586}">
  <ds:schemaRefs>
    <ds:schemaRef ds:uri="http://schemas.microsoft.com/office/2006/metadata/properties"/>
    <ds:schemaRef ds:uri="http://schemas.microsoft.com/office/infopath/2007/PartnerControls"/>
    <ds:schemaRef ds:uri="e80ac410-b05f-448e-8dee-046357d4e70e"/>
    <ds:schemaRef ds:uri="0d36e45e-9b33-40cd-9496-1b0b6d1fa39a"/>
  </ds:schemaRefs>
</ds:datastoreItem>
</file>

<file path=customXml/itemProps3.xml><?xml version="1.0" encoding="utf-8"?>
<ds:datastoreItem xmlns:ds="http://schemas.openxmlformats.org/officeDocument/2006/customXml" ds:itemID="{FCB7F921-B723-4C15-9B1B-F767409F20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Datos Sensibles</vt:lpstr>
      <vt:lpstr>Estructuras del Modelo</vt:lpstr>
      <vt:lpstr>m_consolidacion_fraude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Angello Bravo</dc:creator>
  <cp:lastModifiedBy>Juan Sara</cp:lastModifiedBy>
  <dcterms:created xsi:type="dcterms:W3CDTF">2015-06-05T18:19:34Z</dcterms:created>
  <dcterms:modified xsi:type="dcterms:W3CDTF">2026-03-23T22:33:41Z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