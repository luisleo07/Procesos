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pmpmc.sharepoint.com/sites/EquipoDataIzipay/Shared Documents/1. Proyectos D&amp;A/2025/Migración OnPremises a Cloud/Operaciones y Riesgos (Walter Cori)/Documentación GCP/40 Carga TC40-SAFE - MIGRADO/Capa Raw/"/>
    </mc:Choice>
  </mc:AlternateContent>
  <xr:revisionPtr revIDLastSave="238" documentId="8_{1DCF88E8-8811-44D0-8773-D3AB89B02E57}" xr6:coauthVersionLast="47" xr6:coauthVersionMax="47" xr10:uidLastSave="{421E78EB-B52B-489C-B1D7-FCB1F19ACAC3}"/>
  <bookViews>
    <workbookView xWindow="-108" yWindow="-108" windowWidth="23256" windowHeight="12456" firstSheet="1" activeTab="3" xr2:uid="{00000000-000D-0000-FFFF-FFFF00000000}"/>
  </bookViews>
  <sheets>
    <sheet name="Datos Sensibles" sheetId="4" r:id="rId1"/>
    <sheet name="Estructuras del Modelo" sheetId="1" r:id="rId2"/>
    <sheet name="tc40_details" sheetId="2" r:id="rId3"/>
    <sheet name="safe" sheetId="5" r:id="rId4"/>
  </sheets>
  <functionGroups builtInGroupCount="19"/>
  <definedNames>
    <definedName name="_xleta.AND"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0" i="5" l="1"/>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E64" i="5"/>
  <c r="E63" i="5"/>
  <c r="E62" i="5"/>
  <c r="E61" i="5"/>
  <c r="E3" i="5"/>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E4" i="2"/>
  <c r="E3" i="2"/>
  <c r="E51" i="2"/>
  <c r="E52" i="2"/>
  <c r="E53" i="2"/>
  <c r="E50" i="2"/>
</calcChain>
</file>

<file path=xl/sharedStrings.xml><?xml version="1.0" encoding="utf-8"?>
<sst xmlns="http://schemas.openxmlformats.org/spreadsheetml/2006/main" count="1486" uniqueCount="369">
  <si>
    <t>Configuración de Datos Sensibles</t>
  </si>
  <si>
    <r>
      <t xml:space="preserve">El catálogo </t>
    </r>
    <r>
      <rPr>
        <b/>
        <sz val="11"/>
        <color rgb="FF000000"/>
        <rFont val="Calibri"/>
        <family val="2"/>
        <scheme val="minor"/>
      </rPr>
      <t>config_protected_data</t>
    </r>
    <r>
      <rPr>
        <sz val="11"/>
        <color rgb="FF000000"/>
        <rFont val="Calibri"/>
        <family val="2"/>
        <scheme val="minor"/>
      </rPr>
      <t xml:space="preserve"> deberá ser utilizado para la carga RAW por cada origen de información que tenga datos sensibles. Por ejemplo, para cargar algún RAW de personas, necesitaremos consultar este catálogo para encriptar el primer nombre, segundo nombre, direcciones, entre otros. Este catálogo deberá ser administrado por el equipo de la empresa con el mayor nivel de seguridad posible, ya que aquí se ingresará la llave de encriptamiento y desencriptamiento (campo Key).</t>
    </r>
  </si>
  <si>
    <t>Id</t>
  </si>
  <si>
    <t>Attribute_Group</t>
  </si>
  <si>
    <t>Attribute</t>
  </si>
  <si>
    <t>Code</t>
  </si>
  <si>
    <t>Table</t>
  </si>
  <si>
    <t>Column</t>
  </si>
  <si>
    <t>Description</t>
  </si>
  <si>
    <t>HEREDADA</t>
  </si>
  <si>
    <t>m_comercio</t>
  </si>
  <si>
    <t>nom_responsable_cuenta</t>
  </si>
  <si>
    <t>Apellido paterno</t>
  </si>
  <si>
    <t>nom_ejecutivo_dealer</t>
  </si>
  <si>
    <t>Apellido materno</t>
  </si>
  <si>
    <t>Organization</t>
  </si>
  <si>
    <t>Business Domain</t>
  </si>
  <si>
    <t>Business Sub Domain</t>
  </si>
  <si>
    <t>Technical Domain</t>
  </si>
  <si>
    <t>Technical Sub Domain</t>
  </si>
  <si>
    <t>Project</t>
  </si>
  <si>
    <t>Dataset</t>
  </si>
  <si>
    <t>Load Strategy</t>
  </si>
  <si>
    <t>Load Frequency</t>
  </si>
  <si>
    <t>Big query Structure</t>
  </si>
  <si>
    <t>Data Operator</t>
  </si>
  <si>
    <t>Public</t>
  </si>
  <si>
    <t>Environment</t>
  </si>
  <si>
    <t>Zone</t>
  </si>
  <si>
    <t>Area</t>
  </si>
  <si>
    <t>Area Data Steward</t>
  </si>
  <si>
    <t>Org. Data Steward</t>
  </si>
  <si>
    <t>Corp. Data Steward</t>
  </si>
  <si>
    <t>Empresa del grupo IC</t>
  </si>
  <si>
    <t>Dominio de negocio al que pertenece el concepto de datos</t>
  </si>
  <si>
    <t>Sub dominio de negocio al que pertenece el concepto de datos</t>
  </si>
  <si>
    <t>Dominio del modelo de datos al cual pertenece la tabla</t>
  </si>
  <si>
    <t>Subdominio del modelo de datos al cual la tabla</t>
  </si>
  <si>
    <t>Nombre del proyecto que almacena la entidad</t>
  </si>
  <si>
    <t>Nombre del dataset donde se almacena la entidad</t>
  </si>
  <si>
    <t>Nombre de la Tabla</t>
  </si>
  <si>
    <t>Propósito de la tabla</t>
  </si>
  <si>
    <t>Estrategia de carga</t>
  </si>
  <si>
    <t>Indica la frecuencia de carga</t>
  </si>
  <si>
    <t>Identifica al operador de la tabla</t>
  </si>
  <si>
    <t>Identifica si una tabla es púbica o no
(Yes / No)</t>
  </si>
  <si>
    <t>dev/test/prod</t>
  </si>
  <si>
    <t>Zona (Raw, Master, BI)</t>
  </si>
  <si>
    <t>Area o departamento al que pertenece el Owner</t>
  </si>
  <si>
    <t>Es el responsable a nivel de Área de la información contenida en la tabla.</t>
  </si>
  <si>
    <t>Es el responsable a nivel de Organización de la información contenida en la tabla.</t>
  </si>
  <si>
    <t>Es el responsable a nivel de Corporativo de la información contenida en la tabla.</t>
  </si>
  <si>
    <t>IZIPAY</t>
  </si>
  <si>
    <t>RIESGOS</t>
  </si>
  <si>
    <t>FRAUDE</t>
  </si>
  <si>
    <t>prd-izipay-data-storage-pv</t>
  </si>
  <si>
    <t>raw_dataentry_operaciones</t>
  </si>
  <si>
    <t>tc40_details</t>
  </si>
  <si>
    <t>Tabla que contiene la informacion diaria del reporte de Visa que contienen datos sobre una transacción que el banco emisor considera fraudulenta</t>
  </si>
  <si>
    <t>Incremental</t>
  </si>
  <si>
    <t>Diario (4:30pm)</t>
  </si>
  <si>
    <t>mc2103@izipay.pe</t>
  </si>
  <si>
    <t>N</t>
  </si>
  <si>
    <t>prod</t>
  </si>
  <si>
    <t>Raw</t>
  </si>
  <si>
    <t>Riesgos</t>
  </si>
  <si>
    <t>safe</t>
  </si>
  <si>
    <t>Tabla que contiene la informacion diaria del reporte de fraude que Mastercard genera cuando un banco emisor informa una transacción sospechosa o confirmada como fraudulenta</t>
  </si>
  <si>
    <t>Load Strategy:</t>
  </si>
  <si>
    <t>Incremental = inserta nuevo registro sin versionar los datos anteriores</t>
  </si>
  <si>
    <t>Incremental última actualización = última versión del registro siempre actualizado</t>
  </si>
  <si>
    <t>Histórico = versiona el estado del registro (flag_active = true/false) almacenando todo el tracking o versión de los datos en toda la historia</t>
  </si>
  <si>
    <t>Truncate &amp; Full Load = trunca y carga la tabla destino en cada ejecución</t>
  </si>
  <si>
    <t>Data Element name</t>
  </si>
  <si>
    <t>Business Definition</t>
  </si>
  <si>
    <t>Sensitive</t>
  </si>
  <si>
    <t>Data Type</t>
  </si>
  <si>
    <t>Valid values</t>
  </si>
  <si>
    <t>Primary Key 
(Y/N)</t>
  </si>
  <si>
    <t>NULL 
(Y/N)</t>
  </si>
  <si>
    <t>Partition
(Y/N)</t>
  </si>
  <si>
    <t>Cluster
(Y/N)</t>
  </si>
  <si>
    <t>Nombre de la tabla</t>
  </si>
  <si>
    <t>Nombre del campo</t>
  </si>
  <si>
    <t>Nombre único con el cual el Negocio identifica al Elemento de Dato (ponerlo en Mayúscula)</t>
  </si>
  <si>
    <t>Concepto definido por el negocio para el elemento de dato. Contiene las propiedades, características y exclusiones relacionadas al dato</t>
  </si>
  <si>
    <t>Yes / No</t>
  </si>
  <si>
    <t>Tipo de dato físico en BigQuery</t>
  </si>
  <si>
    <t>Incluye los valores que puede contener el campo (sólo para variables discretas, p.e. A, B, C,… 1, 2, 3, Todos, etc.)</t>
  </si>
  <si>
    <t>Describe si el elemento de datos es una llave primaria en la base de datos</t>
  </si>
  <si>
    <t>Indica si es posible que el campo admita NULL</t>
  </si>
  <si>
    <t>Indica si el elemento es parte de la partición de la tabla</t>
  </si>
  <si>
    <t>acquirer_bid</t>
  </si>
  <si>
    <t>Identificador del adquirente que procesó la transacción</t>
  </si>
  <si>
    <t>STRING</t>
  </si>
  <si>
    <t>Y</t>
  </si>
  <si>
    <t>acquirer</t>
  </si>
  <si>
    <t>Nombre del adquirente</t>
  </si>
  <si>
    <t>PROCESOS DE MEDIOS DE PAGO S.A.</t>
  </si>
  <si>
    <t>acquirer_bin</t>
  </si>
  <si>
    <t>BIN del banco adquirente</t>
  </si>
  <si>
    <t>acquirer_country</t>
  </si>
  <si>
    <t>País del banco adquirente</t>
  </si>
  <si>
    <t xml:space="preserve">PERU                     </t>
  </si>
  <si>
    <t>purchase_date</t>
  </si>
  <si>
    <t>Fecha en que se realizó la compra</t>
  </si>
  <si>
    <t xml:space="preserve">05-Nov-2025 </t>
  </si>
  <si>
    <t>fraud_main_date</t>
  </si>
  <si>
    <t>Fecha principal en que se reportó el fraude</t>
  </si>
  <si>
    <t xml:space="preserve">03-Dec-2025 </t>
  </si>
  <si>
    <t>fraud_post_date</t>
  </si>
  <si>
    <t>Fecha en que el fraude fue registrado o contabilizado</t>
  </si>
  <si>
    <t>card_account_number_masked</t>
  </si>
  <si>
    <t>Número de tarjeta enmascarado</t>
  </si>
  <si>
    <t xml:space="preserve">421355xxxxxx2856     </t>
  </si>
  <si>
    <t>transaction_id</t>
  </si>
  <si>
    <t>Identificador único de la transacción</t>
  </si>
  <si>
    <t>385309644798512</t>
  </si>
  <si>
    <t>account_sequence_number</t>
  </si>
  <si>
    <t>Número secuencial de la cuenta</t>
  </si>
  <si>
    <t>card_acceptor_id</t>
  </si>
  <si>
    <t>Identificador del comercio</t>
  </si>
  <si>
    <t xml:space="preserve">004078247      </t>
  </si>
  <si>
    <t>terminal_id</t>
  </si>
  <si>
    <t>Identificador del terminal utilizado</t>
  </si>
  <si>
    <t>04078247</t>
  </si>
  <si>
    <t>cardholder_id_method</t>
  </si>
  <si>
    <t>Código del método de identificación del tarjetahabiente</t>
  </si>
  <si>
    <t>4</t>
  </si>
  <si>
    <t>cardholder_method</t>
  </si>
  <si>
    <t>Método de identificación del tarjetahabiente</t>
  </si>
  <si>
    <t xml:space="preserve">MAIL/TELEPHONE OR ECI    </t>
  </si>
  <si>
    <t>eci_moto</t>
  </si>
  <si>
    <t>Código identificador de comercio electrónico o MOTO</t>
  </si>
  <si>
    <t>05</t>
  </si>
  <si>
    <t>eci_moto_desc</t>
  </si>
  <si>
    <t>Descripción de comercio electrónico o MOTO</t>
  </si>
  <si>
    <t xml:space="preserve">SECURE ELECTRONIC COMMERCE              </t>
  </si>
  <si>
    <t>pos_entry_mode</t>
  </si>
  <si>
    <t>Código de la forma en que se ingresaron los datos de la tarjeta</t>
  </si>
  <si>
    <t>10</t>
  </si>
  <si>
    <t>pos_entry_mode_desc</t>
  </si>
  <si>
    <t>Descripción de la forma en que se ingresaron los datos de la tarjeta</t>
  </si>
  <si>
    <t xml:space="preserve">CREDENTIAL ON FILE                           </t>
  </si>
  <si>
    <t>pos_terminal_capability</t>
  </si>
  <si>
    <t>Código de la capacidad del terminal POS</t>
  </si>
  <si>
    <t>0</t>
  </si>
  <si>
    <t>pos_terminal_capability_desc</t>
  </si>
  <si>
    <t>Descripción de la capacidad del terminal POS</t>
  </si>
  <si>
    <t xml:space="preserve">UNKNOWN                                 </t>
  </si>
  <si>
    <t>cat_indicator</t>
  </si>
  <si>
    <t>Indicador de terminal automatizado (ATM / kiosko)</t>
  </si>
  <si>
    <t xml:space="preserve"> </t>
  </si>
  <si>
    <t>cat_indicator_desc</t>
  </si>
  <si>
    <t>Descripción de terminal automatizado (ATM / kiosko)</t>
  </si>
  <si>
    <t xml:space="preserve">N/A                                     </t>
  </si>
  <si>
    <t>cashback_indicator</t>
  </si>
  <si>
    <t>Indica si la transacción incluye cashback</t>
  </si>
  <si>
    <t>transaction_id_exclusion_reason</t>
  </si>
  <si>
    <t>Motivo de exclusión del ID de transacción</t>
  </si>
  <si>
    <t>card_capability</t>
  </si>
  <si>
    <t>Capacidades de la tarjeta utilizada</t>
  </si>
  <si>
    <t>issuer_bid</t>
  </si>
  <si>
    <t>Identificador del banco emisor</t>
  </si>
  <si>
    <t>issuer</t>
  </si>
  <si>
    <t>Emisor</t>
  </si>
  <si>
    <t>INTERBANK - BANCO INTERNACIONAL DEL PERU</t>
  </si>
  <si>
    <t>issuer_bin</t>
  </si>
  <si>
    <t>BIN del banco emisor</t>
  </si>
  <si>
    <t>issuer_country</t>
  </si>
  <si>
    <t>País del banco emisor</t>
  </si>
  <si>
    <t>acquirer_reference_number</t>
  </si>
  <si>
    <t>Número de referencia del adquirente (ARN)</t>
  </si>
  <si>
    <t>74096235309000120386206</t>
  </si>
  <si>
    <t>merchant_category_code</t>
  </si>
  <si>
    <t>Código MCC del comercio</t>
  </si>
  <si>
    <t>merchant_category_desc</t>
  </si>
  <si>
    <t>Nombre del giro del comercio</t>
  </si>
  <si>
    <t>FINANCIAL INST/MERCHANDISE</t>
  </si>
  <si>
    <t>merchant_name_raw</t>
  </si>
  <si>
    <t>Nombre original del comercio</t>
  </si>
  <si>
    <t xml:space="preserve">DINERS CLUB PERU SA      </t>
  </si>
  <si>
    <t>merchant_name</t>
  </si>
  <si>
    <t>Nombre estandarizado del comercio</t>
  </si>
  <si>
    <t>merchant_city</t>
  </si>
  <si>
    <t>Ciudad del comercio</t>
  </si>
  <si>
    <t xml:space="preserve">Visa Direct  </t>
  </si>
  <si>
    <t>merchant_country</t>
  </si>
  <si>
    <t>País del comercio</t>
  </si>
  <si>
    <t>notification_code</t>
  </si>
  <si>
    <t>Código de notificación del fraude</t>
  </si>
  <si>
    <t>1</t>
  </si>
  <si>
    <t>fraud_type</t>
  </si>
  <si>
    <t>Código del tipo o categoría de fraude</t>
  </si>
  <si>
    <t>6</t>
  </si>
  <si>
    <t>fraud_type_desc</t>
  </si>
  <si>
    <t>Descripción del tipo o categoría de fraude</t>
  </si>
  <si>
    <t>ACCT USE</t>
  </si>
  <si>
    <t>account_funding_source</t>
  </si>
  <si>
    <t>Origen de los fondos de la cuenta</t>
  </si>
  <si>
    <t xml:space="preserve">Debit                         </t>
  </si>
  <si>
    <t>convenience_check_indicator</t>
  </si>
  <si>
    <t>Indica si fue un convenience check</t>
  </si>
  <si>
    <t>fraud_investigative_status</t>
  </si>
  <si>
    <t>Estado de la investigación del fraude</t>
  </si>
  <si>
    <t xml:space="preserve">  </t>
  </si>
  <si>
    <t>currency_code</t>
  </si>
  <si>
    <t>Código de moneda de la transacción</t>
  </si>
  <si>
    <t>604</t>
  </si>
  <si>
    <t>currency_desc</t>
  </si>
  <si>
    <t>Moneda de la transacción</t>
  </si>
  <si>
    <t xml:space="preserve">NUEVO SOL   </t>
  </si>
  <si>
    <t>metrics</t>
  </si>
  <si>
    <t>Indicadores o métricas asociadas al fraude</t>
  </si>
  <si>
    <t>fraud_amount</t>
  </si>
  <si>
    <t>Monto del fraude en moneda base</t>
  </si>
  <si>
    <t>fraud_amount_local_currency</t>
  </si>
  <si>
    <t>Monto del fraude en moneda local</t>
  </si>
  <si>
    <t>process_date</t>
  </si>
  <si>
    <t>Fecha de foto/datos configurada en el ETL para la extracción de datos, corresponde a aperturas de comercios hasta el cierre del día anterior</t>
  </si>
  <si>
    <t>DATE</t>
  </si>
  <si>
    <t>record_source</t>
  </si>
  <si>
    <t>Dato de Auditoría: Descripción del aplicativo origen de los datos.</t>
  </si>
  <si>
    <t>as400</t>
  </si>
  <si>
    <t>load_date</t>
  </si>
  <si>
    <t>Fecha y hora de inserción del registro en el modelo</t>
  </si>
  <si>
    <t>DATETIME</t>
  </si>
  <si>
    <t>2025-07-04T03:07:39.145385</t>
  </si>
  <si>
    <t>creation_user</t>
  </si>
  <si>
    <t>Usuario que crea el registro en la BD</t>
  </si>
  <si>
    <t>prd-data-operation-migration@prd-izipay-data-operation.iam.gserviceaccount.com</t>
  </si>
  <si>
    <t>1187894403</t>
  </si>
  <si>
    <t>entered_date</t>
  </si>
  <si>
    <t>Fecha en que el caso fue ingresado al sistema</t>
  </si>
  <si>
    <t>transaction_date</t>
  </si>
  <si>
    <t>Fecha en que ocurrió la transacción</t>
  </si>
  <si>
    <t>Banco emisor de la tarjeta</t>
  </si>
  <si>
    <t>1155 - Bank of America, National Association</t>
  </si>
  <si>
    <t>Banco adquirente del comercio</t>
  </si>
  <si>
    <t>7963 - Procesos de Medios de Pago S.A.</t>
  </si>
  <si>
    <t>status</t>
  </si>
  <si>
    <t>Estado del caso de fraude</t>
  </si>
  <si>
    <t>Success</t>
  </si>
  <si>
    <t>audit_control_number</t>
  </si>
  <si>
    <t>Número de control de auditoría</t>
  </si>
  <si>
    <t>885560406885376</t>
  </si>
  <si>
    <t>Tipo principal de fraude</t>
  </si>
  <si>
    <t>00 -  LOST</t>
  </si>
  <si>
    <t>fraud_subtype</t>
  </si>
  <si>
    <t>Subcategoría del fraude</t>
  </si>
  <si>
    <t>U - Unknown</t>
  </si>
  <si>
    <t>card_number</t>
  </si>
  <si>
    <t>Número de tarjeta (puede estar enmascarado)</t>
  </si>
  <si>
    <t>558962******7990</t>
  </si>
  <si>
    <t>card_product_code</t>
  </si>
  <si>
    <t>Código del producto de la tarjeta</t>
  </si>
  <si>
    <t>MWB</t>
  </si>
  <si>
    <t>post_date</t>
  </si>
  <si>
    <t>Fecha de contabilización</t>
  </si>
  <si>
    <t>transaction_currency_code</t>
  </si>
  <si>
    <t>settle_date</t>
  </si>
  <si>
    <t>Fecha de liquidación</t>
  </si>
  <si>
    <t>billing_currency_code</t>
  </si>
  <si>
    <t>Código de moneda de facturación</t>
  </si>
  <si>
    <t>840</t>
  </si>
  <si>
    <t>Nombre del comercio</t>
  </si>
  <si>
    <t>IZI*ARTESANIA CRISTIAN</t>
  </si>
  <si>
    <t>merchant_city_name</t>
  </si>
  <si>
    <t>ICA</t>
  </si>
  <si>
    <t>merchant_country_code</t>
  </si>
  <si>
    <t>PER</t>
  </si>
  <si>
    <t>merchant_state_code</t>
  </si>
  <si>
    <t>Estado del comercio</t>
  </si>
  <si>
    <t>UN</t>
  </si>
  <si>
    <t>merchant_province_code</t>
  </si>
  <si>
    <t>Provincia o región del comercio</t>
  </si>
  <si>
    <t>merchant_postal_code</t>
  </si>
  <si>
    <t>Código postal del comercio</t>
  </si>
  <si>
    <t>merchant_id</t>
  </si>
  <si>
    <t>5559184</t>
  </si>
  <si>
    <t>mcc</t>
  </si>
  <si>
    <t>Código de categoría del comercio</t>
  </si>
  <si>
    <t>5970 - ARTIST SUPPLY STORES  CRAFT SHOPS</t>
  </si>
  <si>
    <t>auth_response_code</t>
  </si>
  <si>
    <t>Código de respuesta de autorización</t>
  </si>
  <si>
    <t>00</t>
  </si>
  <si>
    <t>Forma de ingreso de datos de la tarjeta</t>
  </si>
  <si>
    <t>07 - Credential on File (effective June 12, 2018)</t>
  </si>
  <si>
    <t>Identificador del terminal</t>
  </si>
  <si>
    <t>32N32938</t>
  </si>
  <si>
    <t>chargeback_code</t>
  </si>
  <si>
    <t>Código asociado al contracargo</t>
  </si>
  <si>
    <t>75301505309001368400018</t>
  </si>
  <si>
    <t>trace_id</t>
  </si>
  <si>
    <t>Identificador de rastreo de la transacción</t>
  </si>
  <si>
    <t>terminal_attendance_code</t>
  </si>
  <si>
    <t>Indica si el terminal es atendido o no</t>
  </si>
  <si>
    <t>0 - Attended Terminal</t>
  </si>
  <si>
    <t>card_present_type</t>
  </si>
  <si>
    <t>Indica si la tarjeta estuvo presente</t>
  </si>
  <si>
    <t>0 - Card Not Present</t>
  </si>
  <si>
    <t>terminal_capability_code</t>
  </si>
  <si>
    <t>Capacidades del terminal</t>
  </si>
  <si>
    <t>3 - Contactless M/Chip</t>
  </si>
  <si>
    <t>electronic_commerce_indicator</t>
  </si>
  <si>
    <t>Indicador de comercio electrónico</t>
  </si>
  <si>
    <t>* - Unknown</t>
  </si>
  <si>
    <t>cvc_code</t>
  </si>
  <si>
    <t>Resultado de validación del CVC</t>
  </si>
  <si>
    <t>?</t>
  </si>
  <si>
    <t>fraud_report_date</t>
  </si>
  <si>
    <t>Fecha de reporte del fraude</t>
  </si>
  <si>
    <t>account_device_code</t>
  </si>
  <si>
    <t>Tipo de dispositivo de la cuenta</t>
  </si>
  <si>
    <t>authentication_result</t>
  </si>
  <si>
    <t>Resultado de autenticación</t>
  </si>
  <si>
    <t>9 - Unknown</t>
  </si>
  <si>
    <t>program_protocol</t>
  </si>
  <si>
    <t>Protocolo del programa de autenticación</t>
  </si>
  <si>
    <t>directory_server_id</t>
  </si>
  <si>
    <t>Identificador del servidor de directorio</t>
  </si>
  <si>
    <t>token_pan_num</t>
  </si>
  <si>
    <t>PAN tokenizado</t>
  </si>
  <si>
    <t>539004******4376</t>
  </si>
  <si>
    <t>mc_built</t>
  </si>
  <si>
    <t>Indicador de construcción MasterCard</t>
  </si>
  <si>
    <t>submission_type</t>
  </si>
  <si>
    <t>Tipo de envío del registro</t>
  </si>
  <si>
    <t>FDA</t>
  </si>
  <si>
    <t>banknet_reference_number</t>
  </si>
  <si>
    <t>Referencia de la red Banknet</t>
  </si>
  <si>
    <t>62MPPF</t>
  </si>
  <si>
    <t>billing_currency_exponent</t>
  </si>
  <si>
    <t>Exponente de la moneda de facturación</t>
  </si>
  <si>
    <t>2</t>
  </si>
  <si>
    <t>cardholder_presence_code</t>
  </si>
  <si>
    <t>Presencia del tarjetahabiente</t>
  </si>
  <si>
    <t>0 - Cardholder present</t>
  </si>
  <si>
    <t>cat_level_indicator</t>
  </si>
  <si>
    <t>Nivel del terminal automatizado</t>
  </si>
  <si>
    <t>* - Unclassified</t>
  </si>
  <si>
    <t>payment_transaction_type_code</t>
  </si>
  <si>
    <t>Tipo de transacción de pago</t>
  </si>
  <si>
    <t>switch_serial_id</t>
  </si>
  <si>
    <t>Número serial del switch</t>
  </si>
  <si>
    <t>terminal_operating_environment_code</t>
  </si>
  <si>
    <t>Entorno operativo del terminal</t>
  </si>
  <si>
    <t>1 - On card acceptor, attended</t>
  </si>
  <si>
    <t>transaction_currency_exponent</t>
  </si>
  <si>
    <t>Exponente de la moneda de la transacción</t>
  </si>
  <si>
    <t>transaction_type</t>
  </si>
  <si>
    <t>Tipo de transacción</t>
  </si>
  <si>
    <t>auth_code</t>
  </si>
  <si>
    <t>Código de autorización</t>
  </si>
  <si>
    <t>03458Q</t>
  </si>
  <si>
    <t>di_score</t>
  </si>
  <si>
    <t>Puntaje de detección de fraude</t>
  </si>
  <si>
    <t>405</t>
  </si>
  <si>
    <t>di_score_reason</t>
  </si>
  <si>
    <t>Motivo del puntaje DI</t>
  </si>
  <si>
    <t>57</t>
  </si>
  <si>
    <t>us_bill_amount</t>
  </si>
  <si>
    <t>Monto facturado en USD</t>
  </si>
  <si>
    <t>transaction_amount</t>
  </si>
  <si>
    <t>Monto original de la transacción</t>
  </si>
  <si>
    <t>us_trans_amount</t>
  </si>
  <si>
    <t>Monto de la transacción en USD</t>
  </si>
  <si>
    <t>bill_amount</t>
  </si>
  <si>
    <t>Monto facturado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</si>
</sst>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4">
    <font>
      <sz val="11"/>
      <color theme="1"/>
      <name val="Calibri"/>
      <family val="2"/>
      <scheme val="minor"/>
    </font>
    <font>
      <b/>
      <sz val="11"/>
      <color theme="1"/>
      <name val="Calibri"/>
      <family val="2"/>
      <scheme val="minor"/>
    </font>
    <font>
      <b/>
      <sz val="11"/>
      <color rgb="FFFFFFFF"/>
      <name val="Calibri"/>
      <family val="2"/>
      <scheme val="minor"/>
    </font>
    <font>
      <sz val="11"/>
      <color rgb="FFFFFFFF"/>
      <name val="Calibri"/>
      <family val="2"/>
      <scheme val="minor"/>
    </font>
    <font>
      <sz val="11"/>
      <color theme="1"/>
      <name val="Exo"/>
    </font>
    <font>
      <u/>
      <sz val="11"/>
      <color theme="10"/>
      <name val="Calibri"/>
      <family val="2"/>
      <scheme val="minor"/>
    </font>
    <font>
      <b/>
      <sz val="12"/>
      <color rgb="FFFFFFFF"/>
      <name val="Calibri"/>
      <family val="2"/>
      <scheme val="minor"/>
    </font>
    <font>
      <sz val="12"/>
      <color rgb="FFFFFFFF"/>
      <name val="Calibri"/>
      <family val="2"/>
      <scheme val="minor"/>
    </font>
    <font>
      <b/>
      <sz val="12"/>
      <color theme="1"/>
      <name val="Calibri"/>
      <family val="2"/>
      <scheme val="minor"/>
    </font>
    <font>
      <sz val="11"/>
      <color rgb="FF222222"/>
      <name val="Calibri"/>
      <family val="2"/>
      <scheme val="minor"/>
    </font>
    <font>
      <b/>
      <sz val="23"/>
      <color theme="1"/>
      <name val="Calibri"/>
      <family val="2"/>
      <scheme val="minor"/>
    </font>
    <font>
      <sz val="11"/>
      <color rgb="FF000000"/>
      <name val="Calibri"/>
      <family val="2"/>
      <scheme val="minor"/>
    </font>
    <font>
      <b/>
      <sz val="11"/>
      <color rgb="FF000000"/>
      <name val="Calibri"/>
      <family val="2"/>
      <scheme val="minor"/>
    </font>
    <font>
      <sz val="10"/>
      <color theme="1"/>
      <name val="Arial"/>
      <family val="2"/>
    </font>
  </fonts>
  <fills count="6">
    <fill>
      <patternFill patternType="none"/>
    </fill>
    <fill>
      <patternFill patternType="gray125"/>
    </fill>
    <fill>
      <patternFill patternType="solid">
        <fgColor rgb="FF333399"/>
        <bgColor indexed="64"/>
      </patternFill>
    </fill>
    <fill>
      <patternFill patternType="solid">
        <fgColor rgb="FF99CCFF"/>
        <bgColor indexed="64"/>
      </patternFill>
    </fill>
    <fill>
      <patternFill patternType="solid">
        <fgColor rgb="FFFFFFFF"/>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33">
    <xf numFmtId="0" fontId="0" fillId="0" borderId="0" xfId="0"/>
    <xf numFmtId="0" fontId="0" fillId="0" borderId="0" xfId="0" applyAlignment="1">
      <alignment wrapText="1"/>
    </xf>
    <xf numFmtId="0" fontId="1" fillId="0" borderId="0" xfId="0" applyFont="1" applyAlignment="1">
      <alignment wrapText="1"/>
    </xf>
    <xf numFmtId="0" fontId="0" fillId="0" borderId="0" xfId="0" applyAlignment="1">
      <alignment vertical="center"/>
    </xf>
    <xf numFmtId="0" fontId="0" fillId="0" borderId="0" xfId="0" applyAlignment="1">
      <alignment vertical="center" wrapText="1"/>
    </xf>
    <xf numFmtId="0" fontId="0" fillId="0" borderId="1" xfId="0" applyBorder="1" applyAlignment="1">
      <alignment horizontal="center" wrapText="1"/>
    </xf>
    <xf numFmtId="0" fontId="5" fillId="0" borderId="1" xfId="1" applyBorder="1" applyAlignment="1">
      <alignment wrapText="1"/>
    </xf>
    <xf numFmtId="0" fontId="0" fillId="0" borderId="1" xfId="0" applyBorder="1"/>
    <xf numFmtId="0" fontId="0" fillId="0" borderId="1" xfId="0" applyBorder="1" applyAlignment="1">
      <alignment wrapText="1"/>
    </xf>
    <xf numFmtId="0" fontId="10" fillId="0" borderId="0" xfId="0" applyFont="1" applyAlignment="1">
      <alignment vertical="center"/>
    </xf>
    <xf numFmtId="0" fontId="2" fillId="2" borderId="1" xfId="0" applyFont="1" applyFill="1" applyBorder="1" applyAlignment="1">
      <alignment horizontal="center" vertical="center" wrapText="1"/>
    </xf>
    <xf numFmtId="0" fontId="0" fillId="0" borderId="1" xfId="0" applyBorder="1" applyAlignment="1">
      <alignment horizontal="right" wrapText="1"/>
    </xf>
    <xf numFmtId="0" fontId="0" fillId="4" borderId="1" xfId="0" applyFill="1" applyBorder="1" applyAlignment="1">
      <alignment vertical="top" wrapText="1"/>
    </xf>
    <xf numFmtId="0" fontId="13" fillId="4" borderId="1" xfId="0" applyFont="1" applyFill="1" applyBorder="1" applyAlignment="1">
      <alignment horizontal="center" vertical="center" wrapText="1"/>
    </xf>
    <xf numFmtId="0" fontId="2" fillId="2" borderId="1" xfId="0" applyFont="1" applyFill="1" applyBorder="1" applyAlignment="1">
      <alignment horizontal="center" wrapText="1"/>
    </xf>
    <xf numFmtId="0" fontId="3" fillId="2" borderId="1" xfId="0" applyFont="1" applyFill="1" applyBorder="1" applyAlignment="1">
      <alignment horizontal="center" wrapText="1"/>
    </xf>
    <xf numFmtId="0" fontId="4" fillId="3"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3" borderId="1" xfId="0" applyFill="1" applyBorder="1" applyAlignment="1">
      <alignment vertical="center" wrapText="1"/>
    </xf>
    <xf numFmtId="0" fontId="6" fillId="2"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8" fillId="3" borderId="1" xfId="0" applyFont="1" applyFill="1" applyBorder="1" applyAlignment="1">
      <alignment horizontal="center" vertical="center" wrapText="1"/>
    </xf>
    <xf numFmtId="0" fontId="0" fillId="0" borderId="1" xfId="0" applyBorder="1" applyAlignment="1">
      <alignment horizontal="center" vertical="center"/>
    </xf>
    <xf numFmtId="0" fontId="9" fillId="0" borderId="1" xfId="0" applyFont="1" applyBorder="1" applyAlignment="1">
      <alignment horizontal="center" vertical="center"/>
    </xf>
    <xf numFmtId="0" fontId="0" fillId="0" borderId="1" xfId="0" applyBorder="1" applyAlignment="1">
      <alignment vertical="center"/>
    </xf>
    <xf numFmtId="0" fontId="5" fillId="0" borderId="1" xfId="1" applyBorder="1" applyAlignment="1">
      <alignment vertical="center"/>
    </xf>
    <xf numFmtId="0" fontId="0" fillId="0" borderId="1" xfId="0" applyBorder="1" applyAlignment="1">
      <alignment horizontal="left"/>
    </xf>
    <xf numFmtId="164" fontId="0" fillId="0" borderId="1" xfId="0" applyNumberFormat="1" applyBorder="1" applyAlignment="1">
      <alignment horizontal="left"/>
    </xf>
    <xf numFmtId="39" fontId="0" fillId="0" borderId="1" xfId="0" applyNumberFormat="1" applyBorder="1" applyAlignment="1">
      <alignment horizontal="left"/>
    </xf>
    <xf numFmtId="14"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vertical="center"/>
    </xf>
    <xf numFmtId="0" fontId="11" fillId="0" borderId="0" xfId="0" applyFont="1" applyAlignment="1">
      <alignment vertical="center" wrapText="1"/>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hyperlink" Target="mailto:mc2103@izipay.pe" TargetMode="External"/><Relationship Id="rId1" Type="http://schemas.openxmlformats.org/officeDocument/2006/relationships/hyperlink" Target="mailto:mc2103@izipay.pe" TargetMode="External"/></Relationships>
</file>

<file path=xl/worksheets/_rels/sheet3.xml.rels><?xml version="1.0" encoding="UTF-8" standalone="yes"?>
<Relationships xmlns="http://schemas.openxmlformats.org/package/2006/relationships"><Relationship Id="rId1" Type="http://schemas.openxmlformats.org/officeDocument/2006/relationships/hyperlink" Target="mailto:prd-data-operation-migration@prd-izipay-data-operation.iam.gserviceaccount.com" TargetMode="External"/></Relationships>
</file>

<file path=xl/worksheets/_rels/sheet4.xml.rels><?xml version="1.0" encoding="UTF-8" standalone="yes"?>
<Relationships xmlns="http://schemas.openxmlformats.org/package/2006/relationships"><Relationship Id="rId1" Type="http://schemas.openxmlformats.org/officeDocument/2006/relationships/hyperlink" Target="mailto:prd-data-operation-migration@prd-izipay-data-operation.iam.gserviceaccount.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4B969-DDCF-4033-BEF7-29FEF7CDA28A}">
  <dimension ref="A1:G13"/>
  <sheetViews>
    <sheetView showGridLines="0" workbookViewId="0">
      <selection activeCell="E20" sqref="E20"/>
    </sheetView>
  </sheetViews>
  <sheetFormatPr baseColWidth="10" defaultColWidth="11.44140625" defaultRowHeight="14.4"/>
  <cols>
    <col min="1" max="1" width="7.33203125" customWidth="1"/>
    <col min="2" max="5" width="23.33203125" customWidth="1"/>
    <col min="6" max="6" width="27.88671875" customWidth="1"/>
    <col min="7" max="7" width="23.33203125" customWidth="1"/>
  </cols>
  <sheetData>
    <row r="1" spans="1:7">
      <c r="A1" s="1"/>
      <c r="B1" s="1"/>
      <c r="C1" s="1"/>
      <c r="D1" s="1"/>
      <c r="E1" s="1"/>
      <c r="F1" s="1"/>
      <c r="G1" s="1"/>
    </row>
    <row r="2" spans="1:7" ht="29.4">
      <c r="A2" s="9" t="s">
        <v>0</v>
      </c>
      <c r="B2" s="1"/>
      <c r="C2" s="1"/>
      <c r="D2" s="1"/>
      <c r="E2" s="1"/>
      <c r="F2" s="1"/>
      <c r="G2" s="1"/>
    </row>
    <row r="3" spans="1:7" s="1" customFormat="1" ht="66" customHeight="1">
      <c r="A3" s="32" t="s">
        <v>1</v>
      </c>
      <c r="B3" s="32"/>
      <c r="C3" s="32"/>
      <c r="D3" s="32"/>
      <c r="E3" s="32"/>
      <c r="F3" s="32"/>
      <c r="G3" s="32"/>
    </row>
    <row r="4" spans="1:7">
      <c r="A4" s="1"/>
      <c r="B4" s="1"/>
      <c r="C4" s="1"/>
      <c r="D4" s="1"/>
      <c r="E4" s="1"/>
      <c r="F4" s="1"/>
      <c r="G4" s="1"/>
    </row>
    <row r="5" spans="1:7">
      <c r="A5" s="10" t="s">
        <v>2</v>
      </c>
      <c r="B5" s="10" t="s">
        <v>3</v>
      </c>
      <c r="C5" s="10" t="s">
        <v>4</v>
      </c>
      <c r="D5" s="10" t="s">
        <v>5</v>
      </c>
      <c r="E5" s="10" t="s">
        <v>6</v>
      </c>
      <c r="F5" s="10" t="s">
        <v>7</v>
      </c>
      <c r="G5" s="10" t="s">
        <v>8</v>
      </c>
    </row>
    <row r="6" spans="1:7">
      <c r="A6" s="11">
        <v>1</v>
      </c>
      <c r="B6" s="8" t="s">
        <v>9</v>
      </c>
      <c r="C6" s="8" t="s">
        <v>9</v>
      </c>
      <c r="D6" s="8" t="s">
        <v>9</v>
      </c>
      <c r="E6" s="8" t="s">
        <v>10</v>
      </c>
      <c r="F6" s="12" t="s">
        <v>11</v>
      </c>
      <c r="G6" s="13" t="s">
        <v>12</v>
      </c>
    </row>
    <row r="7" spans="1:7">
      <c r="A7" s="11">
        <v>2</v>
      </c>
      <c r="B7" s="8" t="s">
        <v>9</v>
      </c>
      <c r="C7" s="8" t="s">
        <v>9</v>
      </c>
      <c r="D7" s="8" t="s">
        <v>9</v>
      </c>
      <c r="E7" s="8" t="s">
        <v>10</v>
      </c>
      <c r="F7" s="12" t="s">
        <v>13</v>
      </c>
      <c r="G7" s="13" t="s">
        <v>14</v>
      </c>
    </row>
    <row r="8" spans="1:7">
      <c r="A8" s="11"/>
      <c r="B8" s="8"/>
      <c r="C8" s="8"/>
      <c r="D8" s="8"/>
      <c r="E8" s="8"/>
      <c r="F8" s="12"/>
      <c r="G8" s="13"/>
    </row>
    <row r="9" spans="1:7">
      <c r="A9" s="11"/>
      <c r="B9" s="8"/>
      <c r="C9" s="8"/>
      <c r="D9" s="8"/>
      <c r="E9" s="8"/>
      <c r="F9" s="12"/>
      <c r="G9" s="13"/>
    </row>
    <row r="10" spans="1:7">
      <c r="A10" s="11"/>
      <c r="B10" s="8"/>
      <c r="C10" s="8"/>
      <c r="D10" s="8"/>
      <c r="E10" s="8"/>
      <c r="F10" s="12"/>
      <c r="G10" s="13"/>
    </row>
    <row r="11" spans="1:7">
      <c r="A11" s="11"/>
      <c r="B11" s="8"/>
      <c r="C11" s="8"/>
      <c r="D11" s="8"/>
      <c r="E11" s="8"/>
      <c r="F11" s="12"/>
      <c r="G11" s="13"/>
    </row>
    <row r="12" spans="1:7">
      <c r="A12" s="1"/>
      <c r="B12" s="1"/>
      <c r="C12" s="1"/>
      <c r="D12" s="1"/>
      <c r="E12" s="1"/>
      <c r="F12" s="1"/>
      <c r="G12" s="1"/>
    </row>
    <row r="13" spans="1:7">
      <c r="A13" s="1"/>
      <c r="B13" s="1"/>
      <c r="C13" s="1"/>
      <c r="D13" s="1"/>
      <c r="E13" s="1"/>
      <c r="F13" s="1"/>
      <c r="G13" s="1"/>
    </row>
  </sheetData>
  <mergeCells count="1">
    <mergeCell ref="A3:G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T11"/>
  <sheetViews>
    <sheetView showGridLines="0" topLeftCell="G1" workbookViewId="0">
      <selection activeCell="I10" sqref="I10"/>
    </sheetView>
  </sheetViews>
  <sheetFormatPr baseColWidth="10" defaultColWidth="9.109375" defaultRowHeight="14.4"/>
  <cols>
    <col min="1" max="7" width="33.33203125" customWidth="1"/>
    <col min="8" max="8" width="25.109375" customWidth="1"/>
    <col min="9" max="9" width="115.33203125" customWidth="1"/>
    <col min="10" max="20" width="33.33203125" customWidth="1"/>
  </cols>
  <sheetData>
    <row r="1" spans="1:20">
      <c r="A1" s="14" t="s">
        <v>15</v>
      </c>
      <c r="B1" s="14" t="s">
        <v>16</v>
      </c>
      <c r="C1" s="14" t="s">
        <v>17</v>
      </c>
      <c r="D1" s="14" t="s">
        <v>18</v>
      </c>
      <c r="E1" s="14" t="s">
        <v>19</v>
      </c>
      <c r="F1" s="15" t="s">
        <v>20</v>
      </c>
      <c r="G1" s="14" t="s">
        <v>21</v>
      </c>
      <c r="H1" s="14" t="s">
        <v>6</v>
      </c>
      <c r="I1" s="14" t="s">
        <v>8</v>
      </c>
      <c r="J1" s="14" t="s">
        <v>22</v>
      </c>
      <c r="K1" s="14" t="s">
        <v>23</v>
      </c>
      <c r="L1" s="14" t="s">
        <v>24</v>
      </c>
      <c r="M1" s="14" t="s">
        <v>25</v>
      </c>
      <c r="N1" s="14" t="s">
        <v>26</v>
      </c>
      <c r="O1" s="14" t="s">
        <v>27</v>
      </c>
      <c r="P1" s="14" t="s">
        <v>28</v>
      </c>
      <c r="Q1" s="14" t="s">
        <v>29</v>
      </c>
      <c r="R1" s="14" t="s">
        <v>30</v>
      </c>
      <c r="S1" s="14" t="s">
        <v>31</v>
      </c>
      <c r="T1" s="14" t="s">
        <v>32</v>
      </c>
    </row>
    <row r="2" spans="1:20" ht="41.4">
      <c r="A2" s="16" t="s">
        <v>33</v>
      </c>
      <c r="B2" s="16" t="s">
        <v>34</v>
      </c>
      <c r="C2" s="16" t="s">
        <v>35</v>
      </c>
      <c r="D2" s="16" t="s">
        <v>36</v>
      </c>
      <c r="E2" s="16" t="s">
        <v>37</v>
      </c>
      <c r="F2" s="16" t="s">
        <v>38</v>
      </c>
      <c r="G2" s="16" t="s">
        <v>39</v>
      </c>
      <c r="H2" s="16" t="s">
        <v>40</v>
      </c>
      <c r="I2" s="16" t="s">
        <v>41</v>
      </c>
      <c r="J2" s="17" t="s">
        <v>42</v>
      </c>
      <c r="K2" s="17" t="s">
        <v>43</v>
      </c>
      <c r="L2" s="18"/>
      <c r="M2" s="16" t="s">
        <v>44</v>
      </c>
      <c r="N2" s="16" t="s">
        <v>45</v>
      </c>
      <c r="O2" s="16" t="s">
        <v>46</v>
      </c>
      <c r="P2" s="16" t="s">
        <v>47</v>
      </c>
      <c r="Q2" s="16" t="s">
        <v>48</v>
      </c>
      <c r="R2" s="16" t="s">
        <v>49</v>
      </c>
      <c r="S2" s="16" t="s">
        <v>50</v>
      </c>
      <c r="T2" s="16" t="s">
        <v>51</v>
      </c>
    </row>
    <row r="3" spans="1:20">
      <c r="A3" s="5" t="s">
        <v>52</v>
      </c>
      <c r="B3" s="5" t="s">
        <v>53</v>
      </c>
      <c r="C3" s="5" t="s">
        <v>54</v>
      </c>
      <c r="D3" s="5" t="s">
        <v>53</v>
      </c>
      <c r="E3" s="5" t="s">
        <v>54</v>
      </c>
      <c r="F3" s="5" t="s">
        <v>55</v>
      </c>
      <c r="G3" s="5" t="s">
        <v>56</v>
      </c>
      <c r="H3" s="6" t="s">
        <v>57</v>
      </c>
      <c r="I3" s="7" t="s">
        <v>58</v>
      </c>
      <c r="J3" s="5" t="s">
        <v>59</v>
      </c>
      <c r="K3" s="5" t="s">
        <v>60</v>
      </c>
      <c r="L3" s="8"/>
      <c r="M3" s="6" t="s">
        <v>61</v>
      </c>
      <c r="N3" s="5" t="s">
        <v>62</v>
      </c>
      <c r="O3" s="5" t="s">
        <v>63</v>
      </c>
      <c r="P3" s="5" t="s">
        <v>64</v>
      </c>
      <c r="Q3" s="5" t="s">
        <v>65</v>
      </c>
      <c r="R3" s="5"/>
      <c r="S3" s="5"/>
      <c r="T3" s="5"/>
    </row>
    <row r="4" spans="1:20">
      <c r="A4" s="5" t="s">
        <v>52</v>
      </c>
      <c r="B4" s="5" t="s">
        <v>53</v>
      </c>
      <c r="C4" s="5" t="s">
        <v>54</v>
      </c>
      <c r="D4" s="5" t="s">
        <v>53</v>
      </c>
      <c r="E4" s="5" t="s">
        <v>54</v>
      </c>
      <c r="F4" s="5" t="s">
        <v>55</v>
      </c>
      <c r="G4" s="5" t="s">
        <v>56</v>
      </c>
      <c r="H4" s="6" t="s">
        <v>66</v>
      </c>
      <c r="I4" s="7" t="s">
        <v>67</v>
      </c>
      <c r="J4" s="5" t="s">
        <v>59</v>
      </c>
      <c r="K4" s="5" t="s">
        <v>60</v>
      </c>
      <c r="L4" s="8"/>
      <c r="M4" s="6" t="s">
        <v>61</v>
      </c>
      <c r="N4" s="5" t="s">
        <v>62</v>
      </c>
      <c r="O4" s="5" t="s">
        <v>63</v>
      </c>
      <c r="P4" s="5" t="s">
        <v>64</v>
      </c>
      <c r="Q4" s="5" t="s">
        <v>65</v>
      </c>
      <c r="R4" s="5"/>
      <c r="S4" s="5"/>
      <c r="T4" s="5"/>
    </row>
    <row r="5" spans="1:20">
      <c r="A5" s="1"/>
      <c r="B5" s="1"/>
      <c r="C5" s="1"/>
      <c r="D5" s="1"/>
      <c r="E5" s="1"/>
      <c r="F5" s="1"/>
      <c r="G5" s="1"/>
      <c r="H5" s="1"/>
      <c r="I5" s="1"/>
      <c r="J5" s="1"/>
      <c r="K5" s="1"/>
      <c r="L5" s="1"/>
      <c r="M5" s="1"/>
      <c r="N5" s="1"/>
      <c r="O5" s="1"/>
      <c r="P5" s="1"/>
      <c r="Q5" s="1"/>
      <c r="R5" s="1"/>
      <c r="S5" s="1"/>
      <c r="T5" s="1"/>
    </row>
    <row r="6" spans="1:20">
      <c r="A6" s="2" t="s">
        <v>68</v>
      </c>
      <c r="B6" s="1"/>
      <c r="C6" s="1"/>
      <c r="D6" s="1"/>
      <c r="E6" s="1"/>
      <c r="F6" s="1"/>
      <c r="G6" s="1"/>
      <c r="H6" s="1"/>
      <c r="I6" s="1"/>
      <c r="J6" s="1"/>
      <c r="K6" s="1"/>
      <c r="L6" s="1"/>
      <c r="M6" s="1"/>
      <c r="N6" s="1"/>
      <c r="O6" s="1"/>
      <c r="P6" s="1"/>
      <c r="Q6" s="1"/>
      <c r="R6" s="1"/>
      <c r="S6" s="1"/>
      <c r="T6" s="1"/>
    </row>
    <row r="7" spans="1:20">
      <c r="A7" s="3" t="s">
        <v>69</v>
      </c>
      <c r="B7" s="1"/>
      <c r="C7" s="1"/>
      <c r="D7" s="4"/>
      <c r="E7" s="4"/>
      <c r="F7" s="4"/>
      <c r="G7" s="4"/>
      <c r="H7" s="1"/>
      <c r="I7" s="1"/>
      <c r="J7" s="1"/>
      <c r="K7" s="1"/>
      <c r="L7" s="1"/>
      <c r="M7" s="1"/>
      <c r="N7" s="1"/>
      <c r="O7" s="1"/>
      <c r="P7" s="1"/>
      <c r="Q7" s="1"/>
      <c r="R7" s="1"/>
      <c r="S7" s="1"/>
      <c r="T7" s="1"/>
    </row>
    <row r="8" spans="1:20">
      <c r="A8" s="3" t="s">
        <v>70</v>
      </c>
      <c r="B8" s="1"/>
      <c r="C8" s="1"/>
      <c r="D8" s="4"/>
      <c r="E8" s="4"/>
      <c r="F8" s="4"/>
      <c r="G8" s="4"/>
      <c r="H8" s="1"/>
      <c r="I8" s="1"/>
      <c r="J8" s="1"/>
      <c r="K8" s="1"/>
      <c r="L8" s="1"/>
      <c r="M8" s="1"/>
      <c r="N8" s="1"/>
      <c r="O8" s="1"/>
      <c r="P8" s="1"/>
      <c r="Q8" s="1"/>
      <c r="R8" s="1"/>
      <c r="S8" s="1"/>
      <c r="T8" s="1"/>
    </row>
    <row r="9" spans="1:20">
      <c r="A9" s="3" t="s">
        <v>71</v>
      </c>
      <c r="B9" s="1"/>
      <c r="C9" s="1"/>
      <c r="D9" s="1"/>
      <c r="E9" s="1"/>
      <c r="F9" s="1"/>
      <c r="G9" s="1"/>
      <c r="H9" s="1"/>
      <c r="I9" s="1"/>
      <c r="J9" s="1"/>
      <c r="K9" s="1"/>
      <c r="L9" s="1"/>
      <c r="M9" s="1"/>
      <c r="N9" s="1"/>
      <c r="O9" s="1"/>
      <c r="P9" s="1"/>
      <c r="Q9" s="1"/>
      <c r="R9" s="1"/>
      <c r="S9" s="1"/>
      <c r="T9" s="1"/>
    </row>
    <row r="10" spans="1:20">
      <c r="A10" s="3" t="s">
        <v>72</v>
      </c>
      <c r="B10" s="1"/>
      <c r="C10" s="1"/>
      <c r="D10" s="1"/>
      <c r="E10" s="1"/>
      <c r="F10" s="1"/>
      <c r="G10" s="1"/>
      <c r="H10" s="1"/>
      <c r="I10" s="1"/>
      <c r="J10" s="1"/>
      <c r="K10" s="1"/>
      <c r="L10" s="1"/>
      <c r="M10" s="1"/>
      <c r="N10" s="1"/>
      <c r="O10" s="1"/>
      <c r="P10" s="1"/>
      <c r="Q10" s="1"/>
      <c r="R10" s="1"/>
      <c r="S10" s="1"/>
      <c r="T10" s="1"/>
    </row>
    <row r="11" spans="1:20">
      <c r="A11" s="1"/>
      <c r="B11" s="1"/>
      <c r="C11" s="1"/>
      <c r="D11" s="1"/>
      <c r="E11" s="1"/>
      <c r="F11" s="1"/>
      <c r="G11" s="1"/>
      <c r="H11" s="1"/>
      <c r="I11" s="1"/>
      <c r="J11" s="1"/>
      <c r="K11" s="1"/>
      <c r="L11" s="1"/>
      <c r="M11" s="1"/>
      <c r="N11" s="1"/>
      <c r="O11" s="1"/>
      <c r="P11" s="1"/>
      <c r="Q11" s="1"/>
      <c r="R11" s="1"/>
      <c r="S11" s="1"/>
      <c r="T11" s="1"/>
    </row>
  </sheetData>
  <hyperlinks>
    <hyperlink ref="M3" r:id="rId1" xr:uid="{AE7499B5-4EFF-4EE2-9DA4-B351D470EE4D}"/>
    <hyperlink ref="M4" r:id="rId2" xr:uid="{D5113D94-5015-457B-B7B4-3CC9F976D731}"/>
    <hyperlink ref="H3" location="tc40_details!A1" display="tc40_details" xr:uid="{D83CF018-599C-4F49-867B-925CA3E4644E}"/>
    <hyperlink ref="H4" location="safe!A1" display="safe" xr:uid="{7374F652-CBED-4F9C-82A2-429FF36AC62E}"/>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8BE03-B52F-4C6B-A89B-93AA54382303}">
  <sheetPr codeName="Hoja2"/>
  <dimension ref="A1:M53"/>
  <sheetViews>
    <sheetView showGridLines="0" topLeftCell="B1" workbookViewId="0">
      <pane ySplit="2" topLeftCell="A27" activePane="bottomLeft" state="frozen"/>
      <selection pane="bottomLeft" activeCell="C4" sqref="C4:F17"/>
    </sheetView>
  </sheetViews>
  <sheetFormatPr baseColWidth="10" defaultColWidth="11.44140625" defaultRowHeight="14.4"/>
  <cols>
    <col min="1" max="3" width="29" customWidth="1"/>
    <col min="4" max="4" width="30.44140625" bestFit="1" customWidth="1"/>
    <col min="5" max="6" width="48.33203125" customWidth="1"/>
    <col min="7" max="8" width="29" customWidth="1"/>
    <col min="9" max="9" width="40.5546875" customWidth="1"/>
    <col min="10" max="13" width="29" customWidth="1"/>
  </cols>
  <sheetData>
    <row r="1" spans="1:13" ht="31.2">
      <c r="A1" s="19" t="s">
        <v>20</v>
      </c>
      <c r="B1" s="20" t="s">
        <v>21</v>
      </c>
      <c r="C1" s="20" t="s">
        <v>6</v>
      </c>
      <c r="D1" s="20" t="s">
        <v>7</v>
      </c>
      <c r="E1" s="20" t="s">
        <v>73</v>
      </c>
      <c r="F1" s="20" t="s">
        <v>74</v>
      </c>
      <c r="G1" s="20" t="s">
        <v>75</v>
      </c>
      <c r="H1" s="20" t="s">
        <v>76</v>
      </c>
      <c r="I1" s="20" t="s">
        <v>77</v>
      </c>
      <c r="J1" s="20" t="s">
        <v>78</v>
      </c>
      <c r="K1" s="20" t="s">
        <v>79</v>
      </c>
      <c r="L1" s="20" t="s">
        <v>80</v>
      </c>
      <c r="M1" s="20" t="s">
        <v>81</v>
      </c>
    </row>
    <row r="2" spans="1:13" ht="46.8">
      <c r="A2" s="21" t="s">
        <v>38</v>
      </c>
      <c r="B2" s="21" t="s">
        <v>39</v>
      </c>
      <c r="C2" s="21" t="s">
        <v>82</v>
      </c>
      <c r="D2" s="21" t="s">
        <v>83</v>
      </c>
      <c r="E2" s="21" t="s">
        <v>84</v>
      </c>
      <c r="F2" s="21" t="s">
        <v>85</v>
      </c>
      <c r="G2" s="21" t="s">
        <v>86</v>
      </c>
      <c r="H2" s="21" t="s">
        <v>87</v>
      </c>
      <c r="I2" s="21" t="s">
        <v>88</v>
      </c>
      <c r="J2" s="21" t="s">
        <v>89</v>
      </c>
      <c r="K2" s="21" t="s">
        <v>90</v>
      </c>
      <c r="L2" s="21" t="s">
        <v>91</v>
      </c>
      <c r="M2" s="21" t="s">
        <v>90</v>
      </c>
    </row>
    <row r="3" spans="1:13">
      <c r="A3" s="22" t="s">
        <v>55</v>
      </c>
      <c r="B3" s="22" t="s">
        <v>56</v>
      </c>
      <c r="C3" s="23" t="s">
        <v>57</v>
      </c>
      <c r="D3" s="24" t="s">
        <v>92</v>
      </c>
      <c r="E3" s="24" t="str">
        <f t="shared" ref="E3:E49" si="0">UPPER(F3)</f>
        <v>IDENTIFICADOR DEL ADQUIRENTE QUE PROCESÓ LA TRANSACCIÓN</v>
      </c>
      <c r="F3" s="24" t="s">
        <v>93</v>
      </c>
      <c r="G3" s="22" t="s">
        <v>62</v>
      </c>
      <c r="H3" s="22" t="s">
        <v>94</v>
      </c>
      <c r="I3" s="26">
        <v>10054712</v>
      </c>
      <c r="J3" s="22" t="s">
        <v>62</v>
      </c>
      <c r="K3" s="22" t="s">
        <v>95</v>
      </c>
      <c r="L3" s="22" t="s">
        <v>62</v>
      </c>
      <c r="M3" s="22" t="s">
        <v>62</v>
      </c>
    </row>
    <row r="4" spans="1:13">
      <c r="A4" s="22" t="s">
        <v>55</v>
      </c>
      <c r="B4" s="22" t="s">
        <v>56</v>
      </c>
      <c r="C4" s="23" t="s">
        <v>57</v>
      </c>
      <c r="D4" s="24" t="s">
        <v>96</v>
      </c>
      <c r="E4" s="24" t="str">
        <f t="shared" si="0"/>
        <v>NOMBRE DEL ADQUIRENTE</v>
      </c>
      <c r="F4" s="24" t="s">
        <v>97</v>
      </c>
      <c r="G4" s="22" t="s">
        <v>62</v>
      </c>
      <c r="H4" s="22" t="s">
        <v>94</v>
      </c>
      <c r="I4" s="26" t="s">
        <v>98</v>
      </c>
      <c r="J4" s="22" t="s">
        <v>62</v>
      </c>
      <c r="K4" s="22" t="s">
        <v>95</v>
      </c>
      <c r="L4" s="22" t="s">
        <v>62</v>
      </c>
      <c r="M4" s="22" t="s">
        <v>62</v>
      </c>
    </row>
    <row r="5" spans="1:13">
      <c r="A5" s="22" t="s">
        <v>55</v>
      </c>
      <c r="B5" s="22" t="s">
        <v>56</v>
      </c>
      <c r="C5" s="23" t="s">
        <v>57</v>
      </c>
      <c r="D5" s="24" t="s">
        <v>99</v>
      </c>
      <c r="E5" s="24" t="str">
        <f t="shared" si="0"/>
        <v>BIN DEL BANCO ADQUIRENTE</v>
      </c>
      <c r="F5" s="24" t="s">
        <v>100</v>
      </c>
      <c r="G5" s="22" t="s">
        <v>62</v>
      </c>
      <c r="H5" s="22" t="s">
        <v>94</v>
      </c>
      <c r="I5" s="26">
        <v>409623</v>
      </c>
      <c r="J5" s="22" t="s">
        <v>62</v>
      </c>
      <c r="K5" s="22" t="s">
        <v>95</v>
      </c>
      <c r="L5" s="22" t="s">
        <v>62</v>
      </c>
      <c r="M5" s="22" t="s">
        <v>62</v>
      </c>
    </row>
    <row r="6" spans="1:13">
      <c r="A6" s="22" t="s">
        <v>55</v>
      </c>
      <c r="B6" s="22" t="s">
        <v>56</v>
      </c>
      <c r="C6" s="23" t="s">
        <v>57</v>
      </c>
      <c r="D6" s="24" t="s">
        <v>101</v>
      </c>
      <c r="E6" s="24" t="str">
        <f t="shared" si="0"/>
        <v>PAÍS DEL BANCO ADQUIRENTE</v>
      </c>
      <c r="F6" s="24" t="s">
        <v>102</v>
      </c>
      <c r="G6" s="22" t="s">
        <v>62</v>
      </c>
      <c r="H6" s="22" t="s">
        <v>94</v>
      </c>
      <c r="I6" s="26" t="s">
        <v>103</v>
      </c>
      <c r="J6" s="22" t="s">
        <v>62</v>
      </c>
      <c r="K6" s="22" t="s">
        <v>95</v>
      </c>
      <c r="L6" s="22" t="s">
        <v>62</v>
      </c>
      <c r="M6" s="22" t="s">
        <v>62</v>
      </c>
    </row>
    <row r="7" spans="1:13">
      <c r="A7" s="22" t="s">
        <v>55</v>
      </c>
      <c r="B7" s="22" t="s">
        <v>56</v>
      </c>
      <c r="C7" s="23" t="s">
        <v>57</v>
      </c>
      <c r="D7" s="24" t="s">
        <v>104</v>
      </c>
      <c r="E7" s="24" t="str">
        <f t="shared" si="0"/>
        <v>FECHA EN QUE SE REALIZÓ LA COMPRA</v>
      </c>
      <c r="F7" s="24" t="s">
        <v>105</v>
      </c>
      <c r="G7" s="22" t="s">
        <v>62</v>
      </c>
      <c r="H7" s="22" t="s">
        <v>94</v>
      </c>
      <c r="I7" s="26" t="s">
        <v>106</v>
      </c>
      <c r="J7" s="22" t="s">
        <v>62</v>
      </c>
      <c r="K7" s="22" t="s">
        <v>95</v>
      </c>
      <c r="L7" s="22" t="s">
        <v>62</v>
      </c>
      <c r="M7" s="22" t="s">
        <v>62</v>
      </c>
    </row>
    <row r="8" spans="1:13">
      <c r="A8" s="22" t="s">
        <v>55</v>
      </c>
      <c r="B8" s="22" t="s">
        <v>56</v>
      </c>
      <c r="C8" s="23" t="s">
        <v>57</v>
      </c>
      <c r="D8" s="24" t="s">
        <v>107</v>
      </c>
      <c r="E8" s="24" t="str">
        <f t="shared" si="0"/>
        <v>FECHA PRINCIPAL EN QUE SE REPORTÓ EL FRAUDE</v>
      </c>
      <c r="F8" s="24" t="s">
        <v>108</v>
      </c>
      <c r="G8" s="22" t="s">
        <v>62</v>
      </c>
      <c r="H8" s="22" t="s">
        <v>94</v>
      </c>
      <c r="I8" s="26" t="s">
        <v>109</v>
      </c>
      <c r="J8" s="22" t="s">
        <v>62</v>
      </c>
      <c r="K8" s="22" t="s">
        <v>95</v>
      </c>
      <c r="L8" s="22" t="s">
        <v>62</v>
      </c>
      <c r="M8" s="22" t="s">
        <v>62</v>
      </c>
    </row>
    <row r="9" spans="1:13">
      <c r="A9" s="22" t="s">
        <v>55</v>
      </c>
      <c r="B9" s="22" t="s">
        <v>56</v>
      </c>
      <c r="C9" s="23" t="s">
        <v>57</v>
      </c>
      <c r="D9" s="24" t="s">
        <v>110</v>
      </c>
      <c r="E9" s="24" t="str">
        <f t="shared" si="0"/>
        <v>FECHA EN QUE EL FRAUDE FUE REGISTRADO O CONTABILIZADO</v>
      </c>
      <c r="F9" s="24" t="s">
        <v>111</v>
      </c>
      <c r="G9" s="22" t="s">
        <v>62</v>
      </c>
      <c r="H9" s="22" t="s">
        <v>94</v>
      </c>
      <c r="I9" s="26" t="s">
        <v>109</v>
      </c>
      <c r="J9" s="22" t="s">
        <v>62</v>
      </c>
      <c r="K9" s="22" t="s">
        <v>95</v>
      </c>
      <c r="L9" s="22" t="s">
        <v>62</v>
      </c>
      <c r="M9" s="22" t="s">
        <v>62</v>
      </c>
    </row>
    <row r="10" spans="1:13">
      <c r="A10" s="22" t="s">
        <v>55</v>
      </c>
      <c r="B10" s="22" t="s">
        <v>56</v>
      </c>
      <c r="C10" s="23" t="s">
        <v>57</v>
      </c>
      <c r="D10" s="24" t="s">
        <v>112</v>
      </c>
      <c r="E10" s="24" t="str">
        <f t="shared" si="0"/>
        <v>NÚMERO DE TARJETA ENMASCARADO</v>
      </c>
      <c r="F10" s="24" t="s">
        <v>113</v>
      </c>
      <c r="G10" s="22" t="s">
        <v>62</v>
      </c>
      <c r="H10" s="22" t="s">
        <v>94</v>
      </c>
      <c r="I10" s="26" t="s">
        <v>114</v>
      </c>
      <c r="J10" s="22" t="s">
        <v>62</v>
      </c>
      <c r="K10" s="22" t="s">
        <v>95</v>
      </c>
      <c r="L10" s="22" t="s">
        <v>62</v>
      </c>
      <c r="M10" s="22" t="s">
        <v>62</v>
      </c>
    </row>
    <row r="11" spans="1:13">
      <c r="A11" s="22" t="s">
        <v>55</v>
      </c>
      <c r="B11" s="22" t="s">
        <v>56</v>
      </c>
      <c r="C11" s="23" t="s">
        <v>57</v>
      </c>
      <c r="D11" s="24" t="s">
        <v>115</v>
      </c>
      <c r="E11" s="24" t="str">
        <f t="shared" si="0"/>
        <v>IDENTIFICADOR ÚNICO DE LA TRANSACCIÓN</v>
      </c>
      <c r="F11" s="24" t="s">
        <v>116</v>
      </c>
      <c r="G11" s="22" t="s">
        <v>62</v>
      </c>
      <c r="H11" s="22" t="s">
        <v>94</v>
      </c>
      <c r="I11" s="26" t="s">
        <v>117</v>
      </c>
      <c r="J11" s="22" t="s">
        <v>62</v>
      </c>
      <c r="K11" s="22" t="s">
        <v>95</v>
      </c>
      <c r="L11" s="22" t="s">
        <v>62</v>
      </c>
      <c r="M11" s="22" t="s">
        <v>62</v>
      </c>
    </row>
    <row r="12" spans="1:13">
      <c r="A12" s="22" t="s">
        <v>55</v>
      </c>
      <c r="B12" s="22" t="s">
        <v>56</v>
      </c>
      <c r="C12" s="23" t="s">
        <v>57</v>
      </c>
      <c r="D12" s="24" t="s">
        <v>118</v>
      </c>
      <c r="E12" s="24" t="str">
        <f t="shared" si="0"/>
        <v>NÚMERO SECUENCIAL DE LA CUENTA</v>
      </c>
      <c r="F12" s="24" t="s">
        <v>119</v>
      </c>
      <c r="G12" s="22" t="s">
        <v>62</v>
      </c>
      <c r="H12" s="22" t="s">
        <v>94</v>
      </c>
      <c r="I12" s="26">
        <v>1</v>
      </c>
      <c r="J12" s="22" t="s">
        <v>62</v>
      </c>
      <c r="K12" s="22" t="s">
        <v>95</v>
      </c>
      <c r="L12" s="22" t="s">
        <v>62</v>
      </c>
      <c r="M12" s="22" t="s">
        <v>62</v>
      </c>
    </row>
    <row r="13" spans="1:13">
      <c r="A13" s="22" t="s">
        <v>55</v>
      </c>
      <c r="B13" s="22" t="s">
        <v>56</v>
      </c>
      <c r="C13" s="23" t="s">
        <v>57</v>
      </c>
      <c r="D13" s="24" t="s">
        <v>120</v>
      </c>
      <c r="E13" s="24" t="str">
        <f t="shared" si="0"/>
        <v>IDENTIFICADOR DEL COMERCIO</v>
      </c>
      <c r="F13" s="24" t="s">
        <v>121</v>
      </c>
      <c r="G13" s="22" t="s">
        <v>62</v>
      </c>
      <c r="H13" s="22" t="s">
        <v>94</v>
      </c>
      <c r="I13" s="26" t="s">
        <v>122</v>
      </c>
      <c r="J13" s="22" t="s">
        <v>62</v>
      </c>
      <c r="K13" s="22" t="s">
        <v>95</v>
      </c>
      <c r="L13" s="22" t="s">
        <v>62</v>
      </c>
      <c r="M13" s="22" t="s">
        <v>62</v>
      </c>
    </row>
    <row r="14" spans="1:13">
      <c r="A14" s="22" t="s">
        <v>55</v>
      </c>
      <c r="B14" s="22" t="s">
        <v>56</v>
      </c>
      <c r="C14" s="23" t="s">
        <v>57</v>
      </c>
      <c r="D14" s="24" t="s">
        <v>123</v>
      </c>
      <c r="E14" s="24" t="str">
        <f t="shared" si="0"/>
        <v>IDENTIFICADOR DEL TERMINAL UTILIZADO</v>
      </c>
      <c r="F14" s="24" t="s">
        <v>124</v>
      </c>
      <c r="G14" s="22" t="s">
        <v>62</v>
      </c>
      <c r="H14" s="22" t="s">
        <v>94</v>
      </c>
      <c r="I14" s="26" t="s">
        <v>125</v>
      </c>
      <c r="J14" s="22" t="s">
        <v>62</v>
      </c>
      <c r="K14" s="22" t="s">
        <v>95</v>
      </c>
      <c r="L14" s="22" t="s">
        <v>62</v>
      </c>
      <c r="M14" s="22" t="s">
        <v>62</v>
      </c>
    </row>
    <row r="15" spans="1:13">
      <c r="A15" s="22" t="s">
        <v>55</v>
      </c>
      <c r="B15" s="22" t="s">
        <v>56</v>
      </c>
      <c r="C15" s="23" t="s">
        <v>57</v>
      </c>
      <c r="D15" s="24" t="s">
        <v>126</v>
      </c>
      <c r="E15" s="24" t="str">
        <f t="shared" si="0"/>
        <v>CÓDIGO DEL MÉTODO DE IDENTIFICACIÓN DEL TARJETAHABIENTE</v>
      </c>
      <c r="F15" s="24" t="s">
        <v>127</v>
      </c>
      <c r="G15" s="22" t="s">
        <v>62</v>
      </c>
      <c r="H15" s="22" t="s">
        <v>94</v>
      </c>
      <c r="I15" s="26" t="s">
        <v>128</v>
      </c>
      <c r="J15" s="22" t="s">
        <v>62</v>
      </c>
      <c r="K15" s="22" t="s">
        <v>95</v>
      </c>
      <c r="L15" s="22" t="s">
        <v>62</v>
      </c>
      <c r="M15" s="22" t="s">
        <v>62</v>
      </c>
    </row>
    <row r="16" spans="1:13">
      <c r="A16" s="22" t="s">
        <v>55</v>
      </c>
      <c r="B16" s="22" t="s">
        <v>56</v>
      </c>
      <c r="C16" s="23" t="s">
        <v>57</v>
      </c>
      <c r="D16" s="24" t="s">
        <v>129</v>
      </c>
      <c r="E16" s="24" t="str">
        <f t="shared" si="0"/>
        <v>MÉTODO DE IDENTIFICACIÓN DEL TARJETAHABIENTE</v>
      </c>
      <c r="F16" s="24" t="s">
        <v>130</v>
      </c>
      <c r="G16" s="22" t="s">
        <v>62</v>
      </c>
      <c r="H16" s="22" t="s">
        <v>94</v>
      </c>
      <c r="I16" s="26" t="s">
        <v>131</v>
      </c>
      <c r="J16" s="22" t="s">
        <v>62</v>
      </c>
      <c r="K16" s="22" t="s">
        <v>95</v>
      </c>
      <c r="L16" s="22" t="s">
        <v>62</v>
      </c>
      <c r="M16" s="22" t="s">
        <v>62</v>
      </c>
    </row>
    <row r="17" spans="1:13">
      <c r="A17" s="22" t="s">
        <v>55</v>
      </c>
      <c r="B17" s="22" t="s">
        <v>56</v>
      </c>
      <c r="C17" s="23" t="s">
        <v>57</v>
      </c>
      <c r="D17" s="24" t="s">
        <v>132</v>
      </c>
      <c r="E17" s="24" t="str">
        <f t="shared" si="0"/>
        <v>CÓDIGO IDENTIFICADOR DE COMERCIO ELECTRÓNICO O MOTO</v>
      </c>
      <c r="F17" s="24" t="s">
        <v>133</v>
      </c>
      <c r="G17" s="22" t="s">
        <v>62</v>
      </c>
      <c r="H17" s="22" t="s">
        <v>94</v>
      </c>
      <c r="I17" s="26" t="s">
        <v>134</v>
      </c>
      <c r="J17" s="22" t="s">
        <v>62</v>
      </c>
      <c r="K17" s="22" t="s">
        <v>95</v>
      </c>
      <c r="L17" s="22" t="s">
        <v>62</v>
      </c>
      <c r="M17" s="22" t="s">
        <v>62</v>
      </c>
    </row>
    <row r="18" spans="1:13">
      <c r="A18" s="22" t="s">
        <v>55</v>
      </c>
      <c r="B18" s="22" t="s">
        <v>56</v>
      </c>
      <c r="C18" s="23" t="s">
        <v>57</v>
      </c>
      <c r="D18" s="24" t="s">
        <v>135</v>
      </c>
      <c r="E18" s="24" t="str">
        <f t="shared" si="0"/>
        <v>DESCRIPCIÓN DE COMERCIO ELECTRÓNICO O MOTO</v>
      </c>
      <c r="F18" s="24" t="s">
        <v>136</v>
      </c>
      <c r="G18" s="22" t="s">
        <v>62</v>
      </c>
      <c r="H18" s="22" t="s">
        <v>94</v>
      </c>
      <c r="I18" s="26" t="s">
        <v>137</v>
      </c>
      <c r="J18" s="22" t="s">
        <v>62</v>
      </c>
      <c r="K18" s="22" t="s">
        <v>95</v>
      </c>
      <c r="L18" s="22" t="s">
        <v>62</v>
      </c>
      <c r="M18" s="22" t="s">
        <v>62</v>
      </c>
    </row>
    <row r="19" spans="1:13">
      <c r="A19" s="22" t="s">
        <v>55</v>
      </c>
      <c r="B19" s="22" t="s">
        <v>56</v>
      </c>
      <c r="C19" s="23" t="s">
        <v>57</v>
      </c>
      <c r="D19" s="24" t="s">
        <v>138</v>
      </c>
      <c r="E19" s="24" t="str">
        <f t="shared" si="0"/>
        <v>CÓDIGO DE LA FORMA EN QUE SE INGRESARON LOS DATOS DE LA TARJETA</v>
      </c>
      <c r="F19" s="24" t="s">
        <v>139</v>
      </c>
      <c r="G19" s="22" t="s">
        <v>62</v>
      </c>
      <c r="H19" s="22" t="s">
        <v>94</v>
      </c>
      <c r="I19" s="26" t="s">
        <v>140</v>
      </c>
      <c r="J19" s="22" t="s">
        <v>62</v>
      </c>
      <c r="K19" s="22" t="s">
        <v>95</v>
      </c>
      <c r="L19" s="22" t="s">
        <v>62</v>
      </c>
      <c r="M19" s="22" t="s">
        <v>62</v>
      </c>
    </row>
    <row r="20" spans="1:13">
      <c r="A20" s="22" t="s">
        <v>55</v>
      </c>
      <c r="B20" s="22" t="s">
        <v>56</v>
      </c>
      <c r="C20" s="23" t="s">
        <v>57</v>
      </c>
      <c r="D20" s="24" t="s">
        <v>141</v>
      </c>
      <c r="E20" s="24" t="str">
        <f t="shared" si="0"/>
        <v>DESCRIPCIÓN DE LA FORMA EN QUE SE INGRESARON LOS DATOS DE LA TARJETA</v>
      </c>
      <c r="F20" s="24" t="s">
        <v>142</v>
      </c>
      <c r="G20" s="22" t="s">
        <v>62</v>
      </c>
      <c r="H20" s="22" t="s">
        <v>94</v>
      </c>
      <c r="I20" s="26" t="s">
        <v>143</v>
      </c>
      <c r="J20" s="22" t="s">
        <v>62</v>
      </c>
      <c r="K20" s="22" t="s">
        <v>95</v>
      </c>
      <c r="L20" s="22" t="s">
        <v>62</v>
      </c>
      <c r="M20" s="22" t="s">
        <v>62</v>
      </c>
    </row>
    <row r="21" spans="1:13">
      <c r="A21" s="22" t="s">
        <v>55</v>
      </c>
      <c r="B21" s="22" t="s">
        <v>56</v>
      </c>
      <c r="C21" s="23" t="s">
        <v>57</v>
      </c>
      <c r="D21" s="24" t="s">
        <v>144</v>
      </c>
      <c r="E21" s="24" t="str">
        <f t="shared" si="0"/>
        <v>CÓDIGO DE LA CAPACIDAD DEL TERMINAL POS</v>
      </c>
      <c r="F21" s="24" t="s">
        <v>145</v>
      </c>
      <c r="G21" s="22" t="s">
        <v>62</v>
      </c>
      <c r="H21" s="22" t="s">
        <v>94</v>
      </c>
      <c r="I21" s="26" t="s">
        <v>146</v>
      </c>
      <c r="J21" s="22" t="s">
        <v>62</v>
      </c>
      <c r="K21" s="22" t="s">
        <v>95</v>
      </c>
      <c r="L21" s="22" t="s">
        <v>62</v>
      </c>
      <c r="M21" s="22" t="s">
        <v>62</v>
      </c>
    </row>
    <row r="22" spans="1:13">
      <c r="A22" s="22" t="s">
        <v>55</v>
      </c>
      <c r="B22" s="22" t="s">
        <v>56</v>
      </c>
      <c r="C22" s="23" t="s">
        <v>57</v>
      </c>
      <c r="D22" s="24" t="s">
        <v>147</v>
      </c>
      <c r="E22" s="24" t="str">
        <f t="shared" si="0"/>
        <v>DESCRIPCIÓN DE LA CAPACIDAD DEL TERMINAL POS</v>
      </c>
      <c r="F22" s="24" t="s">
        <v>148</v>
      </c>
      <c r="G22" s="22" t="s">
        <v>62</v>
      </c>
      <c r="H22" s="22" t="s">
        <v>94</v>
      </c>
      <c r="I22" s="26" t="s">
        <v>149</v>
      </c>
      <c r="J22" s="22" t="s">
        <v>62</v>
      </c>
      <c r="K22" s="22" t="s">
        <v>95</v>
      </c>
      <c r="L22" s="22" t="s">
        <v>62</v>
      </c>
      <c r="M22" s="22" t="s">
        <v>62</v>
      </c>
    </row>
    <row r="23" spans="1:13">
      <c r="A23" s="22" t="s">
        <v>55</v>
      </c>
      <c r="B23" s="22" t="s">
        <v>56</v>
      </c>
      <c r="C23" s="23" t="s">
        <v>57</v>
      </c>
      <c r="D23" s="24" t="s">
        <v>150</v>
      </c>
      <c r="E23" s="24" t="str">
        <f t="shared" si="0"/>
        <v>INDICADOR DE TERMINAL AUTOMATIZADO (ATM / KIOSKO)</v>
      </c>
      <c r="F23" s="24" t="s">
        <v>151</v>
      </c>
      <c r="G23" s="22" t="s">
        <v>62</v>
      </c>
      <c r="H23" s="22" t="s">
        <v>94</v>
      </c>
      <c r="I23" s="26" t="s">
        <v>152</v>
      </c>
      <c r="J23" s="22" t="s">
        <v>62</v>
      </c>
      <c r="K23" s="22" t="s">
        <v>95</v>
      </c>
      <c r="L23" s="22" t="s">
        <v>62</v>
      </c>
      <c r="M23" s="22" t="s">
        <v>62</v>
      </c>
    </row>
    <row r="24" spans="1:13">
      <c r="A24" s="22" t="s">
        <v>55</v>
      </c>
      <c r="B24" s="22" t="s">
        <v>56</v>
      </c>
      <c r="C24" s="23" t="s">
        <v>57</v>
      </c>
      <c r="D24" s="24" t="s">
        <v>153</v>
      </c>
      <c r="E24" s="24" t="str">
        <f t="shared" si="0"/>
        <v>DESCRIPCIÓN DE TERMINAL AUTOMATIZADO (ATM / KIOSKO)</v>
      </c>
      <c r="F24" s="24" t="s">
        <v>154</v>
      </c>
      <c r="G24" s="22" t="s">
        <v>62</v>
      </c>
      <c r="H24" s="22" t="s">
        <v>94</v>
      </c>
      <c r="I24" s="26" t="s">
        <v>155</v>
      </c>
      <c r="J24" s="22" t="s">
        <v>62</v>
      </c>
      <c r="K24" s="22" t="s">
        <v>95</v>
      </c>
      <c r="L24" s="22" t="s">
        <v>62</v>
      </c>
      <c r="M24" s="22" t="s">
        <v>62</v>
      </c>
    </row>
    <row r="25" spans="1:13">
      <c r="A25" s="22" t="s">
        <v>55</v>
      </c>
      <c r="B25" s="22" t="s">
        <v>56</v>
      </c>
      <c r="C25" s="23" t="s">
        <v>57</v>
      </c>
      <c r="D25" s="24" t="s">
        <v>156</v>
      </c>
      <c r="E25" s="24" t="str">
        <f t="shared" si="0"/>
        <v>INDICA SI LA TRANSACCIÓN INCLUYE CASHBACK</v>
      </c>
      <c r="F25" s="24" t="s">
        <v>157</v>
      </c>
      <c r="G25" s="22" t="s">
        <v>62</v>
      </c>
      <c r="H25" s="22" t="s">
        <v>94</v>
      </c>
      <c r="I25" s="26" t="s">
        <v>62</v>
      </c>
      <c r="J25" s="22" t="s">
        <v>62</v>
      </c>
      <c r="K25" s="22" t="s">
        <v>95</v>
      </c>
      <c r="L25" s="22" t="s">
        <v>62</v>
      </c>
      <c r="M25" s="22" t="s">
        <v>62</v>
      </c>
    </row>
    <row r="26" spans="1:13">
      <c r="A26" s="22" t="s">
        <v>55</v>
      </c>
      <c r="B26" s="22" t="s">
        <v>56</v>
      </c>
      <c r="C26" s="23" t="s">
        <v>57</v>
      </c>
      <c r="D26" s="24" t="s">
        <v>158</v>
      </c>
      <c r="E26" s="24" t="str">
        <f t="shared" si="0"/>
        <v>MOTIVO DE EXCLUSIÓN DEL ID DE TRANSACCIÓN</v>
      </c>
      <c r="F26" s="24" t="s">
        <v>159</v>
      </c>
      <c r="G26" s="22" t="s">
        <v>62</v>
      </c>
      <c r="H26" s="22" t="s">
        <v>94</v>
      </c>
      <c r="I26" s="26" t="s">
        <v>152</v>
      </c>
      <c r="J26" s="22" t="s">
        <v>62</v>
      </c>
      <c r="K26" s="22" t="s">
        <v>95</v>
      </c>
      <c r="L26" s="22" t="s">
        <v>62</v>
      </c>
      <c r="M26" s="22" t="s">
        <v>62</v>
      </c>
    </row>
    <row r="27" spans="1:13">
      <c r="A27" s="22" t="s">
        <v>55</v>
      </c>
      <c r="B27" s="22" t="s">
        <v>56</v>
      </c>
      <c r="C27" s="23" t="s">
        <v>57</v>
      </c>
      <c r="D27" s="24" t="s">
        <v>160</v>
      </c>
      <c r="E27" s="24" t="str">
        <f t="shared" si="0"/>
        <v>CAPACIDADES DE LA TARJETA UTILIZADA</v>
      </c>
      <c r="F27" s="24" t="s">
        <v>161</v>
      </c>
      <c r="G27" s="22" t="s">
        <v>62</v>
      </c>
      <c r="H27" s="22" t="s">
        <v>94</v>
      </c>
      <c r="I27" s="26" t="s">
        <v>152</v>
      </c>
      <c r="J27" s="22" t="s">
        <v>62</v>
      </c>
      <c r="K27" s="22" t="s">
        <v>95</v>
      </c>
      <c r="L27" s="22" t="s">
        <v>62</v>
      </c>
      <c r="M27" s="22" t="s">
        <v>62</v>
      </c>
    </row>
    <row r="28" spans="1:13">
      <c r="A28" s="22" t="s">
        <v>55</v>
      </c>
      <c r="B28" s="22" t="s">
        <v>56</v>
      </c>
      <c r="C28" s="23" t="s">
        <v>57</v>
      </c>
      <c r="D28" s="24" t="s">
        <v>162</v>
      </c>
      <c r="E28" s="24" t="str">
        <f t="shared" si="0"/>
        <v>IDENTIFICADOR DEL BANCO EMISOR</v>
      </c>
      <c r="F28" s="24" t="s">
        <v>163</v>
      </c>
      <c r="G28" s="22" t="s">
        <v>62</v>
      </c>
      <c r="H28" s="22" t="s">
        <v>94</v>
      </c>
      <c r="I28" s="26">
        <v>10020778</v>
      </c>
      <c r="J28" s="22" t="s">
        <v>62</v>
      </c>
      <c r="K28" s="22" t="s">
        <v>95</v>
      </c>
      <c r="L28" s="22" t="s">
        <v>62</v>
      </c>
      <c r="M28" s="22" t="s">
        <v>62</v>
      </c>
    </row>
    <row r="29" spans="1:13">
      <c r="A29" s="22" t="s">
        <v>55</v>
      </c>
      <c r="B29" s="22" t="s">
        <v>56</v>
      </c>
      <c r="C29" s="23" t="s">
        <v>57</v>
      </c>
      <c r="D29" s="24" t="s">
        <v>164</v>
      </c>
      <c r="E29" s="24" t="str">
        <f t="shared" si="0"/>
        <v>EMISOR</v>
      </c>
      <c r="F29" s="24" t="s">
        <v>165</v>
      </c>
      <c r="G29" s="22" t="s">
        <v>62</v>
      </c>
      <c r="H29" s="22" t="s">
        <v>94</v>
      </c>
      <c r="I29" s="26" t="s">
        <v>166</v>
      </c>
      <c r="J29" s="22" t="s">
        <v>62</v>
      </c>
      <c r="K29" s="22" t="s">
        <v>95</v>
      </c>
      <c r="L29" s="22" t="s">
        <v>62</v>
      </c>
      <c r="M29" s="22" t="s">
        <v>62</v>
      </c>
    </row>
    <row r="30" spans="1:13">
      <c r="A30" s="22" t="s">
        <v>55</v>
      </c>
      <c r="B30" s="22" t="s">
        <v>56</v>
      </c>
      <c r="C30" s="23" t="s">
        <v>57</v>
      </c>
      <c r="D30" s="24" t="s">
        <v>167</v>
      </c>
      <c r="E30" s="24" t="str">
        <f t="shared" si="0"/>
        <v>BIN DEL BANCO EMISOR</v>
      </c>
      <c r="F30" s="24" t="s">
        <v>168</v>
      </c>
      <c r="G30" s="22" t="s">
        <v>62</v>
      </c>
      <c r="H30" s="22" t="s">
        <v>94</v>
      </c>
      <c r="I30" s="26">
        <v>42135501</v>
      </c>
      <c r="J30" s="22" t="s">
        <v>62</v>
      </c>
      <c r="K30" s="22" t="s">
        <v>95</v>
      </c>
      <c r="L30" s="22" t="s">
        <v>62</v>
      </c>
      <c r="M30" s="22" t="s">
        <v>62</v>
      </c>
    </row>
    <row r="31" spans="1:13">
      <c r="A31" s="22" t="s">
        <v>55</v>
      </c>
      <c r="B31" s="22" t="s">
        <v>56</v>
      </c>
      <c r="C31" s="23" t="s">
        <v>57</v>
      </c>
      <c r="D31" s="24" t="s">
        <v>169</v>
      </c>
      <c r="E31" s="24" t="str">
        <f t="shared" si="0"/>
        <v>PAÍS DEL BANCO EMISOR</v>
      </c>
      <c r="F31" s="24" t="s">
        <v>170</v>
      </c>
      <c r="G31" s="22" t="s">
        <v>62</v>
      </c>
      <c r="H31" s="22" t="s">
        <v>94</v>
      </c>
      <c r="I31" s="26" t="s">
        <v>103</v>
      </c>
      <c r="J31" s="22" t="s">
        <v>62</v>
      </c>
      <c r="K31" s="22" t="s">
        <v>95</v>
      </c>
      <c r="L31" s="22" t="s">
        <v>62</v>
      </c>
      <c r="M31" s="22" t="s">
        <v>62</v>
      </c>
    </row>
    <row r="32" spans="1:13">
      <c r="A32" s="22" t="s">
        <v>55</v>
      </c>
      <c r="B32" s="22" t="s">
        <v>56</v>
      </c>
      <c r="C32" s="23" t="s">
        <v>57</v>
      </c>
      <c r="D32" s="24" t="s">
        <v>171</v>
      </c>
      <c r="E32" s="24" t="str">
        <f t="shared" si="0"/>
        <v>NÚMERO DE REFERENCIA DEL ADQUIRENTE (ARN)</v>
      </c>
      <c r="F32" s="24" t="s">
        <v>172</v>
      </c>
      <c r="G32" s="22" t="s">
        <v>62</v>
      </c>
      <c r="H32" s="22" t="s">
        <v>94</v>
      </c>
      <c r="I32" s="26" t="s">
        <v>173</v>
      </c>
      <c r="J32" s="22" t="s">
        <v>62</v>
      </c>
      <c r="K32" s="22" t="s">
        <v>95</v>
      </c>
      <c r="L32" s="22" t="s">
        <v>62</v>
      </c>
      <c r="M32" s="22" t="s">
        <v>62</v>
      </c>
    </row>
    <row r="33" spans="1:13">
      <c r="A33" s="22" t="s">
        <v>55</v>
      </c>
      <c r="B33" s="22" t="s">
        <v>56</v>
      </c>
      <c r="C33" s="23" t="s">
        <v>57</v>
      </c>
      <c r="D33" s="24" t="s">
        <v>174</v>
      </c>
      <c r="E33" s="24" t="str">
        <f t="shared" si="0"/>
        <v>CÓDIGO MCC DEL COMERCIO</v>
      </c>
      <c r="F33" s="24" t="s">
        <v>175</v>
      </c>
      <c r="G33" s="22" t="s">
        <v>62</v>
      </c>
      <c r="H33" s="22" t="s">
        <v>94</v>
      </c>
      <c r="I33" s="26">
        <v>6012</v>
      </c>
      <c r="J33" s="22" t="s">
        <v>62</v>
      </c>
      <c r="K33" s="22" t="s">
        <v>95</v>
      </c>
      <c r="L33" s="22" t="s">
        <v>62</v>
      </c>
      <c r="M33" s="22" t="s">
        <v>62</v>
      </c>
    </row>
    <row r="34" spans="1:13">
      <c r="A34" s="22" t="s">
        <v>55</v>
      </c>
      <c r="B34" s="22" t="s">
        <v>56</v>
      </c>
      <c r="C34" s="23" t="s">
        <v>57</v>
      </c>
      <c r="D34" s="24" t="s">
        <v>176</v>
      </c>
      <c r="E34" s="24" t="str">
        <f t="shared" si="0"/>
        <v>NOMBRE DEL GIRO DEL COMERCIO</v>
      </c>
      <c r="F34" s="24" t="s">
        <v>177</v>
      </c>
      <c r="G34" s="22" t="s">
        <v>62</v>
      </c>
      <c r="H34" s="22" t="s">
        <v>94</v>
      </c>
      <c r="I34" s="26" t="s">
        <v>178</v>
      </c>
      <c r="J34" s="22" t="s">
        <v>62</v>
      </c>
      <c r="K34" s="22" t="s">
        <v>95</v>
      </c>
      <c r="L34" s="22" t="s">
        <v>62</v>
      </c>
      <c r="M34" s="22" t="s">
        <v>62</v>
      </c>
    </row>
    <row r="35" spans="1:13">
      <c r="A35" s="22" t="s">
        <v>55</v>
      </c>
      <c r="B35" s="22" t="s">
        <v>56</v>
      </c>
      <c r="C35" s="23" t="s">
        <v>57</v>
      </c>
      <c r="D35" s="31" t="s">
        <v>179</v>
      </c>
      <c r="E35" s="24" t="str">
        <f t="shared" si="0"/>
        <v>NOMBRE ORIGINAL DEL COMERCIO</v>
      </c>
      <c r="F35" s="24" t="s">
        <v>180</v>
      </c>
      <c r="G35" s="22" t="s">
        <v>95</v>
      </c>
      <c r="H35" s="22" t="s">
        <v>94</v>
      </c>
      <c r="I35" s="26" t="s">
        <v>181</v>
      </c>
      <c r="J35" s="22" t="s">
        <v>62</v>
      </c>
      <c r="K35" s="22" t="s">
        <v>95</v>
      </c>
      <c r="L35" s="22" t="s">
        <v>62</v>
      </c>
      <c r="M35" s="22" t="s">
        <v>62</v>
      </c>
    </row>
    <row r="36" spans="1:13">
      <c r="A36" s="22" t="s">
        <v>55</v>
      </c>
      <c r="B36" s="22" t="s">
        <v>56</v>
      </c>
      <c r="C36" s="23" t="s">
        <v>57</v>
      </c>
      <c r="D36" s="31" t="s">
        <v>182</v>
      </c>
      <c r="E36" s="24" t="str">
        <f t="shared" si="0"/>
        <v>NOMBRE ESTANDARIZADO DEL COMERCIO</v>
      </c>
      <c r="F36" s="24" t="s">
        <v>183</v>
      </c>
      <c r="G36" s="22" t="s">
        <v>95</v>
      </c>
      <c r="H36" s="22" t="s">
        <v>94</v>
      </c>
      <c r="I36" s="26" t="s">
        <v>181</v>
      </c>
      <c r="J36" s="22" t="s">
        <v>62</v>
      </c>
      <c r="K36" s="22" t="s">
        <v>95</v>
      </c>
      <c r="L36" s="22" t="s">
        <v>62</v>
      </c>
      <c r="M36" s="22" t="s">
        <v>62</v>
      </c>
    </row>
    <row r="37" spans="1:13">
      <c r="A37" s="22" t="s">
        <v>55</v>
      </c>
      <c r="B37" s="22" t="s">
        <v>56</v>
      </c>
      <c r="C37" s="23" t="s">
        <v>57</v>
      </c>
      <c r="D37" s="24" t="s">
        <v>184</v>
      </c>
      <c r="E37" s="24" t="str">
        <f t="shared" si="0"/>
        <v>CIUDAD DEL COMERCIO</v>
      </c>
      <c r="F37" s="24" t="s">
        <v>185</v>
      </c>
      <c r="G37" s="22" t="s">
        <v>62</v>
      </c>
      <c r="H37" s="22" t="s">
        <v>94</v>
      </c>
      <c r="I37" s="26" t="s">
        <v>186</v>
      </c>
      <c r="J37" s="22" t="s">
        <v>62</v>
      </c>
      <c r="K37" s="22" t="s">
        <v>95</v>
      </c>
      <c r="L37" s="22" t="s">
        <v>62</v>
      </c>
      <c r="M37" s="22" t="s">
        <v>62</v>
      </c>
    </row>
    <row r="38" spans="1:13">
      <c r="A38" s="22" t="s">
        <v>55</v>
      </c>
      <c r="B38" s="22" t="s">
        <v>56</v>
      </c>
      <c r="C38" s="23" t="s">
        <v>57</v>
      </c>
      <c r="D38" s="24" t="s">
        <v>187</v>
      </c>
      <c r="E38" s="24" t="str">
        <f t="shared" si="0"/>
        <v>PAÍS DEL COMERCIO</v>
      </c>
      <c r="F38" s="24" t="s">
        <v>188</v>
      </c>
      <c r="G38" s="22" t="s">
        <v>62</v>
      </c>
      <c r="H38" s="22" t="s">
        <v>94</v>
      </c>
      <c r="I38" s="26" t="s">
        <v>103</v>
      </c>
      <c r="J38" s="22" t="s">
        <v>62</v>
      </c>
      <c r="K38" s="22" t="s">
        <v>95</v>
      </c>
      <c r="L38" s="22" t="s">
        <v>62</v>
      </c>
      <c r="M38" s="22" t="s">
        <v>62</v>
      </c>
    </row>
    <row r="39" spans="1:13">
      <c r="A39" s="22" t="s">
        <v>55</v>
      </c>
      <c r="B39" s="22" t="s">
        <v>56</v>
      </c>
      <c r="C39" s="23" t="s">
        <v>57</v>
      </c>
      <c r="D39" s="24" t="s">
        <v>189</v>
      </c>
      <c r="E39" s="24" t="str">
        <f t="shared" si="0"/>
        <v>CÓDIGO DE NOTIFICACIÓN DEL FRAUDE</v>
      </c>
      <c r="F39" s="24" t="s">
        <v>190</v>
      </c>
      <c r="G39" s="22" t="s">
        <v>62</v>
      </c>
      <c r="H39" s="22" t="s">
        <v>94</v>
      </c>
      <c r="I39" s="26" t="s">
        <v>191</v>
      </c>
      <c r="J39" s="22" t="s">
        <v>62</v>
      </c>
      <c r="K39" s="22" t="s">
        <v>95</v>
      </c>
      <c r="L39" s="22" t="s">
        <v>62</v>
      </c>
      <c r="M39" s="22" t="s">
        <v>62</v>
      </c>
    </row>
    <row r="40" spans="1:13">
      <c r="A40" s="22" t="s">
        <v>55</v>
      </c>
      <c r="B40" s="22" t="s">
        <v>56</v>
      </c>
      <c r="C40" s="23" t="s">
        <v>57</v>
      </c>
      <c r="D40" s="24" t="s">
        <v>192</v>
      </c>
      <c r="E40" s="24" t="str">
        <f t="shared" si="0"/>
        <v>CÓDIGO DEL TIPO O CATEGORÍA DE FRAUDE</v>
      </c>
      <c r="F40" s="24" t="s">
        <v>193</v>
      </c>
      <c r="G40" s="22" t="s">
        <v>62</v>
      </c>
      <c r="H40" s="22" t="s">
        <v>94</v>
      </c>
      <c r="I40" s="26" t="s">
        <v>194</v>
      </c>
      <c r="J40" s="22" t="s">
        <v>62</v>
      </c>
      <c r="K40" s="22" t="s">
        <v>95</v>
      </c>
      <c r="L40" s="22" t="s">
        <v>62</v>
      </c>
      <c r="M40" s="22" t="s">
        <v>62</v>
      </c>
    </row>
    <row r="41" spans="1:13">
      <c r="A41" s="22" t="s">
        <v>55</v>
      </c>
      <c r="B41" s="22" t="s">
        <v>56</v>
      </c>
      <c r="C41" s="23" t="s">
        <v>57</v>
      </c>
      <c r="D41" s="24" t="s">
        <v>195</v>
      </c>
      <c r="E41" s="24" t="str">
        <f t="shared" si="0"/>
        <v>DESCRIPCIÓN DEL TIPO O CATEGORÍA DE FRAUDE</v>
      </c>
      <c r="F41" s="24" t="s">
        <v>196</v>
      </c>
      <c r="G41" s="22" t="s">
        <v>62</v>
      </c>
      <c r="H41" s="22" t="s">
        <v>94</v>
      </c>
      <c r="I41" s="26" t="s">
        <v>197</v>
      </c>
      <c r="J41" s="22" t="s">
        <v>62</v>
      </c>
      <c r="K41" s="22" t="s">
        <v>95</v>
      </c>
      <c r="L41" s="22" t="s">
        <v>62</v>
      </c>
      <c r="M41" s="22" t="s">
        <v>62</v>
      </c>
    </row>
    <row r="42" spans="1:13">
      <c r="A42" s="22" t="s">
        <v>55</v>
      </c>
      <c r="B42" s="22" t="s">
        <v>56</v>
      </c>
      <c r="C42" s="23" t="s">
        <v>57</v>
      </c>
      <c r="D42" s="24" t="s">
        <v>198</v>
      </c>
      <c r="E42" s="24" t="str">
        <f t="shared" si="0"/>
        <v>ORIGEN DE LOS FONDOS DE LA CUENTA</v>
      </c>
      <c r="F42" s="24" t="s">
        <v>199</v>
      </c>
      <c r="G42" s="22" t="s">
        <v>62</v>
      </c>
      <c r="H42" s="22" t="s">
        <v>94</v>
      </c>
      <c r="I42" s="26" t="s">
        <v>200</v>
      </c>
      <c r="J42" s="22" t="s">
        <v>62</v>
      </c>
      <c r="K42" s="22" t="s">
        <v>95</v>
      </c>
      <c r="L42" s="22" t="s">
        <v>62</v>
      </c>
      <c r="M42" s="22" t="s">
        <v>62</v>
      </c>
    </row>
    <row r="43" spans="1:13">
      <c r="A43" s="22" t="s">
        <v>55</v>
      </c>
      <c r="B43" s="22" t="s">
        <v>56</v>
      </c>
      <c r="C43" s="23" t="s">
        <v>57</v>
      </c>
      <c r="D43" s="24" t="s">
        <v>201</v>
      </c>
      <c r="E43" s="24" t="str">
        <f t="shared" si="0"/>
        <v>INDICA SI FUE UN CONVENIENCE CHECK</v>
      </c>
      <c r="F43" s="24" t="s">
        <v>202</v>
      </c>
      <c r="G43" s="22" t="s">
        <v>62</v>
      </c>
      <c r="H43" s="22" t="s">
        <v>94</v>
      </c>
      <c r="I43" s="26" t="s">
        <v>152</v>
      </c>
      <c r="J43" s="22" t="s">
        <v>62</v>
      </c>
      <c r="K43" s="22" t="s">
        <v>95</v>
      </c>
      <c r="L43" s="22" t="s">
        <v>62</v>
      </c>
      <c r="M43" s="22" t="s">
        <v>62</v>
      </c>
    </row>
    <row r="44" spans="1:13">
      <c r="A44" s="22" t="s">
        <v>55</v>
      </c>
      <c r="B44" s="22" t="s">
        <v>56</v>
      </c>
      <c r="C44" s="23" t="s">
        <v>57</v>
      </c>
      <c r="D44" s="24" t="s">
        <v>203</v>
      </c>
      <c r="E44" s="24" t="str">
        <f t="shared" si="0"/>
        <v>ESTADO DE LA INVESTIGACIÓN DEL FRAUDE</v>
      </c>
      <c r="F44" s="24" t="s">
        <v>204</v>
      </c>
      <c r="G44" s="22" t="s">
        <v>62</v>
      </c>
      <c r="H44" s="22" t="s">
        <v>94</v>
      </c>
      <c r="I44" s="26" t="s">
        <v>205</v>
      </c>
      <c r="J44" s="22" t="s">
        <v>62</v>
      </c>
      <c r="K44" s="22" t="s">
        <v>95</v>
      </c>
      <c r="L44" s="22" t="s">
        <v>62</v>
      </c>
      <c r="M44" s="22" t="s">
        <v>62</v>
      </c>
    </row>
    <row r="45" spans="1:13">
      <c r="A45" s="22" t="s">
        <v>55</v>
      </c>
      <c r="B45" s="22" t="s">
        <v>56</v>
      </c>
      <c r="C45" s="23" t="s">
        <v>57</v>
      </c>
      <c r="D45" s="24" t="s">
        <v>206</v>
      </c>
      <c r="E45" s="24" t="str">
        <f t="shared" si="0"/>
        <v>CÓDIGO DE MONEDA DE LA TRANSACCIÓN</v>
      </c>
      <c r="F45" s="24" t="s">
        <v>207</v>
      </c>
      <c r="G45" s="22" t="s">
        <v>62</v>
      </c>
      <c r="H45" s="22" t="s">
        <v>94</v>
      </c>
      <c r="I45" s="26" t="s">
        <v>208</v>
      </c>
      <c r="J45" s="22" t="s">
        <v>62</v>
      </c>
      <c r="K45" s="22" t="s">
        <v>95</v>
      </c>
      <c r="L45" s="22" t="s">
        <v>62</v>
      </c>
      <c r="M45" s="22" t="s">
        <v>62</v>
      </c>
    </row>
    <row r="46" spans="1:13">
      <c r="A46" s="22" t="s">
        <v>55</v>
      </c>
      <c r="B46" s="22" t="s">
        <v>56</v>
      </c>
      <c r="C46" s="23" t="s">
        <v>57</v>
      </c>
      <c r="D46" s="24" t="s">
        <v>209</v>
      </c>
      <c r="E46" s="24" t="str">
        <f t="shared" si="0"/>
        <v>MONEDA DE LA TRANSACCIÓN</v>
      </c>
      <c r="F46" s="24" t="s">
        <v>210</v>
      </c>
      <c r="G46" s="22" t="s">
        <v>62</v>
      </c>
      <c r="H46" s="22" t="s">
        <v>94</v>
      </c>
      <c r="I46" s="26" t="s">
        <v>211</v>
      </c>
      <c r="J46" s="22" t="s">
        <v>62</v>
      </c>
      <c r="K46" s="22" t="s">
        <v>95</v>
      </c>
      <c r="L46" s="22" t="s">
        <v>62</v>
      </c>
      <c r="M46" s="22" t="s">
        <v>62</v>
      </c>
    </row>
    <row r="47" spans="1:13">
      <c r="A47" s="22" t="s">
        <v>55</v>
      </c>
      <c r="B47" s="22" t="s">
        <v>56</v>
      </c>
      <c r="C47" s="23" t="s">
        <v>57</v>
      </c>
      <c r="D47" s="24" t="s">
        <v>212</v>
      </c>
      <c r="E47" s="24" t="str">
        <f t="shared" si="0"/>
        <v>INDICADORES O MÉTRICAS ASOCIADAS AL FRAUDE</v>
      </c>
      <c r="F47" s="24" t="s">
        <v>213</v>
      </c>
      <c r="G47" s="22" t="s">
        <v>62</v>
      </c>
      <c r="H47" s="22" t="s">
        <v>94</v>
      </c>
      <c r="I47" s="26"/>
      <c r="J47" s="22" t="s">
        <v>62</v>
      </c>
      <c r="K47" s="22" t="s">
        <v>95</v>
      </c>
      <c r="L47" s="22" t="s">
        <v>62</v>
      </c>
      <c r="M47" s="22" t="s">
        <v>62</v>
      </c>
    </row>
    <row r="48" spans="1:13">
      <c r="A48" s="22" t="s">
        <v>55</v>
      </c>
      <c r="B48" s="22" t="s">
        <v>56</v>
      </c>
      <c r="C48" s="23" t="s">
        <v>57</v>
      </c>
      <c r="D48" s="24" t="s">
        <v>214</v>
      </c>
      <c r="E48" s="24" t="str">
        <f t="shared" si="0"/>
        <v>MONTO DEL FRAUDE EN MONEDA BASE</v>
      </c>
      <c r="F48" s="24" t="s">
        <v>215</v>
      </c>
      <c r="G48" s="22" t="s">
        <v>62</v>
      </c>
      <c r="H48" s="22" t="s">
        <v>94</v>
      </c>
      <c r="I48" s="27">
        <v>269.42</v>
      </c>
      <c r="J48" s="22" t="s">
        <v>62</v>
      </c>
      <c r="K48" s="22" t="s">
        <v>95</v>
      </c>
      <c r="L48" s="22" t="s">
        <v>62</v>
      </c>
      <c r="M48" s="22" t="s">
        <v>62</v>
      </c>
    </row>
    <row r="49" spans="1:13">
      <c r="A49" s="22" t="s">
        <v>55</v>
      </c>
      <c r="B49" s="22" t="s">
        <v>56</v>
      </c>
      <c r="C49" s="23" t="s">
        <v>57</v>
      </c>
      <c r="D49" s="24" t="s">
        <v>216</v>
      </c>
      <c r="E49" s="24" t="str">
        <f t="shared" si="0"/>
        <v>MONTO DEL FRAUDE EN MONEDA LOCAL</v>
      </c>
      <c r="F49" s="24" t="s">
        <v>217</v>
      </c>
      <c r="G49" s="22" t="s">
        <v>62</v>
      </c>
      <c r="H49" s="22" t="s">
        <v>94</v>
      </c>
      <c r="I49" s="28">
        <v>911.73</v>
      </c>
      <c r="J49" s="22" t="s">
        <v>62</v>
      </c>
      <c r="K49" s="22" t="s">
        <v>95</v>
      </c>
      <c r="L49" s="22" t="s">
        <v>62</v>
      </c>
      <c r="M49" s="22" t="s">
        <v>62</v>
      </c>
    </row>
    <row r="50" spans="1:13">
      <c r="A50" s="22" t="s">
        <v>55</v>
      </c>
      <c r="B50" s="22" t="s">
        <v>56</v>
      </c>
      <c r="C50" s="23" t="s">
        <v>57</v>
      </c>
      <c r="D50" s="24" t="s">
        <v>218</v>
      </c>
      <c r="E50" s="24" t="str">
        <f>UPPER(F50)</f>
        <v>FECHA DE FOTO/DATOS CONFIGURADA EN EL ETL PARA LA EXTRACCIÓN DE DATOS, CORRESPONDE A APERTURAS DE COMERCIOS HASTA EL CIERRE DEL DÍA ANTERIOR</v>
      </c>
      <c r="F50" s="24" t="s">
        <v>219</v>
      </c>
      <c r="G50" s="22" t="s">
        <v>62</v>
      </c>
      <c r="H50" s="22" t="s">
        <v>220</v>
      </c>
      <c r="I50" s="29">
        <v>45841</v>
      </c>
      <c r="J50" s="22" t="s">
        <v>62</v>
      </c>
      <c r="K50" s="22" t="s">
        <v>62</v>
      </c>
      <c r="L50" s="22" t="s">
        <v>95</v>
      </c>
      <c r="M50" s="22" t="s">
        <v>62</v>
      </c>
    </row>
    <row r="51" spans="1:13">
      <c r="A51" s="22" t="s">
        <v>55</v>
      </c>
      <c r="B51" s="22" t="s">
        <v>56</v>
      </c>
      <c r="C51" s="23" t="s">
        <v>57</v>
      </c>
      <c r="D51" s="24" t="s">
        <v>221</v>
      </c>
      <c r="E51" s="24" t="str">
        <f t="shared" ref="E51:E53" si="1">UPPER(F51)</f>
        <v>DATO DE AUDITORÍA: DESCRIPCIÓN DEL APLICATIVO ORIGEN DE LOS DATOS.</v>
      </c>
      <c r="F51" s="24" t="s">
        <v>222</v>
      </c>
      <c r="G51" s="22" t="s">
        <v>62</v>
      </c>
      <c r="H51" s="22" t="s">
        <v>94</v>
      </c>
      <c r="I51" s="24" t="s">
        <v>223</v>
      </c>
      <c r="J51" s="22" t="s">
        <v>62</v>
      </c>
      <c r="K51" s="22" t="s">
        <v>62</v>
      </c>
      <c r="L51" s="22" t="s">
        <v>62</v>
      </c>
      <c r="M51" s="22" t="s">
        <v>62</v>
      </c>
    </row>
    <row r="52" spans="1:13">
      <c r="A52" s="22" t="s">
        <v>55</v>
      </c>
      <c r="B52" s="22" t="s">
        <v>56</v>
      </c>
      <c r="C52" s="23" t="s">
        <v>57</v>
      </c>
      <c r="D52" s="24" t="s">
        <v>224</v>
      </c>
      <c r="E52" s="24" t="str">
        <f t="shared" si="1"/>
        <v>FECHA Y HORA DE INSERCIÓN DEL REGISTRO EN EL MODELO</v>
      </c>
      <c r="F52" s="24" t="s">
        <v>225</v>
      </c>
      <c r="G52" s="22" t="s">
        <v>62</v>
      </c>
      <c r="H52" s="22" t="s">
        <v>226</v>
      </c>
      <c r="I52" s="24" t="s">
        <v>227</v>
      </c>
      <c r="J52" s="22" t="s">
        <v>62</v>
      </c>
      <c r="K52" s="22" t="s">
        <v>62</v>
      </c>
      <c r="L52" s="22" t="s">
        <v>62</v>
      </c>
      <c r="M52" s="22" t="s">
        <v>62</v>
      </c>
    </row>
    <row r="53" spans="1:13">
      <c r="A53" s="22" t="s">
        <v>55</v>
      </c>
      <c r="B53" s="22" t="s">
        <v>56</v>
      </c>
      <c r="C53" s="23" t="s">
        <v>57</v>
      </c>
      <c r="D53" s="24" t="s">
        <v>228</v>
      </c>
      <c r="E53" s="24" t="str">
        <f t="shared" si="1"/>
        <v>USUARIO QUE CREA EL REGISTRO EN LA BD</v>
      </c>
      <c r="F53" s="24" t="s">
        <v>229</v>
      </c>
      <c r="G53" s="22" t="s">
        <v>62</v>
      </c>
      <c r="H53" s="22" t="s">
        <v>94</v>
      </c>
      <c r="I53" s="25" t="s">
        <v>230</v>
      </c>
      <c r="J53" s="22" t="s">
        <v>62</v>
      </c>
      <c r="K53" s="22" t="s">
        <v>62</v>
      </c>
      <c r="L53" s="22" t="s">
        <v>62</v>
      </c>
      <c r="M53" s="22" t="s">
        <v>62</v>
      </c>
    </row>
  </sheetData>
  <hyperlinks>
    <hyperlink ref="I53" r:id="rId1" xr:uid="{5055E7C2-704F-4DF8-B13D-BB52B0115323}"/>
  </hyperlinks>
  <pageMargins left="0.7" right="0.7" top="0.75" bottom="0.75" header="0.3" footer="0.3"/>
  <ignoredErrors>
    <ignoredError sqref="I11:I45"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5D9073-0C34-4105-8D1C-5F9E730EA22F}">
  <sheetPr codeName="Hoja4"/>
  <dimension ref="A1:M64"/>
  <sheetViews>
    <sheetView showGridLines="0" tabSelected="1" topLeftCell="C1" workbookViewId="0">
      <pane ySplit="2" topLeftCell="A45" activePane="bottomLeft" state="frozen"/>
      <selection activeCell="C1" sqref="C1"/>
      <selection pane="bottomLeft" activeCell="C3" sqref="A3:XFD3"/>
    </sheetView>
  </sheetViews>
  <sheetFormatPr baseColWidth="10" defaultColWidth="11.44140625" defaultRowHeight="14.4"/>
  <cols>
    <col min="1" max="3" width="29" customWidth="1"/>
    <col min="4" max="4" width="37.44140625" customWidth="1"/>
    <col min="5" max="6" width="48.33203125" customWidth="1"/>
    <col min="7" max="8" width="29" customWidth="1"/>
    <col min="9" max="9" width="40.5546875" customWidth="1"/>
    <col min="10" max="13" width="29" customWidth="1"/>
  </cols>
  <sheetData>
    <row r="1" spans="1:13" ht="31.2">
      <c r="A1" s="19" t="s">
        <v>20</v>
      </c>
      <c r="B1" s="20" t="s">
        <v>21</v>
      </c>
      <c r="C1" s="20" t="s">
        <v>6</v>
      </c>
      <c r="D1" s="20" t="s">
        <v>7</v>
      </c>
      <c r="E1" s="20" t="s">
        <v>73</v>
      </c>
      <c r="F1" s="20" t="s">
        <v>74</v>
      </c>
      <c r="G1" s="20" t="s">
        <v>75</v>
      </c>
      <c r="H1" s="20" t="s">
        <v>76</v>
      </c>
      <c r="I1" s="20" t="s">
        <v>77</v>
      </c>
      <c r="J1" s="20" t="s">
        <v>78</v>
      </c>
      <c r="K1" s="20" t="s">
        <v>79</v>
      </c>
      <c r="L1" s="20" t="s">
        <v>80</v>
      </c>
      <c r="M1" s="20" t="s">
        <v>81</v>
      </c>
    </row>
    <row r="2" spans="1:13" ht="46.8">
      <c r="A2" s="21" t="s">
        <v>38</v>
      </c>
      <c r="B2" s="21" t="s">
        <v>39</v>
      </c>
      <c r="C2" s="21" t="s">
        <v>82</v>
      </c>
      <c r="D2" s="21" t="s">
        <v>83</v>
      </c>
      <c r="E2" s="21" t="s">
        <v>84</v>
      </c>
      <c r="F2" s="21" t="s">
        <v>85</v>
      </c>
      <c r="G2" s="21" t="s">
        <v>86</v>
      </c>
      <c r="H2" s="21" t="s">
        <v>87</v>
      </c>
      <c r="I2" s="21" t="s">
        <v>88</v>
      </c>
      <c r="J2" s="21" t="s">
        <v>89</v>
      </c>
      <c r="K2" s="21" t="s">
        <v>90</v>
      </c>
      <c r="L2" s="21" t="s">
        <v>91</v>
      </c>
      <c r="M2" s="21" t="s">
        <v>90</v>
      </c>
    </row>
    <row r="3" spans="1:13">
      <c r="A3" s="22" t="s">
        <v>55</v>
      </c>
      <c r="B3" s="22" t="s">
        <v>56</v>
      </c>
      <c r="C3" s="23" t="s">
        <v>66</v>
      </c>
      <c r="D3" s="24" t="s">
        <v>115</v>
      </c>
      <c r="E3" s="24" t="str">
        <f t="shared" ref="E3:E60" si="0">UPPER(F3)</f>
        <v>IDENTIFICADOR ÚNICO DE LA TRANSACCIÓN</v>
      </c>
      <c r="F3" s="24" t="s">
        <v>116</v>
      </c>
      <c r="G3" s="22" t="s">
        <v>62</v>
      </c>
      <c r="H3" s="22" t="s">
        <v>94</v>
      </c>
      <c r="I3" s="30" t="s">
        <v>231</v>
      </c>
      <c r="J3" s="22" t="s">
        <v>62</v>
      </c>
      <c r="K3" s="22" t="s">
        <v>95</v>
      </c>
      <c r="L3" s="22" t="s">
        <v>62</v>
      </c>
      <c r="M3" s="22" t="s">
        <v>62</v>
      </c>
    </row>
    <row r="4" spans="1:13">
      <c r="A4" s="22" t="s">
        <v>55</v>
      </c>
      <c r="B4" s="22" t="s">
        <v>56</v>
      </c>
      <c r="C4" s="23" t="s">
        <v>66</v>
      </c>
      <c r="D4" s="24" t="s">
        <v>232</v>
      </c>
      <c r="E4" s="24" t="str">
        <f t="shared" si="0"/>
        <v>FECHA EN QUE EL CASO FUE INGRESADO AL SISTEMA</v>
      </c>
      <c r="F4" s="24" t="s">
        <v>233</v>
      </c>
      <c r="G4" s="22" t="s">
        <v>62</v>
      </c>
      <c r="H4" s="22" t="s">
        <v>94</v>
      </c>
      <c r="I4" s="30">
        <v>45979</v>
      </c>
      <c r="J4" s="22" t="s">
        <v>62</v>
      </c>
      <c r="K4" s="22" t="s">
        <v>95</v>
      </c>
      <c r="L4" s="22" t="s">
        <v>62</v>
      </c>
      <c r="M4" s="22" t="s">
        <v>62</v>
      </c>
    </row>
    <row r="5" spans="1:13">
      <c r="A5" s="22" t="s">
        <v>55</v>
      </c>
      <c r="B5" s="22" t="s">
        <v>56</v>
      </c>
      <c r="C5" s="23" t="s">
        <v>66</v>
      </c>
      <c r="D5" s="24" t="s">
        <v>234</v>
      </c>
      <c r="E5" s="24" t="str">
        <f t="shared" si="0"/>
        <v>FECHA EN QUE OCURRIÓ LA TRANSACCIÓN</v>
      </c>
      <c r="F5" s="24" t="s">
        <v>235</v>
      </c>
      <c r="G5" s="22" t="s">
        <v>62</v>
      </c>
      <c r="H5" s="22" t="s">
        <v>94</v>
      </c>
      <c r="I5" s="30">
        <v>45966</v>
      </c>
      <c r="J5" s="22" t="s">
        <v>62</v>
      </c>
      <c r="K5" s="22" t="s">
        <v>95</v>
      </c>
      <c r="L5" s="22" t="s">
        <v>62</v>
      </c>
      <c r="M5" s="22" t="s">
        <v>62</v>
      </c>
    </row>
    <row r="6" spans="1:13">
      <c r="A6" s="22" t="s">
        <v>55</v>
      </c>
      <c r="B6" s="22" t="s">
        <v>56</v>
      </c>
      <c r="C6" s="23" t="s">
        <v>66</v>
      </c>
      <c r="D6" s="24" t="s">
        <v>164</v>
      </c>
      <c r="E6" s="24" t="str">
        <f t="shared" si="0"/>
        <v>BANCO EMISOR DE LA TARJETA</v>
      </c>
      <c r="F6" s="24" t="s">
        <v>236</v>
      </c>
      <c r="G6" s="22" t="s">
        <v>62</v>
      </c>
      <c r="H6" s="22" t="s">
        <v>94</v>
      </c>
      <c r="I6" s="30" t="s">
        <v>237</v>
      </c>
      <c r="J6" s="22" t="s">
        <v>62</v>
      </c>
      <c r="K6" s="22" t="s">
        <v>95</v>
      </c>
      <c r="L6" s="22" t="s">
        <v>62</v>
      </c>
      <c r="M6" s="22" t="s">
        <v>62</v>
      </c>
    </row>
    <row r="7" spans="1:13">
      <c r="A7" s="22" t="s">
        <v>55</v>
      </c>
      <c r="B7" s="22" t="s">
        <v>56</v>
      </c>
      <c r="C7" s="23" t="s">
        <v>66</v>
      </c>
      <c r="D7" s="24" t="s">
        <v>96</v>
      </c>
      <c r="E7" s="24" t="str">
        <f t="shared" si="0"/>
        <v>BANCO ADQUIRENTE DEL COMERCIO</v>
      </c>
      <c r="F7" s="24" t="s">
        <v>238</v>
      </c>
      <c r="G7" s="22" t="s">
        <v>62</v>
      </c>
      <c r="H7" s="22" t="s">
        <v>94</v>
      </c>
      <c r="I7" s="30" t="s">
        <v>239</v>
      </c>
      <c r="J7" s="22" t="s">
        <v>62</v>
      </c>
      <c r="K7" s="22" t="s">
        <v>95</v>
      </c>
      <c r="L7" s="22" t="s">
        <v>62</v>
      </c>
      <c r="M7" s="22" t="s">
        <v>62</v>
      </c>
    </row>
    <row r="8" spans="1:13">
      <c r="A8" s="22" t="s">
        <v>55</v>
      </c>
      <c r="B8" s="22" t="s">
        <v>56</v>
      </c>
      <c r="C8" s="23" t="s">
        <v>66</v>
      </c>
      <c r="D8" s="24" t="s">
        <v>240</v>
      </c>
      <c r="E8" s="24" t="str">
        <f t="shared" si="0"/>
        <v>ESTADO DEL CASO DE FRAUDE</v>
      </c>
      <c r="F8" s="24" t="s">
        <v>241</v>
      </c>
      <c r="G8" s="22" t="s">
        <v>62</v>
      </c>
      <c r="H8" s="22" t="s">
        <v>94</v>
      </c>
      <c r="I8" s="30" t="s">
        <v>242</v>
      </c>
      <c r="J8" s="22" t="s">
        <v>62</v>
      </c>
      <c r="K8" s="22" t="s">
        <v>95</v>
      </c>
      <c r="L8" s="22" t="s">
        <v>62</v>
      </c>
      <c r="M8" s="22" t="s">
        <v>62</v>
      </c>
    </row>
    <row r="9" spans="1:13">
      <c r="A9" s="22" t="s">
        <v>55</v>
      </c>
      <c r="B9" s="22" t="s">
        <v>56</v>
      </c>
      <c r="C9" s="23" t="s">
        <v>66</v>
      </c>
      <c r="D9" s="24" t="s">
        <v>243</v>
      </c>
      <c r="E9" s="24" t="str">
        <f t="shared" si="0"/>
        <v>NÚMERO DE CONTROL DE AUDITORÍA</v>
      </c>
      <c r="F9" s="24" t="s">
        <v>244</v>
      </c>
      <c r="G9" s="22" t="s">
        <v>62</v>
      </c>
      <c r="H9" s="22" t="s">
        <v>94</v>
      </c>
      <c r="I9" s="30" t="s">
        <v>245</v>
      </c>
      <c r="J9" s="22" t="s">
        <v>62</v>
      </c>
      <c r="K9" s="22" t="s">
        <v>95</v>
      </c>
      <c r="L9" s="22" t="s">
        <v>62</v>
      </c>
      <c r="M9" s="22" t="s">
        <v>62</v>
      </c>
    </row>
    <row r="10" spans="1:13">
      <c r="A10" s="22" t="s">
        <v>55</v>
      </c>
      <c r="B10" s="22" t="s">
        <v>56</v>
      </c>
      <c r="C10" s="23" t="s">
        <v>66</v>
      </c>
      <c r="D10" s="24" t="s">
        <v>192</v>
      </c>
      <c r="E10" s="24" t="str">
        <f t="shared" si="0"/>
        <v>TIPO PRINCIPAL DE FRAUDE</v>
      </c>
      <c r="F10" s="24" t="s">
        <v>246</v>
      </c>
      <c r="G10" s="22" t="s">
        <v>62</v>
      </c>
      <c r="H10" s="22" t="s">
        <v>94</v>
      </c>
      <c r="I10" s="30" t="s">
        <v>247</v>
      </c>
      <c r="J10" s="22" t="s">
        <v>62</v>
      </c>
      <c r="K10" s="22" t="s">
        <v>95</v>
      </c>
      <c r="L10" s="22" t="s">
        <v>62</v>
      </c>
      <c r="M10" s="22" t="s">
        <v>62</v>
      </c>
    </row>
    <row r="11" spans="1:13">
      <c r="A11" s="22" t="s">
        <v>55</v>
      </c>
      <c r="B11" s="22" t="s">
        <v>56</v>
      </c>
      <c r="C11" s="23" t="s">
        <v>66</v>
      </c>
      <c r="D11" s="24" t="s">
        <v>248</v>
      </c>
      <c r="E11" s="24" t="str">
        <f t="shared" si="0"/>
        <v>SUBCATEGORÍA DEL FRAUDE</v>
      </c>
      <c r="F11" s="24" t="s">
        <v>249</v>
      </c>
      <c r="G11" s="22" t="s">
        <v>62</v>
      </c>
      <c r="H11" s="22" t="s">
        <v>94</v>
      </c>
      <c r="I11" s="30" t="s">
        <v>250</v>
      </c>
      <c r="J11" s="22" t="s">
        <v>62</v>
      </c>
      <c r="K11" s="22" t="s">
        <v>95</v>
      </c>
      <c r="L11" s="22" t="s">
        <v>62</v>
      </c>
      <c r="M11" s="22" t="s">
        <v>62</v>
      </c>
    </row>
    <row r="12" spans="1:13">
      <c r="A12" s="22" t="s">
        <v>55</v>
      </c>
      <c r="B12" s="22" t="s">
        <v>56</v>
      </c>
      <c r="C12" s="23" t="s">
        <v>66</v>
      </c>
      <c r="D12" s="24" t="s">
        <v>251</v>
      </c>
      <c r="E12" s="24" t="str">
        <f t="shared" si="0"/>
        <v>NÚMERO DE TARJETA (PUEDE ESTAR ENMASCARADO)</v>
      </c>
      <c r="F12" s="24" t="s">
        <v>252</v>
      </c>
      <c r="G12" s="22" t="s">
        <v>62</v>
      </c>
      <c r="H12" s="22" t="s">
        <v>94</v>
      </c>
      <c r="I12" s="30" t="s">
        <v>253</v>
      </c>
      <c r="J12" s="22" t="s">
        <v>62</v>
      </c>
      <c r="K12" s="22" t="s">
        <v>95</v>
      </c>
      <c r="L12" s="22" t="s">
        <v>62</v>
      </c>
      <c r="M12" s="22" t="s">
        <v>62</v>
      </c>
    </row>
    <row r="13" spans="1:13">
      <c r="A13" s="22" t="s">
        <v>55</v>
      </c>
      <c r="B13" s="22" t="s">
        <v>56</v>
      </c>
      <c r="C13" s="23" t="s">
        <v>66</v>
      </c>
      <c r="D13" s="24" t="s">
        <v>254</v>
      </c>
      <c r="E13" s="24" t="str">
        <f t="shared" si="0"/>
        <v>CÓDIGO DEL PRODUCTO DE LA TARJETA</v>
      </c>
      <c r="F13" s="24" t="s">
        <v>255</v>
      </c>
      <c r="G13" s="22" t="s">
        <v>62</v>
      </c>
      <c r="H13" s="22" t="s">
        <v>94</v>
      </c>
      <c r="I13" s="30" t="s">
        <v>256</v>
      </c>
      <c r="J13" s="22" t="s">
        <v>62</v>
      </c>
      <c r="K13" s="22" t="s">
        <v>95</v>
      </c>
      <c r="L13" s="22" t="s">
        <v>62</v>
      </c>
      <c r="M13" s="22" t="s">
        <v>62</v>
      </c>
    </row>
    <row r="14" spans="1:13">
      <c r="A14" s="22" t="s">
        <v>55</v>
      </c>
      <c r="B14" s="22" t="s">
        <v>56</v>
      </c>
      <c r="C14" s="23" t="s">
        <v>66</v>
      </c>
      <c r="D14" s="24" t="s">
        <v>257</v>
      </c>
      <c r="E14" s="24" t="str">
        <f t="shared" si="0"/>
        <v>FECHA DE CONTABILIZACIÓN</v>
      </c>
      <c r="F14" s="24" t="s">
        <v>258</v>
      </c>
      <c r="G14" s="22" t="s">
        <v>62</v>
      </c>
      <c r="H14" s="22" t="s">
        <v>94</v>
      </c>
      <c r="I14" s="30">
        <v>45979</v>
      </c>
      <c r="J14" s="22" t="s">
        <v>62</v>
      </c>
      <c r="K14" s="22" t="s">
        <v>95</v>
      </c>
      <c r="L14" s="22" t="s">
        <v>62</v>
      </c>
      <c r="M14" s="22" t="s">
        <v>62</v>
      </c>
    </row>
    <row r="15" spans="1:13">
      <c r="A15" s="22" t="s">
        <v>55</v>
      </c>
      <c r="B15" s="22" t="s">
        <v>56</v>
      </c>
      <c r="C15" s="23" t="s">
        <v>66</v>
      </c>
      <c r="D15" s="24" t="s">
        <v>259</v>
      </c>
      <c r="E15" s="24" t="str">
        <f t="shared" si="0"/>
        <v>CÓDIGO DE MONEDA DE LA TRANSACCIÓN</v>
      </c>
      <c r="F15" s="24" t="s">
        <v>207</v>
      </c>
      <c r="G15" s="22" t="s">
        <v>62</v>
      </c>
      <c r="H15" s="22" t="s">
        <v>94</v>
      </c>
      <c r="I15" s="30" t="s">
        <v>208</v>
      </c>
      <c r="J15" s="22" t="s">
        <v>62</v>
      </c>
      <c r="K15" s="22" t="s">
        <v>95</v>
      </c>
      <c r="L15" s="22" t="s">
        <v>62</v>
      </c>
      <c r="M15" s="22" t="s">
        <v>62</v>
      </c>
    </row>
    <row r="16" spans="1:13">
      <c r="A16" s="22" t="s">
        <v>55</v>
      </c>
      <c r="B16" s="22" t="s">
        <v>56</v>
      </c>
      <c r="C16" s="23" t="s">
        <v>66</v>
      </c>
      <c r="D16" s="24" t="s">
        <v>260</v>
      </c>
      <c r="E16" s="24" t="str">
        <f t="shared" si="0"/>
        <v>FECHA DE LIQUIDACIÓN</v>
      </c>
      <c r="F16" s="24" t="s">
        <v>261</v>
      </c>
      <c r="G16" s="22" t="s">
        <v>62</v>
      </c>
      <c r="H16" s="22" t="s">
        <v>94</v>
      </c>
      <c r="I16" s="30">
        <v>45967</v>
      </c>
      <c r="J16" s="22" t="s">
        <v>62</v>
      </c>
      <c r="K16" s="22" t="s">
        <v>95</v>
      </c>
      <c r="L16" s="22" t="s">
        <v>62</v>
      </c>
      <c r="M16" s="22" t="s">
        <v>62</v>
      </c>
    </row>
    <row r="17" spans="1:13">
      <c r="A17" s="22" t="s">
        <v>55</v>
      </c>
      <c r="B17" s="22" t="s">
        <v>56</v>
      </c>
      <c r="C17" s="23" t="s">
        <v>66</v>
      </c>
      <c r="D17" s="24" t="s">
        <v>262</v>
      </c>
      <c r="E17" s="24" t="str">
        <f t="shared" si="0"/>
        <v>CÓDIGO DE MONEDA DE FACTURACIÓN</v>
      </c>
      <c r="F17" s="24" t="s">
        <v>263</v>
      </c>
      <c r="G17" s="22" t="s">
        <v>62</v>
      </c>
      <c r="H17" s="22" t="s">
        <v>94</v>
      </c>
      <c r="I17" s="30" t="s">
        <v>264</v>
      </c>
      <c r="J17" s="22" t="s">
        <v>62</v>
      </c>
      <c r="K17" s="22" t="s">
        <v>95</v>
      </c>
      <c r="L17" s="22" t="s">
        <v>62</v>
      </c>
      <c r="M17" s="22" t="s">
        <v>62</v>
      </c>
    </row>
    <row r="18" spans="1:13">
      <c r="A18" s="22" t="s">
        <v>55</v>
      </c>
      <c r="B18" s="22" t="s">
        <v>56</v>
      </c>
      <c r="C18" s="23" t="s">
        <v>66</v>
      </c>
      <c r="D18" s="31" t="s">
        <v>182</v>
      </c>
      <c r="E18" s="24" t="str">
        <f t="shared" si="0"/>
        <v>NOMBRE DEL COMERCIO</v>
      </c>
      <c r="F18" s="24" t="s">
        <v>265</v>
      </c>
      <c r="G18" s="22" t="s">
        <v>95</v>
      </c>
      <c r="H18" s="22" t="s">
        <v>94</v>
      </c>
      <c r="I18" s="30" t="s">
        <v>266</v>
      </c>
      <c r="J18" s="22" t="s">
        <v>62</v>
      </c>
      <c r="K18" s="22" t="s">
        <v>95</v>
      </c>
      <c r="L18" s="22" t="s">
        <v>62</v>
      </c>
      <c r="M18" s="22" t="s">
        <v>62</v>
      </c>
    </row>
    <row r="19" spans="1:13">
      <c r="A19" s="22" t="s">
        <v>55</v>
      </c>
      <c r="B19" s="22" t="s">
        <v>56</v>
      </c>
      <c r="C19" s="23" t="s">
        <v>66</v>
      </c>
      <c r="D19" s="24" t="s">
        <v>267</v>
      </c>
      <c r="E19" s="24" t="str">
        <f t="shared" si="0"/>
        <v>CIUDAD DEL COMERCIO</v>
      </c>
      <c r="F19" s="24" t="s">
        <v>185</v>
      </c>
      <c r="G19" s="22" t="s">
        <v>62</v>
      </c>
      <c r="H19" s="22" t="s">
        <v>94</v>
      </c>
      <c r="I19" s="30" t="s">
        <v>268</v>
      </c>
      <c r="J19" s="22" t="s">
        <v>62</v>
      </c>
      <c r="K19" s="22" t="s">
        <v>95</v>
      </c>
      <c r="L19" s="22" t="s">
        <v>62</v>
      </c>
      <c r="M19" s="22" t="s">
        <v>62</v>
      </c>
    </row>
    <row r="20" spans="1:13">
      <c r="A20" s="22" t="s">
        <v>55</v>
      </c>
      <c r="B20" s="22" t="s">
        <v>56</v>
      </c>
      <c r="C20" s="23" t="s">
        <v>66</v>
      </c>
      <c r="D20" s="24" t="s">
        <v>269</v>
      </c>
      <c r="E20" s="24" t="str">
        <f t="shared" si="0"/>
        <v>PAÍS DEL COMERCIO</v>
      </c>
      <c r="F20" s="24" t="s">
        <v>188</v>
      </c>
      <c r="G20" s="22" t="s">
        <v>62</v>
      </c>
      <c r="H20" s="22" t="s">
        <v>94</v>
      </c>
      <c r="I20" s="30" t="s">
        <v>270</v>
      </c>
      <c r="J20" s="22" t="s">
        <v>62</v>
      </c>
      <c r="K20" s="22" t="s">
        <v>95</v>
      </c>
      <c r="L20" s="22" t="s">
        <v>62</v>
      </c>
      <c r="M20" s="22" t="s">
        <v>62</v>
      </c>
    </row>
    <row r="21" spans="1:13">
      <c r="A21" s="22" t="s">
        <v>55</v>
      </c>
      <c r="B21" s="22" t="s">
        <v>56</v>
      </c>
      <c r="C21" s="23" t="s">
        <v>66</v>
      </c>
      <c r="D21" s="24" t="s">
        <v>271</v>
      </c>
      <c r="E21" s="24" t="str">
        <f t="shared" si="0"/>
        <v>ESTADO DEL COMERCIO</v>
      </c>
      <c r="F21" s="24" t="s">
        <v>272</v>
      </c>
      <c r="G21" s="22" t="s">
        <v>62</v>
      </c>
      <c r="H21" s="22" t="s">
        <v>94</v>
      </c>
      <c r="I21" s="30" t="s">
        <v>273</v>
      </c>
      <c r="J21" s="22" t="s">
        <v>62</v>
      </c>
      <c r="K21" s="22" t="s">
        <v>95</v>
      </c>
      <c r="L21" s="22" t="s">
        <v>62</v>
      </c>
      <c r="M21" s="22" t="s">
        <v>62</v>
      </c>
    </row>
    <row r="22" spans="1:13">
      <c r="A22" s="22" t="s">
        <v>55</v>
      </c>
      <c r="B22" s="22" t="s">
        <v>56</v>
      </c>
      <c r="C22" s="23" t="s">
        <v>66</v>
      </c>
      <c r="D22" s="24" t="s">
        <v>274</v>
      </c>
      <c r="E22" s="24" t="str">
        <f t="shared" si="0"/>
        <v>PROVINCIA O REGIÓN DEL COMERCIO</v>
      </c>
      <c r="F22" s="24" t="s">
        <v>275</v>
      </c>
      <c r="G22" s="22" t="s">
        <v>62</v>
      </c>
      <c r="H22" s="22" t="s">
        <v>94</v>
      </c>
      <c r="I22" s="30" t="s">
        <v>152</v>
      </c>
      <c r="J22" s="22" t="s">
        <v>62</v>
      </c>
      <c r="K22" s="22" t="s">
        <v>95</v>
      </c>
      <c r="L22" s="22" t="s">
        <v>62</v>
      </c>
      <c r="M22" s="22" t="s">
        <v>62</v>
      </c>
    </row>
    <row r="23" spans="1:13">
      <c r="A23" s="22" t="s">
        <v>55</v>
      </c>
      <c r="B23" s="22" t="s">
        <v>56</v>
      </c>
      <c r="C23" s="23" t="s">
        <v>66</v>
      </c>
      <c r="D23" s="24" t="s">
        <v>276</v>
      </c>
      <c r="E23" s="24" t="str">
        <f t="shared" si="0"/>
        <v>CÓDIGO POSTAL DEL COMERCIO</v>
      </c>
      <c r="F23" s="24" t="s">
        <v>277</v>
      </c>
      <c r="G23" s="22" t="s">
        <v>62</v>
      </c>
      <c r="H23" s="22" t="s">
        <v>94</v>
      </c>
      <c r="I23" s="30" t="s">
        <v>152</v>
      </c>
      <c r="J23" s="22" t="s">
        <v>62</v>
      </c>
      <c r="K23" s="22" t="s">
        <v>95</v>
      </c>
      <c r="L23" s="22" t="s">
        <v>62</v>
      </c>
      <c r="M23" s="22" t="s">
        <v>62</v>
      </c>
    </row>
    <row r="24" spans="1:13">
      <c r="A24" s="22" t="s">
        <v>55</v>
      </c>
      <c r="B24" s="22" t="s">
        <v>56</v>
      </c>
      <c r="C24" s="23" t="s">
        <v>66</v>
      </c>
      <c r="D24" s="24" t="s">
        <v>278</v>
      </c>
      <c r="E24" s="24" t="str">
        <f t="shared" si="0"/>
        <v>IDENTIFICADOR DEL COMERCIO</v>
      </c>
      <c r="F24" s="24" t="s">
        <v>121</v>
      </c>
      <c r="G24" s="22" t="s">
        <v>62</v>
      </c>
      <c r="H24" s="22" t="s">
        <v>94</v>
      </c>
      <c r="I24" s="30" t="s">
        <v>279</v>
      </c>
      <c r="J24" s="22" t="s">
        <v>62</v>
      </c>
      <c r="K24" s="22" t="s">
        <v>95</v>
      </c>
      <c r="L24" s="22" t="s">
        <v>62</v>
      </c>
      <c r="M24" s="22" t="s">
        <v>62</v>
      </c>
    </row>
    <row r="25" spans="1:13">
      <c r="A25" s="22" t="s">
        <v>55</v>
      </c>
      <c r="B25" s="22" t="s">
        <v>56</v>
      </c>
      <c r="C25" s="23" t="s">
        <v>66</v>
      </c>
      <c r="D25" s="24" t="s">
        <v>280</v>
      </c>
      <c r="E25" s="24" t="str">
        <f t="shared" si="0"/>
        <v>CÓDIGO DE CATEGORÍA DEL COMERCIO</v>
      </c>
      <c r="F25" s="24" t="s">
        <v>281</v>
      </c>
      <c r="G25" s="22" t="s">
        <v>62</v>
      </c>
      <c r="H25" s="22" t="s">
        <v>94</v>
      </c>
      <c r="I25" s="30" t="s">
        <v>282</v>
      </c>
      <c r="J25" s="22" t="s">
        <v>62</v>
      </c>
      <c r="K25" s="22" t="s">
        <v>95</v>
      </c>
      <c r="L25" s="22" t="s">
        <v>62</v>
      </c>
      <c r="M25" s="22" t="s">
        <v>62</v>
      </c>
    </row>
    <row r="26" spans="1:13">
      <c r="A26" s="22" t="s">
        <v>55</v>
      </c>
      <c r="B26" s="22" t="s">
        <v>56</v>
      </c>
      <c r="C26" s="23" t="s">
        <v>66</v>
      </c>
      <c r="D26" s="24" t="s">
        <v>283</v>
      </c>
      <c r="E26" s="24" t="str">
        <f t="shared" si="0"/>
        <v>CÓDIGO DE RESPUESTA DE AUTORIZACIÓN</v>
      </c>
      <c r="F26" s="24" t="s">
        <v>284</v>
      </c>
      <c r="G26" s="22" t="s">
        <v>62</v>
      </c>
      <c r="H26" s="22" t="s">
        <v>94</v>
      </c>
      <c r="I26" s="30" t="s">
        <v>285</v>
      </c>
      <c r="J26" s="22" t="s">
        <v>62</v>
      </c>
      <c r="K26" s="22" t="s">
        <v>95</v>
      </c>
      <c r="L26" s="22" t="s">
        <v>62</v>
      </c>
      <c r="M26" s="22" t="s">
        <v>62</v>
      </c>
    </row>
    <row r="27" spans="1:13">
      <c r="A27" s="22" t="s">
        <v>55</v>
      </c>
      <c r="B27" s="22" t="s">
        <v>56</v>
      </c>
      <c r="C27" s="23" t="s">
        <v>66</v>
      </c>
      <c r="D27" s="24" t="s">
        <v>138</v>
      </c>
      <c r="E27" s="24" t="str">
        <f t="shared" si="0"/>
        <v>FORMA DE INGRESO DE DATOS DE LA TARJETA</v>
      </c>
      <c r="F27" s="24" t="s">
        <v>286</v>
      </c>
      <c r="G27" s="22" t="s">
        <v>62</v>
      </c>
      <c r="H27" s="22" t="s">
        <v>94</v>
      </c>
      <c r="I27" s="30" t="s">
        <v>287</v>
      </c>
      <c r="J27" s="22" t="s">
        <v>62</v>
      </c>
      <c r="K27" s="22" t="s">
        <v>95</v>
      </c>
      <c r="L27" s="22" t="s">
        <v>62</v>
      </c>
      <c r="M27" s="22" t="s">
        <v>62</v>
      </c>
    </row>
    <row r="28" spans="1:13">
      <c r="A28" s="22" t="s">
        <v>55</v>
      </c>
      <c r="B28" s="22" t="s">
        <v>56</v>
      </c>
      <c r="C28" s="23" t="s">
        <v>66</v>
      </c>
      <c r="D28" s="24" t="s">
        <v>123</v>
      </c>
      <c r="E28" s="24" t="str">
        <f t="shared" si="0"/>
        <v>IDENTIFICADOR DEL TERMINAL</v>
      </c>
      <c r="F28" s="24" t="s">
        <v>288</v>
      </c>
      <c r="G28" s="22" t="s">
        <v>62</v>
      </c>
      <c r="H28" s="22" t="s">
        <v>94</v>
      </c>
      <c r="I28" s="30" t="s">
        <v>289</v>
      </c>
      <c r="J28" s="22" t="s">
        <v>62</v>
      </c>
      <c r="K28" s="22" t="s">
        <v>95</v>
      </c>
      <c r="L28" s="22" t="s">
        <v>62</v>
      </c>
      <c r="M28" s="22" t="s">
        <v>62</v>
      </c>
    </row>
    <row r="29" spans="1:13">
      <c r="A29" s="22" t="s">
        <v>55</v>
      </c>
      <c r="B29" s="22" t="s">
        <v>56</v>
      </c>
      <c r="C29" s="23" t="s">
        <v>66</v>
      </c>
      <c r="D29" s="24" t="s">
        <v>290</v>
      </c>
      <c r="E29" s="24" t="str">
        <f t="shared" si="0"/>
        <v>CÓDIGO ASOCIADO AL CONTRACARGO</v>
      </c>
      <c r="F29" s="24" t="s">
        <v>291</v>
      </c>
      <c r="G29" s="22" t="s">
        <v>62</v>
      </c>
      <c r="H29" s="22" t="s">
        <v>94</v>
      </c>
      <c r="I29" s="30" t="s">
        <v>152</v>
      </c>
      <c r="J29" s="22" t="s">
        <v>62</v>
      </c>
      <c r="K29" s="22" t="s">
        <v>95</v>
      </c>
      <c r="L29" s="22" t="s">
        <v>62</v>
      </c>
      <c r="M29" s="22" t="s">
        <v>62</v>
      </c>
    </row>
    <row r="30" spans="1:13">
      <c r="A30" s="22" t="s">
        <v>55</v>
      </c>
      <c r="B30" s="22" t="s">
        <v>56</v>
      </c>
      <c r="C30" s="23" t="s">
        <v>66</v>
      </c>
      <c r="D30" s="24" t="s">
        <v>171</v>
      </c>
      <c r="E30" s="24" t="str">
        <f t="shared" si="0"/>
        <v>NÚMERO DE REFERENCIA DEL ADQUIRENTE (ARN)</v>
      </c>
      <c r="F30" s="24" t="s">
        <v>172</v>
      </c>
      <c r="G30" s="22" t="s">
        <v>62</v>
      </c>
      <c r="H30" s="22" t="s">
        <v>94</v>
      </c>
      <c r="I30" s="30" t="s">
        <v>292</v>
      </c>
      <c r="J30" s="22" t="s">
        <v>62</v>
      </c>
      <c r="K30" s="22" t="s">
        <v>95</v>
      </c>
      <c r="L30" s="22" t="s">
        <v>62</v>
      </c>
      <c r="M30" s="22" t="s">
        <v>62</v>
      </c>
    </row>
    <row r="31" spans="1:13">
      <c r="A31" s="22" t="s">
        <v>55</v>
      </c>
      <c r="B31" s="22" t="s">
        <v>56</v>
      </c>
      <c r="C31" s="23" t="s">
        <v>66</v>
      </c>
      <c r="D31" s="24" t="s">
        <v>293</v>
      </c>
      <c r="E31" s="24" t="str">
        <f t="shared" si="0"/>
        <v>IDENTIFICADOR DE RASTREO DE LA TRANSACCIÓN</v>
      </c>
      <c r="F31" s="24" t="s">
        <v>294</v>
      </c>
      <c r="G31" s="22" t="s">
        <v>62</v>
      </c>
      <c r="H31" s="22" t="s">
        <v>94</v>
      </c>
      <c r="I31" s="30" t="s">
        <v>152</v>
      </c>
      <c r="J31" s="22" t="s">
        <v>62</v>
      </c>
      <c r="K31" s="22" t="s">
        <v>95</v>
      </c>
      <c r="L31" s="22" t="s">
        <v>62</v>
      </c>
      <c r="M31" s="22" t="s">
        <v>62</v>
      </c>
    </row>
    <row r="32" spans="1:13">
      <c r="A32" s="22" t="s">
        <v>55</v>
      </c>
      <c r="B32" s="22" t="s">
        <v>56</v>
      </c>
      <c r="C32" s="23" t="s">
        <v>66</v>
      </c>
      <c r="D32" s="24" t="s">
        <v>295</v>
      </c>
      <c r="E32" s="24" t="str">
        <f t="shared" si="0"/>
        <v>INDICA SI EL TERMINAL ES ATENDIDO O NO</v>
      </c>
      <c r="F32" s="24" t="s">
        <v>296</v>
      </c>
      <c r="G32" s="22" t="s">
        <v>62</v>
      </c>
      <c r="H32" s="22" t="s">
        <v>94</v>
      </c>
      <c r="I32" s="30" t="s">
        <v>297</v>
      </c>
      <c r="J32" s="22" t="s">
        <v>62</v>
      </c>
      <c r="K32" s="22" t="s">
        <v>95</v>
      </c>
      <c r="L32" s="22" t="s">
        <v>62</v>
      </c>
      <c r="M32" s="22" t="s">
        <v>62</v>
      </c>
    </row>
    <row r="33" spans="1:13">
      <c r="A33" s="22" t="s">
        <v>55</v>
      </c>
      <c r="B33" s="22" t="s">
        <v>56</v>
      </c>
      <c r="C33" s="23" t="s">
        <v>66</v>
      </c>
      <c r="D33" s="24" t="s">
        <v>298</v>
      </c>
      <c r="E33" s="24" t="str">
        <f t="shared" si="0"/>
        <v>INDICA SI LA TARJETA ESTUVO PRESENTE</v>
      </c>
      <c r="F33" s="24" t="s">
        <v>299</v>
      </c>
      <c r="G33" s="22" t="s">
        <v>62</v>
      </c>
      <c r="H33" s="22" t="s">
        <v>94</v>
      </c>
      <c r="I33" s="30" t="s">
        <v>300</v>
      </c>
      <c r="J33" s="22" t="s">
        <v>62</v>
      </c>
      <c r="K33" s="22" t="s">
        <v>95</v>
      </c>
      <c r="L33" s="22" t="s">
        <v>62</v>
      </c>
      <c r="M33" s="22" t="s">
        <v>62</v>
      </c>
    </row>
    <row r="34" spans="1:13">
      <c r="A34" s="22" t="s">
        <v>55</v>
      </c>
      <c r="B34" s="22" t="s">
        <v>56</v>
      </c>
      <c r="C34" s="23" t="s">
        <v>66</v>
      </c>
      <c r="D34" s="24" t="s">
        <v>301</v>
      </c>
      <c r="E34" s="24" t="str">
        <f t="shared" si="0"/>
        <v>CAPACIDADES DEL TERMINAL</v>
      </c>
      <c r="F34" s="24" t="s">
        <v>302</v>
      </c>
      <c r="G34" s="22" t="s">
        <v>62</v>
      </c>
      <c r="H34" s="22" t="s">
        <v>94</v>
      </c>
      <c r="I34" s="30" t="s">
        <v>303</v>
      </c>
      <c r="J34" s="22" t="s">
        <v>62</v>
      </c>
      <c r="K34" s="22" t="s">
        <v>95</v>
      </c>
      <c r="L34" s="22" t="s">
        <v>62</v>
      </c>
      <c r="M34" s="22" t="s">
        <v>62</v>
      </c>
    </row>
    <row r="35" spans="1:13">
      <c r="A35" s="22" t="s">
        <v>55</v>
      </c>
      <c r="B35" s="22" t="s">
        <v>56</v>
      </c>
      <c r="C35" s="23" t="s">
        <v>66</v>
      </c>
      <c r="D35" s="24" t="s">
        <v>304</v>
      </c>
      <c r="E35" s="24" t="str">
        <f t="shared" si="0"/>
        <v>INDICADOR DE COMERCIO ELECTRÓNICO</v>
      </c>
      <c r="F35" s="24" t="s">
        <v>305</v>
      </c>
      <c r="G35" s="22" t="s">
        <v>62</v>
      </c>
      <c r="H35" s="22" t="s">
        <v>94</v>
      </c>
      <c r="I35" s="30" t="s">
        <v>306</v>
      </c>
      <c r="J35" s="22" t="s">
        <v>62</v>
      </c>
      <c r="K35" s="22" t="s">
        <v>95</v>
      </c>
      <c r="L35" s="22" t="s">
        <v>62</v>
      </c>
      <c r="M35" s="22" t="s">
        <v>62</v>
      </c>
    </row>
    <row r="36" spans="1:13">
      <c r="A36" s="22" t="s">
        <v>55</v>
      </c>
      <c r="B36" s="22" t="s">
        <v>56</v>
      </c>
      <c r="C36" s="23" t="s">
        <v>66</v>
      </c>
      <c r="D36" s="24" t="s">
        <v>307</v>
      </c>
      <c r="E36" s="24" t="str">
        <f t="shared" si="0"/>
        <v>RESULTADO DE VALIDACIÓN DEL CVC</v>
      </c>
      <c r="F36" s="24" t="s">
        <v>308</v>
      </c>
      <c r="G36" s="22" t="s">
        <v>62</v>
      </c>
      <c r="H36" s="22" t="s">
        <v>94</v>
      </c>
      <c r="I36" s="30" t="s">
        <v>309</v>
      </c>
      <c r="J36" s="22" t="s">
        <v>62</v>
      </c>
      <c r="K36" s="22" t="s">
        <v>95</v>
      </c>
      <c r="L36" s="22" t="s">
        <v>62</v>
      </c>
      <c r="M36" s="22" t="s">
        <v>62</v>
      </c>
    </row>
    <row r="37" spans="1:13">
      <c r="A37" s="22" t="s">
        <v>55</v>
      </c>
      <c r="B37" s="22" t="s">
        <v>56</v>
      </c>
      <c r="C37" s="23" t="s">
        <v>66</v>
      </c>
      <c r="D37" s="24" t="s">
        <v>310</v>
      </c>
      <c r="E37" s="24" t="str">
        <f t="shared" si="0"/>
        <v>FECHA DE REPORTE DEL FRAUDE</v>
      </c>
      <c r="F37" s="24" t="s">
        <v>311</v>
      </c>
      <c r="G37" s="22" t="s">
        <v>62</v>
      </c>
      <c r="H37" s="22" t="s">
        <v>94</v>
      </c>
      <c r="I37" s="30" t="s">
        <v>152</v>
      </c>
      <c r="J37" s="22" t="s">
        <v>62</v>
      </c>
      <c r="K37" s="22" t="s">
        <v>95</v>
      </c>
      <c r="L37" s="22" t="s">
        <v>62</v>
      </c>
      <c r="M37" s="22" t="s">
        <v>62</v>
      </c>
    </row>
    <row r="38" spans="1:13">
      <c r="A38" s="22" t="s">
        <v>55</v>
      </c>
      <c r="B38" s="22" t="s">
        <v>56</v>
      </c>
      <c r="C38" s="23" t="s">
        <v>66</v>
      </c>
      <c r="D38" s="24" t="s">
        <v>312</v>
      </c>
      <c r="E38" s="24" t="str">
        <f t="shared" si="0"/>
        <v>TIPO DE DISPOSITIVO DE LA CUENTA</v>
      </c>
      <c r="F38" s="24" t="s">
        <v>313</v>
      </c>
      <c r="G38" s="22" t="s">
        <v>62</v>
      </c>
      <c r="H38" s="22" t="s">
        <v>94</v>
      </c>
      <c r="I38" s="30" t="s">
        <v>191</v>
      </c>
      <c r="J38" s="22" t="s">
        <v>62</v>
      </c>
      <c r="K38" s="22" t="s">
        <v>95</v>
      </c>
      <c r="L38" s="22" t="s">
        <v>62</v>
      </c>
      <c r="M38" s="22" t="s">
        <v>62</v>
      </c>
    </row>
    <row r="39" spans="1:13">
      <c r="A39" s="22" t="s">
        <v>55</v>
      </c>
      <c r="B39" s="22" t="s">
        <v>56</v>
      </c>
      <c r="C39" s="23" t="s">
        <v>66</v>
      </c>
      <c r="D39" s="24" t="s">
        <v>314</v>
      </c>
      <c r="E39" s="24" t="str">
        <f t="shared" si="0"/>
        <v>RESULTADO DE AUTENTICACIÓN</v>
      </c>
      <c r="F39" s="24" t="s">
        <v>315</v>
      </c>
      <c r="G39" s="22" t="s">
        <v>62</v>
      </c>
      <c r="H39" s="22" t="s">
        <v>94</v>
      </c>
      <c r="I39" s="30" t="s">
        <v>316</v>
      </c>
      <c r="J39" s="22" t="s">
        <v>62</v>
      </c>
      <c r="K39" s="22" t="s">
        <v>95</v>
      </c>
      <c r="L39" s="22" t="s">
        <v>62</v>
      </c>
      <c r="M39" s="22" t="s">
        <v>62</v>
      </c>
    </row>
    <row r="40" spans="1:13">
      <c r="A40" s="22" t="s">
        <v>55</v>
      </c>
      <c r="B40" s="22" t="s">
        <v>56</v>
      </c>
      <c r="C40" s="23" t="s">
        <v>66</v>
      </c>
      <c r="D40" s="24" t="s">
        <v>317</v>
      </c>
      <c r="E40" s="24" t="str">
        <f t="shared" si="0"/>
        <v>PROTOCOLO DEL PROGRAMA DE AUTENTICACIÓN</v>
      </c>
      <c r="F40" s="24" t="s">
        <v>318</v>
      </c>
      <c r="G40" s="22" t="s">
        <v>62</v>
      </c>
      <c r="H40" s="22" t="s">
        <v>94</v>
      </c>
      <c r="I40" s="30" t="s">
        <v>152</v>
      </c>
      <c r="J40" s="22" t="s">
        <v>62</v>
      </c>
      <c r="K40" s="22" t="s">
        <v>95</v>
      </c>
      <c r="L40" s="22" t="s">
        <v>62</v>
      </c>
      <c r="M40" s="22" t="s">
        <v>62</v>
      </c>
    </row>
    <row r="41" spans="1:13">
      <c r="A41" s="22" t="s">
        <v>55</v>
      </c>
      <c r="B41" s="22" t="s">
        <v>56</v>
      </c>
      <c r="C41" s="23" t="s">
        <v>66</v>
      </c>
      <c r="D41" s="24" t="s">
        <v>319</v>
      </c>
      <c r="E41" s="24" t="str">
        <f t="shared" si="0"/>
        <v>IDENTIFICADOR DEL SERVIDOR DE DIRECTORIO</v>
      </c>
      <c r="F41" s="24" t="s">
        <v>320</v>
      </c>
      <c r="G41" s="22" t="s">
        <v>62</v>
      </c>
      <c r="H41" s="22" t="s">
        <v>94</v>
      </c>
      <c r="I41" s="30" t="s">
        <v>152</v>
      </c>
      <c r="J41" s="22" t="s">
        <v>62</v>
      </c>
      <c r="K41" s="22" t="s">
        <v>95</v>
      </c>
      <c r="L41" s="22" t="s">
        <v>62</v>
      </c>
      <c r="M41" s="22" t="s">
        <v>62</v>
      </c>
    </row>
    <row r="42" spans="1:13">
      <c r="A42" s="22" t="s">
        <v>55</v>
      </c>
      <c r="B42" s="22" t="s">
        <v>56</v>
      </c>
      <c r="C42" s="23" t="s">
        <v>66</v>
      </c>
      <c r="D42" s="24" t="s">
        <v>321</v>
      </c>
      <c r="E42" s="24" t="str">
        <f t="shared" si="0"/>
        <v>PAN TOKENIZADO</v>
      </c>
      <c r="F42" s="24" t="s">
        <v>322</v>
      </c>
      <c r="G42" s="22" t="s">
        <v>62</v>
      </c>
      <c r="H42" s="22" t="s">
        <v>94</v>
      </c>
      <c r="I42" s="30" t="s">
        <v>323</v>
      </c>
      <c r="J42" s="22" t="s">
        <v>62</v>
      </c>
      <c r="K42" s="22" t="s">
        <v>95</v>
      </c>
      <c r="L42" s="22" t="s">
        <v>62</v>
      </c>
      <c r="M42" s="22" t="s">
        <v>62</v>
      </c>
    </row>
    <row r="43" spans="1:13">
      <c r="A43" s="22" t="s">
        <v>55</v>
      </c>
      <c r="B43" s="22" t="s">
        <v>56</v>
      </c>
      <c r="C43" s="23" t="s">
        <v>66</v>
      </c>
      <c r="D43" s="24" t="s">
        <v>324</v>
      </c>
      <c r="E43" s="24" t="str">
        <f t="shared" si="0"/>
        <v>INDICADOR DE CONSTRUCCIÓN MASTERCARD</v>
      </c>
      <c r="F43" s="24" t="s">
        <v>325</v>
      </c>
      <c r="G43" s="22" t="s">
        <v>62</v>
      </c>
      <c r="H43" s="22" t="s">
        <v>94</v>
      </c>
      <c r="I43" s="30" t="s">
        <v>95</v>
      </c>
      <c r="J43" s="22" t="s">
        <v>62</v>
      </c>
      <c r="K43" s="22" t="s">
        <v>95</v>
      </c>
      <c r="L43" s="22" t="s">
        <v>62</v>
      </c>
      <c r="M43" s="22" t="s">
        <v>62</v>
      </c>
    </row>
    <row r="44" spans="1:13">
      <c r="A44" s="22" t="s">
        <v>55</v>
      </c>
      <c r="B44" s="22" t="s">
        <v>56</v>
      </c>
      <c r="C44" s="23" t="s">
        <v>66</v>
      </c>
      <c r="D44" s="24" t="s">
        <v>326</v>
      </c>
      <c r="E44" s="24" t="str">
        <f t="shared" si="0"/>
        <v>TIPO DE ENVÍO DEL REGISTRO</v>
      </c>
      <c r="F44" s="24" t="s">
        <v>327</v>
      </c>
      <c r="G44" s="22" t="s">
        <v>62</v>
      </c>
      <c r="H44" s="22" t="s">
        <v>94</v>
      </c>
      <c r="I44" s="30" t="s">
        <v>328</v>
      </c>
      <c r="J44" s="22" t="s">
        <v>62</v>
      </c>
      <c r="K44" s="22" t="s">
        <v>95</v>
      </c>
      <c r="L44" s="22" t="s">
        <v>62</v>
      </c>
      <c r="M44" s="22" t="s">
        <v>62</v>
      </c>
    </row>
    <row r="45" spans="1:13">
      <c r="A45" s="22" t="s">
        <v>55</v>
      </c>
      <c r="B45" s="22" t="s">
        <v>56</v>
      </c>
      <c r="C45" s="23" t="s">
        <v>66</v>
      </c>
      <c r="D45" s="24" t="s">
        <v>329</v>
      </c>
      <c r="E45" s="24" t="str">
        <f t="shared" si="0"/>
        <v>REFERENCIA DE LA RED BANKNET</v>
      </c>
      <c r="F45" s="24" t="s">
        <v>330</v>
      </c>
      <c r="G45" s="22" t="s">
        <v>62</v>
      </c>
      <c r="H45" s="22" t="s">
        <v>94</v>
      </c>
      <c r="I45" s="30" t="s">
        <v>331</v>
      </c>
      <c r="J45" s="22" t="s">
        <v>62</v>
      </c>
      <c r="K45" s="22" t="s">
        <v>95</v>
      </c>
      <c r="L45" s="22" t="s">
        <v>62</v>
      </c>
      <c r="M45" s="22" t="s">
        <v>62</v>
      </c>
    </row>
    <row r="46" spans="1:13">
      <c r="A46" s="22" t="s">
        <v>55</v>
      </c>
      <c r="B46" s="22" t="s">
        <v>56</v>
      </c>
      <c r="C46" s="23" t="s">
        <v>66</v>
      </c>
      <c r="D46" s="24" t="s">
        <v>332</v>
      </c>
      <c r="E46" s="24" t="str">
        <f t="shared" si="0"/>
        <v>EXPONENTE DE LA MONEDA DE FACTURACIÓN</v>
      </c>
      <c r="F46" s="24" t="s">
        <v>333</v>
      </c>
      <c r="G46" s="22" t="s">
        <v>62</v>
      </c>
      <c r="H46" s="22" t="s">
        <v>94</v>
      </c>
      <c r="I46" s="30" t="s">
        <v>334</v>
      </c>
      <c r="J46" s="22" t="s">
        <v>62</v>
      </c>
      <c r="K46" s="22" t="s">
        <v>95</v>
      </c>
      <c r="L46" s="22" t="s">
        <v>62</v>
      </c>
      <c r="M46" s="22" t="s">
        <v>62</v>
      </c>
    </row>
    <row r="47" spans="1:13">
      <c r="A47" s="22" t="s">
        <v>55</v>
      </c>
      <c r="B47" s="22" t="s">
        <v>56</v>
      </c>
      <c r="C47" s="23" t="s">
        <v>66</v>
      </c>
      <c r="D47" s="24" t="s">
        <v>335</v>
      </c>
      <c r="E47" s="24" t="str">
        <f t="shared" si="0"/>
        <v>PRESENCIA DEL TARJETAHABIENTE</v>
      </c>
      <c r="F47" s="24" t="s">
        <v>336</v>
      </c>
      <c r="G47" s="22" t="s">
        <v>62</v>
      </c>
      <c r="H47" s="22" t="s">
        <v>94</v>
      </c>
      <c r="I47" s="30" t="s">
        <v>337</v>
      </c>
      <c r="J47" s="22" t="s">
        <v>62</v>
      </c>
      <c r="K47" s="22" t="s">
        <v>95</v>
      </c>
      <c r="L47" s="22" t="s">
        <v>62</v>
      </c>
      <c r="M47" s="22" t="s">
        <v>62</v>
      </c>
    </row>
    <row r="48" spans="1:13">
      <c r="A48" s="22" t="s">
        <v>55</v>
      </c>
      <c r="B48" s="22" t="s">
        <v>56</v>
      </c>
      <c r="C48" s="23" t="s">
        <v>66</v>
      </c>
      <c r="D48" s="24" t="s">
        <v>338</v>
      </c>
      <c r="E48" s="24" t="str">
        <f t="shared" si="0"/>
        <v>NIVEL DEL TERMINAL AUTOMATIZADO</v>
      </c>
      <c r="F48" s="24" t="s">
        <v>339</v>
      </c>
      <c r="G48" s="22" t="s">
        <v>62</v>
      </c>
      <c r="H48" s="22" t="s">
        <v>94</v>
      </c>
      <c r="I48" s="30" t="s">
        <v>340</v>
      </c>
      <c r="J48" s="22" t="s">
        <v>62</v>
      </c>
      <c r="K48" s="22" t="s">
        <v>95</v>
      </c>
      <c r="L48" s="22" t="s">
        <v>62</v>
      </c>
      <c r="M48" s="22" t="s">
        <v>62</v>
      </c>
    </row>
    <row r="49" spans="1:13">
      <c r="A49" s="22" t="s">
        <v>55</v>
      </c>
      <c r="B49" s="22" t="s">
        <v>56</v>
      </c>
      <c r="C49" s="23" t="s">
        <v>66</v>
      </c>
      <c r="D49" s="24" t="s">
        <v>341</v>
      </c>
      <c r="E49" s="24" t="str">
        <f t="shared" si="0"/>
        <v>TIPO DE TRANSACCIÓN DE PAGO</v>
      </c>
      <c r="F49" s="24" t="s">
        <v>342</v>
      </c>
      <c r="G49" s="22" t="s">
        <v>62</v>
      </c>
      <c r="H49" s="22" t="s">
        <v>94</v>
      </c>
      <c r="I49" s="30" t="s">
        <v>152</v>
      </c>
      <c r="J49" s="22" t="s">
        <v>62</v>
      </c>
      <c r="K49" s="22" t="s">
        <v>95</v>
      </c>
      <c r="L49" s="22" t="s">
        <v>62</v>
      </c>
      <c r="M49" s="22" t="s">
        <v>62</v>
      </c>
    </row>
    <row r="50" spans="1:13">
      <c r="A50" s="22" t="s">
        <v>55</v>
      </c>
      <c r="B50" s="22" t="s">
        <v>56</v>
      </c>
      <c r="C50" s="23" t="s">
        <v>66</v>
      </c>
      <c r="D50" s="24" t="s">
        <v>343</v>
      </c>
      <c r="E50" s="24" t="str">
        <f t="shared" si="0"/>
        <v>NÚMERO SERIAL DEL SWITCH</v>
      </c>
      <c r="F50" s="24" t="s">
        <v>344</v>
      </c>
      <c r="G50" s="22" t="s">
        <v>62</v>
      </c>
      <c r="H50" s="22" t="s">
        <v>94</v>
      </c>
      <c r="I50" s="30" t="s">
        <v>152</v>
      </c>
      <c r="J50" s="22" t="s">
        <v>62</v>
      </c>
      <c r="K50" s="22" t="s">
        <v>95</v>
      </c>
      <c r="L50" s="22" t="s">
        <v>62</v>
      </c>
      <c r="M50" s="22" t="s">
        <v>62</v>
      </c>
    </row>
    <row r="51" spans="1:13">
      <c r="A51" s="22" t="s">
        <v>55</v>
      </c>
      <c r="B51" s="22" t="s">
        <v>56</v>
      </c>
      <c r="C51" s="23" t="s">
        <v>66</v>
      </c>
      <c r="D51" s="24" t="s">
        <v>345</v>
      </c>
      <c r="E51" s="24" t="str">
        <f t="shared" si="0"/>
        <v>ENTORNO OPERATIVO DEL TERMINAL</v>
      </c>
      <c r="F51" s="24" t="s">
        <v>346</v>
      </c>
      <c r="G51" s="22" t="s">
        <v>62</v>
      </c>
      <c r="H51" s="22" t="s">
        <v>94</v>
      </c>
      <c r="I51" s="30" t="s">
        <v>347</v>
      </c>
      <c r="J51" s="22" t="s">
        <v>62</v>
      </c>
      <c r="K51" s="22" t="s">
        <v>95</v>
      </c>
      <c r="L51" s="22" t="s">
        <v>62</v>
      </c>
      <c r="M51" s="22" t="s">
        <v>62</v>
      </c>
    </row>
    <row r="52" spans="1:13">
      <c r="A52" s="22" t="s">
        <v>55</v>
      </c>
      <c r="B52" s="22" t="s">
        <v>56</v>
      </c>
      <c r="C52" s="23" t="s">
        <v>66</v>
      </c>
      <c r="D52" s="24" t="s">
        <v>348</v>
      </c>
      <c r="E52" s="24" t="str">
        <f t="shared" si="0"/>
        <v>EXPONENTE DE LA MONEDA DE LA TRANSACCIÓN</v>
      </c>
      <c r="F52" s="24" t="s">
        <v>349</v>
      </c>
      <c r="G52" s="22" t="s">
        <v>62</v>
      </c>
      <c r="H52" s="22" t="s">
        <v>94</v>
      </c>
      <c r="I52" s="30" t="s">
        <v>334</v>
      </c>
      <c r="J52" s="22" t="s">
        <v>62</v>
      </c>
      <c r="K52" s="22" t="s">
        <v>95</v>
      </c>
      <c r="L52" s="22" t="s">
        <v>62</v>
      </c>
      <c r="M52" s="22" t="s">
        <v>62</v>
      </c>
    </row>
    <row r="53" spans="1:13">
      <c r="A53" s="22" t="s">
        <v>55</v>
      </c>
      <c r="B53" s="22" t="s">
        <v>56</v>
      </c>
      <c r="C53" s="23" t="s">
        <v>66</v>
      </c>
      <c r="D53" s="24" t="s">
        <v>350</v>
      </c>
      <c r="E53" s="24" t="str">
        <f t="shared" si="0"/>
        <v>TIPO DE TRANSACCIÓN</v>
      </c>
      <c r="F53" s="24" t="s">
        <v>351</v>
      </c>
      <c r="G53" s="22" t="s">
        <v>62</v>
      </c>
      <c r="H53" s="22" t="s">
        <v>94</v>
      </c>
      <c r="I53" s="30" t="s">
        <v>285</v>
      </c>
      <c r="J53" s="22" t="s">
        <v>62</v>
      </c>
      <c r="K53" s="22" t="s">
        <v>95</v>
      </c>
      <c r="L53" s="22" t="s">
        <v>62</v>
      </c>
      <c r="M53" s="22" t="s">
        <v>62</v>
      </c>
    </row>
    <row r="54" spans="1:13">
      <c r="A54" s="22" t="s">
        <v>55</v>
      </c>
      <c r="B54" s="22" t="s">
        <v>56</v>
      </c>
      <c r="C54" s="23" t="s">
        <v>66</v>
      </c>
      <c r="D54" s="24" t="s">
        <v>352</v>
      </c>
      <c r="E54" s="24" t="str">
        <f t="shared" si="0"/>
        <v>CÓDIGO DE AUTORIZACIÓN</v>
      </c>
      <c r="F54" s="24" t="s">
        <v>353</v>
      </c>
      <c r="G54" s="22" t="s">
        <v>62</v>
      </c>
      <c r="H54" s="22" t="s">
        <v>94</v>
      </c>
      <c r="I54" s="30" t="s">
        <v>354</v>
      </c>
      <c r="J54" s="22" t="s">
        <v>62</v>
      </c>
      <c r="K54" s="22" t="s">
        <v>95</v>
      </c>
      <c r="L54" s="22" t="s">
        <v>62</v>
      </c>
      <c r="M54" s="22" t="s">
        <v>62</v>
      </c>
    </row>
    <row r="55" spans="1:13">
      <c r="A55" s="22" t="s">
        <v>55</v>
      </c>
      <c r="B55" s="22" t="s">
        <v>56</v>
      </c>
      <c r="C55" s="23" t="s">
        <v>66</v>
      </c>
      <c r="D55" s="24" t="s">
        <v>355</v>
      </c>
      <c r="E55" s="24" t="str">
        <f t="shared" si="0"/>
        <v>PUNTAJE DE DETECCIÓN DE FRAUDE</v>
      </c>
      <c r="F55" s="24" t="s">
        <v>356</v>
      </c>
      <c r="G55" s="22" t="s">
        <v>62</v>
      </c>
      <c r="H55" s="22" t="s">
        <v>94</v>
      </c>
      <c r="I55" s="30" t="s">
        <v>357</v>
      </c>
      <c r="J55" s="22" t="s">
        <v>62</v>
      </c>
      <c r="K55" s="22" t="s">
        <v>95</v>
      </c>
      <c r="L55" s="22" t="s">
        <v>62</v>
      </c>
      <c r="M55" s="22" t="s">
        <v>62</v>
      </c>
    </row>
    <row r="56" spans="1:13">
      <c r="A56" s="22" t="s">
        <v>55</v>
      </c>
      <c r="B56" s="22" t="s">
        <v>56</v>
      </c>
      <c r="C56" s="23" t="s">
        <v>66</v>
      </c>
      <c r="D56" s="24" t="s">
        <v>358</v>
      </c>
      <c r="E56" s="24" t="str">
        <f t="shared" si="0"/>
        <v>MOTIVO DEL PUNTAJE DI</v>
      </c>
      <c r="F56" s="24" t="s">
        <v>359</v>
      </c>
      <c r="G56" s="22" t="s">
        <v>62</v>
      </c>
      <c r="H56" s="22" t="s">
        <v>94</v>
      </c>
      <c r="I56" s="30" t="s">
        <v>360</v>
      </c>
      <c r="J56" s="22" t="s">
        <v>62</v>
      </c>
      <c r="K56" s="22" t="s">
        <v>95</v>
      </c>
      <c r="L56" s="22" t="s">
        <v>62</v>
      </c>
      <c r="M56" s="22" t="s">
        <v>62</v>
      </c>
    </row>
    <row r="57" spans="1:13">
      <c r="A57" s="22" t="s">
        <v>55</v>
      </c>
      <c r="B57" s="22" t="s">
        <v>56</v>
      </c>
      <c r="C57" s="23" t="s">
        <v>66</v>
      </c>
      <c r="D57" s="24" t="s">
        <v>361</v>
      </c>
      <c r="E57" s="24" t="str">
        <f t="shared" si="0"/>
        <v>MONTO FACTURADO EN USD</v>
      </c>
      <c r="F57" s="24" t="s">
        <v>362</v>
      </c>
      <c r="G57" s="22" t="s">
        <v>62</v>
      </c>
      <c r="H57" s="22" t="s">
        <v>94</v>
      </c>
      <c r="I57" s="30">
        <v>12.47</v>
      </c>
      <c r="J57" s="22" t="s">
        <v>62</v>
      </c>
      <c r="K57" s="22" t="s">
        <v>95</v>
      </c>
      <c r="L57" s="22" t="s">
        <v>62</v>
      </c>
      <c r="M57" s="22" t="s">
        <v>62</v>
      </c>
    </row>
    <row r="58" spans="1:13">
      <c r="A58" s="22" t="s">
        <v>55</v>
      </c>
      <c r="B58" s="22" t="s">
        <v>56</v>
      </c>
      <c r="C58" s="23" t="s">
        <v>66</v>
      </c>
      <c r="D58" s="24" t="s">
        <v>363</v>
      </c>
      <c r="E58" s="24" t="str">
        <f t="shared" si="0"/>
        <v>MONTO ORIGINAL DE LA TRANSACCIÓN</v>
      </c>
      <c r="F58" s="24" t="s">
        <v>364</v>
      </c>
      <c r="G58" s="22" t="s">
        <v>62</v>
      </c>
      <c r="H58" s="22" t="s">
        <v>94</v>
      </c>
      <c r="I58" s="30">
        <v>42</v>
      </c>
      <c r="J58" s="22" t="s">
        <v>62</v>
      </c>
      <c r="K58" s="22" t="s">
        <v>95</v>
      </c>
      <c r="L58" s="22" t="s">
        <v>62</v>
      </c>
      <c r="M58" s="22" t="s">
        <v>62</v>
      </c>
    </row>
    <row r="59" spans="1:13">
      <c r="A59" s="22" t="s">
        <v>55</v>
      </c>
      <c r="B59" s="22" t="s">
        <v>56</v>
      </c>
      <c r="C59" s="23" t="s">
        <v>66</v>
      </c>
      <c r="D59" s="24" t="s">
        <v>365</v>
      </c>
      <c r="E59" s="24" t="str">
        <f t="shared" si="0"/>
        <v>MONTO DE LA TRANSACCIÓN EN USD</v>
      </c>
      <c r="F59" s="24" t="s">
        <v>366</v>
      </c>
      <c r="G59" s="22" t="s">
        <v>62</v>
      </c>
      <c r="H59" s="22" t="s">
        <v>94</v>
      </c>
      <c r="I59" s="30">
        <v>11.39</v>
      </c>
      <c r="J59" s="22" t="s">
        <v>62</v>
      </c>
      <c r="K59" s="22" t="s">
        <v>95</v>
      </c>
      <c r="L59" s="22" t="s">
        <v>62</v>
      </c>
      <c r="M59" s="22" t="s">
        <v>62</v>
      </c>
    </row>
    <row r="60" spans="1:13">
      <c r="A60" s="22" t="s">
        <v>55</v>
      </c>
      <c r="B60" s="22" t="s">
        <v>56</v>
      </c>
      <c r="C60" s="23" t="s">
        <v>66</v>
      </c>
      <c r="D60" s="24" t="s">
        <v>367</v>
      </c>
      <c r="E60" s="24" t="str">
        <f t="shared" si="0"/>
        <v>MONTO FACTURADO</v>
      </c>
      <c r="F60" s="24" t="s">
        <v>368</v>
      </c>
      <c r="G60" s="22" t="s">
        <v>62</v>
      </c>
      <c r="H60" s="22" t="s">
        <v>94</v>
      </c>
      <c r="I60" s="30">
        <v>12.47</v>
      </c>
      <c r="J60" s="22" t="s">
        <v>62</v>
      </c>
      <c r="K60" s="22" t="s">
        <v>95</v>
      </c>
      <c r="L60" s="22" t="s">
        <v>62</v>
      </c>
      <c r="M60" s="22" t="s">
        <v>62</v>
      </c>
    </row>
    <row r="61" spans="1:13">
      <c r="A61" s="22" t="s">
        <v>55</v>
      </c>
      <c r="B61" s="22" t="s">
        <v>56</v>
      </c>
      <c r="C61" s="23" t="s">
        <v>66</v>
      </c>
      <c r="D61" s="24" t="s">
        <v>218</v>
      </c>
      <c r="E61" s="24" t="str">
        <f>UPPER(F61)</f>
        <v>FECHA DE FOTO/DATOS CONFIGURADA EN EL ETL PARA LA EXTRACCIÓN DE DATOS, CORRESPONDE A APERTURAS DE COMERCIOS HASTA EL CIERRE DEL DÍA ANTERIOR</v>
      </c>
      <c r="F61" s="24" t="s">
        <v>219</v>
      </c>
      <c r="G61" s="22" t="s">
        <v>62</v>
      </c>
      <c r="H61" s="22" t="s">
        <v>220</v>
      </c>
      <c r="I61" s="30">
        <v>45841</v>
      </c>
      <c r="J61" s="22" t="s">
        <v>62</v>
      </c>
      <c r="K61" s="22" t="s">
        <v>62</v>
      </c>
      <c r="L61" s="22" t="s">
        <v>95</v>
      </c>
      <c r="M61" s="22" t="s">
        <v>62</v>
      </c>
    </row>
    <row r="62" spans="1:13">
      <c r="A62" s="22" t="s">
        <v>55</v>
      </c>
      <c r="B62" s="22" t="s">
        <v>56</v>
      </c>
      <c r="C62" s="23" t="s">
        <v>66</v>
      </c>
      <c r="D62" s="24" t="s">
        <v>221</v>
      </c>
      <c r="E62" s="24" t="str">
        <f t="shared" ref="E62:E64" si="1">UPPER(F62)</f>
        <v>DATO DE AUDITORÍA: DESCRIPCIÓN DEL APLICATIVO ORIGEN DE LOS DATOS.</v>
      </c>
      <c r="F62" s="24" t="s">
        <v>222</v>
      </c>
      <c r="G62" s="22" t="s">
        <v>62</v>
      </c>
      <c r="H62" s="22" t="s">
        <v>94</v>
      </c>
      <c r="I62" s="30" t="s">
        <v>223</v>
      </c>
      <c r="J62" s="22" t="s">
        <v>62</v>
      </c>
      <c r="K62" s="22" t="s">
        <v>62</v>
      </c>
      <c r="L62" s="22" t="s">
        <v>62</v>
      </c>
      <c r="M62" s="22" t="s">
        <v>62</v>
      </c>
    </row>
    <row r="63" spans="1:13">
      <c r="A63" s="22" t="s">
        <v>55</v>
      </c>
      <c r="B63" s="22" t="s">
        <v>56</v>
      </c>
      <c r="C63" s="23" t="s">
        <v>66</v>
      </c>
      <c r="D63" s="24" t="s">
        <v>224</v>
      </c>
      <c r="E63" s="24" t="str">
        <f t="shared" si="1"/>
        <v>FECHA Y HORA DE INSERCIÓN DEL REGISTRO EN EL MODELO</v>
      </c>
      <c r="F63" s="24" t="s">
        <v>225</v>
      </c>
      <c r="G63" s="22" t="s">
        <v>62</v>
      </c>
      <c r="H63" s="22" t="s">
        <v>226</v>
      </c>
      <c r="I63" s="30" t="s">
        <v>227</v>
      </c>
      <c r="J63" s="22" t="s">
        <v>62</v>
      </c>
      <c r="K63" s="22" t="s">
        <v>62</v>
      </c>
      <c r="L63" s="22" t="s">
        <v>62</v>
      </c>
      <c r="M63" s="22" t="s">
        <v>62</v>
      </c>
    </row>
    <row r="64" spans="1:13">
      <c r="A64" s="22" t="s">
        <v>55</v>
      </c>
      <c r="B64" s="22" t="s">
        <v>56</v>
      </c>
      <c r="C64" s="23" t="s">
        <v>66</v>
      </c>
      <c r="D64" s="24" t="s">
        <v>228</v>
      </c>
      <c r="E64" s="24" t="str">
        <f t="shared" si="1"/>
        <v>USUARIO QUE CREA EL REGISTRO EN LA BD</v>
      </c>
      <c r="F64" s="24" t="s">
        <v>229</v>
      </c>
      <c r="G64" s="22" t="s">
        <v>62</v>
      </c>
      <c r="H64" s="22" t="s">
        <v>94</v>
      </c>
      <c r="I64" s="30" t="s">
        <v>230</v>
      </c>
      <c r="J64" s="22" t="s">
        <v>62</v>
      </c>
      <c r="K64" s="22" t="s">
        <v>62</v>
      </c>
      <c r="L64" s="22" t="s">
        <v>62</v>
      </c>
      <c r="M64" s="22" t="s">
        <v>62</v>
      </c>
    </row>
  </sheetData>
  <hyperlinks>
    <hyperlink ref="I64" r:id="rId1" xr:uid="{9C4645AE-D596-466C-A9FB-C14031BDF5BD}"/>
  </hyperlinks>
  <pageMargins left="0.7" right="0.7" top="0.75" bottom="0.75" header="0.3" footer="0.3"/>
  <ignoredErrors>
    <ignoredError sqref="I3:I64" numberStoredAsText="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80ac410-b05f-448e-8dee-046357d4e70e" xsi:nil="true"/>
    <lcf76f155ced4ddcb4097134ff3c332f xmlns="0d36e45e-9b33-40cd-9496-1b0b6d1fa39a">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31DB9E7368290418064F68BD9FE06A8" ma:contentTypeVersion="16" ma:contentTypeDescription="Create a new document." ma:contentTypeScope="" ma:versionID="b9c598f3bf5821ec7c8d150fb2409204">
  <xsd:schema xmlns:xsd="http://www.w3.org/2001/XMLSchema" xmlns:xs="http://www.w3.org/2001/XMLSchema" xmlns:p="http://schemas.microsoft.com/office/2006/metadata/properties" xmlns:ns2="e80ac410-b05f-448e-8dee-046357d4e70e" xmlns:ns3="0d36e45e-9b33-40cd-9496-1b0b6d1fa39a" targetNamespace="http://schemas.microsoft.com/office/2006/metadata/properties" ma:root="true" ma:fieldsID="251c203eb9aee4e487258461f501dc14" ns2:_="" ns3:_="">
    <xsd:import namespace="e80ac410-b05f-448e-8dee-046357d4e70e"/>
    <xsd:import namespace="0d36e45e-9b33-40cd-9496-1b0b6d1fa39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0ac410-b05f-448e-8dee-046357d4e70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0df41d55-81af-4a44-a067-d7a5a5ddb24d}" ma:internalName="TaxCatchAll" ma:showField="CatchAllData" ma:web="e80ac410-b05f-448e-8dee-046357d4e70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d36e45e-9b33-40cd-9496-1b0b6d1fa39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6c341efc-c97d-44e1-9c58-c7d91e5dd07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85006A4-5124-4F73-8C0E-FFC53E124586}">
  <ds:schemaRefs>
    <ds:schemaRef ds:uri="http://schemas.microsoft.com/office/2006/metadata/properties"/>
    <ds:schemaRef ds:uri="http://schemas.microsoft.com/office/infopath/2007/PartnerControls"/>
    <ds:schemaRef ds:uri="e80ac410-b05f-448e-8dee-046357d4e70e"/>
    <ds:schemaRef ds:uri="0d36e45e-9b33-40cd-9496-1b0b6d1fa39a"/>
  </ds:schemaRefs>
</ds:datastoreItem>
</file>

<file path=customXml/itemProps2.xml><?xml version="1.0" encoding="utf-8"?>
<ds:datastoreItem xmlns:ds="http://schemas.openxmlformats.org/officeDocument/2006/customXml" ds:itemID="{FCB7F921-B723-4C15-9B1B-F767409F206E}">
  <ds:schemaRefs>
    <ds:schemaRef ds:uri="http://schemas.microsoft.com/sharepoint/v3/contenttype/forms"/>
  </ds:schemaRefs>
</ds:datastoreItem>
</file>

<file path=customXml/itemProps3.xml><?xml version="1.0" encoding="utf-8"?>
<ds:datastoreItem xmlns:ds="http://schemas.openxmlformats.org/officeDocument/2006/customXml" ds:itemID="{D80C8F12-7133-4695-9914-BAAE87588E3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80ac410-b05f-448e-8dee-046357d4e70e"/>
    <ds:schemaRef ds:uri="0d36e45e-9b33-40cd-9496-1b0b6d1fa3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Datos Sensibles</vt:lpstr>
      <vt:lpstr>Estructuras del Modelo</vt:lpstr>
      <vt:lpstr>tc40_details</vt:lpstr>
      <vt:lpstr>safe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Angello Bravo</dc:creator>
  <cp:keywords/>
  <dc:description/>
  <cp:lastModifiedBy>ANGELLO BRAVO</cp:lastModifiedBy>
  <cp:revision/>
  <dcterms:created xsi:type="dcterms:W3CDTF">2015-06-05T18:19:34Z</dcterms:created>
  <dcterms:modified xsi:type="dcterms:W3CDTF">2026-06-12T16:13:06Z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0x010100F31DB9E7368290418064F68BD9FE06A8</vt:lpwstr>
  </property>
  <property fmtid="{D5CDD505-2E9C-101B-9397-08002B2CF9AE}" pid="3" name="MediaServiceImageTags">
    <vt:lpwstr/>
  </property>
</Properties>
</file>