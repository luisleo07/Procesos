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40 Carga TC40-SAFE - MIGRADO/Capa Master/"/>
    </mc:Choice>
  </mc:AlternateContent>
  <xr:revisionPtr revIDLastSave="413" documentId="8_{1DCF88E8-8811-44D0-8773-D3AB89B02E57}" xr6:coauthVersionLast="47" xr6:coauthVersionMax="47" xr10:uidLastSave="{00FDF6A9-C16F-4E75-8FD1-E9F5E0B338E9}"/>
  <bookViews>
    <workbookView xWindow="-108" yWindow="-108" windowWidth="23256" windowHeight="12456" activeTab="2" xr2:uid="{00000000-000D-0000-FFFF-FFFF00000000}"/>
  </bookViews>
  <sheets>
    <sheet name="Datos Sensibles" sheetId="4" r:id="rId1"/>
    <sheet name="Estructuras del Modelo" sheetId="1" r:id="rId2"/>
    <sheet name="m_fraude_liquidacion" sheetId="2" r:id="rId3"/>
  </sheets>
  <functionGroups builtInGroupCount="19"/>
  <definedNames>
    <definedName name="_xlnm._FilterDatabase" localSheetId="2" hidden="1">m_fraude_liquidacion!$A$2:$M$32</definedName>
    <definedName name="_xleta.AND" hidden="1" xlm="1">#NAME?</definedName>
    <definedName name="_xleta.TYPE" hidden="1" xlm="1">#NAME?</definedName>
    <definedName name="x">#REF!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7" i="2" l="1"/>
  <c r="E26" i="2"/>
  <c r="E25" i="2"/>
  <c r="E24" i="2"/>
  <c r="E23" i="2"/>
  <c r="E22" i="2"/>
  <c r="E21" i="2"/>
  <c r="E20" i="2"/>
  <c r="E19" i="2"/>
  <c r="E18" i="2"/>
  <c r="E17" i="2"/>
  <c r="E16" i="2"/>
  <c r="E15" i="2"/>
  <c r="E14" i="2"/>
  <c r="E13" i="2"/>
  <c r="E12" i="2"/>
  <c r="E11" i="2"/>
  <c r="E10" i="2"/>
  <c r="E9" i="2"/>
  <c r="E8" i="2"/>
  <c r="E7" i="2"/>
  <c r="E6" i="2"/>
  <c r="E5" i="2"/>
  <c r="E4" i="2"/>
  <c r="E30" i="2"/>
  <c r="E31" i="2"/>
  <c r="E32" i="2"/>
  <c r="E3" i="2"/>
</calcChain>
</file>

<file path=xl/sharedStrings.xml><?xml version="1.0" encoding="utf-8"?>
<sst xmlns="http://schemas.openxmlformats.org/spreadsheetml/2006/main" count="462" uniqueCount="180">
  <si>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</si>
  <si>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</si>
  <si>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</si>
  <si>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</si>
  <si>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</si>
  <si>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</si>
  <si>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</si>
  <si>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</si>
  <si>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</si>
  <si>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HEREDADA</t>
  </si>
  <si>
    <t>m_comercio</t>
  </si>
  <si>
    <t>nom_responsable_cuenta</t>
  </si>
  <si>
    <t>Apellido paterno</t>
  </si>
  <si>
    <t>nom_ejecutivo_dealer</t>
  </si>
  <si>
    <t>Apellido materno</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</si>
  <si>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</si>
  <si>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</si>
  <si>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</si>
  <si>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</si>
  <si>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</si>
  <si>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</si>
  <si>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</si>
  <si>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</si>
  <si>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</si>
  <si>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</si>
  <si>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</si>
  <si>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</si>
  <si>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</si>
  <si>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</si>
  <si>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</si>
  <si>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</si>
  <si>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</si>
  <si>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</si>
  <si>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</si>
  <si>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</si>
  <si>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</si>
  <si>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</si>
  <si>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</si>
  <si>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</si>
  <si>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</si>
  <si>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</si>
  <si>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</si>
  <si>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</si>
  <si>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</si>
  <si>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</si>
  <si>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</si>
  <si>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</si>
  <si>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</si>
  <si>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</si>
  <si>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</si>
  <si>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</si>
  <si>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</si>
  <si>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</si>
  <si>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RIESGOS</t>
  </si>
  <si>
    <t>FRAUDE</t>
  </si>
  <si>
    <t>prd-izipay-data-storage-pv</t>
  </si>
  <si>
    <t>master_risk</t>
  </si>
  <si>
    <t>m_fraude_liquidacion</t>
  </si>
  <si>
    <t>Tabla que muestra información de transaccions procesadas que entraron al proceso de liquidación y que fueron alertadas como potencial fraude por las marcas (TC40 de Visa y Safe de MC)</t>
  </si>
  <si>
    <t>Última foto</t>
  </si>
  <si>
    <t>Diario (4:35pm)</t>
  </si>
  <si>
    <t>mc2103@izipay.pe</t>
  </si>
  <si>
    <t>N</t>
  </si>
  <si>
    <t>prod</t>
  </si>
  <si>
    <t>Master</t>
  </si>
  <si>
    <t>Riesgos</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</si>
  <si>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</si>
  <si>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</si>
  <si>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</si>
  <si>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</si>
  <si>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</si>
  <si>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</si>
  <si>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</si>
  <si>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</si>
  <si>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</si>
  <si>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</si>
  <si>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</si>
  <si>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</si>
  <si>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</si>
  <si>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</si>
  <si>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</si>
  <si>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</si>
  <si>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</si>
  <si>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</si>
  <si>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</si>
  <si>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</si>
  <si>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</si>
  <si>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</si>
  <si>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</si>
  <si>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</si>
  <si>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</si>
  <si>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DATE</t>
  </si>
  <si>
    <t>Y</t>
  </si>
  <si>
    <t>STRING</t>
  </si>
  <si>
    <t>cod_autorizacion</t>
  </si>
  <si>
    <t>Código de autorización de la transacción.</t>
  </si>
  <si>
    <t>855923</t>
  </si>
  <si>
    <t>cod_comercio</t>
  </si>
  <si>
    <t>Nombre del establecimiento donde se realizó la transacción.</t>
  </si>
  <si>
    <t>4018919</t>
  </si>
  <si>
    <t>cod_medio_trx</t>
  </si>
  <si>
    <t>Número de voucher o comprobante de la transacción.</t>
  </si>
  <si>
    <t>EC</t>
  </si>
  <si>
    <t>fecha_trx</t>
  </si>
  <si>
    <t>Fecha en la que se realizó la transacción.</t>
  </si>
  <si>
    <t>cod_moneda</t>
  </si>
  <si>
    <t>Código de la moneda de la transacción</t>
  </si>
  <si>
    <t>604</t>
  </si>
  <si>
    <t>cod_tipo_trx</t>
  </si>
  <si>
    <t xml:space="preserve">Tipo de transacción </t>
  </si>
  <si>
    <t>76</t>
  </si>
  <si>
    <t>nom_comercio</t>
  </si>
  <si>
    <t>Nombre del comercio donde se realizó la transacción.</t>
  </si>
  <si>
    <t xml:space="preserve">EBN*SERVICIOS DIGITALES       </t>
  </si>
  <si>
    <t>fecha_proceso</t>
  </si>
  <si>
    <t>Fecha en la que la transacción fue procesada.</t>
  </si>
  <si>
    <t>arer</t>
  </si>
  <si>
    <t>Código interno relacionado con el procesamiento de la transacción.</t>
  </si>
  <si>
    <t xml:space="preserve">'                       </t>
  </si>
  <si>
    <t>arn</t>
  </si>
  <si>
    <t>Número de referencia asociado a transacciones en comercio electrónico o disputas</t>
  </si>
  <si>
    <t>74357045235004118412673</t>
  </si>
  <si>
    <t>nro_doc_impreso_terminal</t>
  </si>
  <si>
    <t>Número de documento que ha impreso el terminal (correlativo 1,2,3,etc)</t>
  </si>
  <si>
    <t>INT64</t>
  </si>
  <si>
    <t>3904060</t>
  </si>
  <si>
    <t>cod_autentificacion_ecommerce</t>
  </si>
  <si>
    <t xml:space="preserve">Indica si la transacción fue realizada en comercio electrónico </t>
  </si>
  <si>
    <t xml:space="preserve">   </t>
  </si>
  <si>
    <t>cod_terminal</t>
  </si>
  <si>
    <t>Código del terminal donde se efectuó la transacción.</t>
  </si>
  <si>
    <t xml:space="preserve">PV000000  </t>
  </si>
  <si>
    <t>metodo_ingreso</t>
  </si>
  <si>
    <t xml:space="preserve">Método de ingreso de la transacción </t>
  </si>
  <si>
    <t xml:space="preserve">E-COMMERCE                                        </t>
  </si>
  <si>
    <t>referencia</t>
  </si>
  <si>
    <t>Referencia adicional de la transacción.</t>
  </si>
  <si>
    <t xml:space="preserve">               </t>
  </si>
  <si>
    <t>mto_venta</t>
  </si>
  <si>
    <t>Monto de la transacción en la moneda original del comercio</t>
  </si>
  <si>
    <t>FLOAT64</t>
  </si>
  <si>
    <t>915.00</t>
  </si>
  <si>
    <t>usuario_aprobador</t>
  </si>
  <si>
    <t>Usuario o entidad que aprobó la transacción.</t>
  </si>
  <si>
    <t>fecha_autorizacion</t>
  </si>
  <si>
    <t>Fecha en la que se registró la transacción en el sistema.</t>
  </si>
  <si>
    <t>hora_autorizacion</t>
  </si>
  <si>
    <t>Hora en la que ocurrió la transacción.</t>
  </si>
  <si>
    <t>fecha_alerta_fraude</t>
  </si>
  <si>
    <t>Fecha en la que se alertó el fraude</t>
  </si>
  <si>
    <t>mto_venta_solarizado</t>
  </si>
  <si>
    <t>Monto de la transacción convertido a soles.</t>
  </si>
  <si>
    <t>cod_tipo_fraude</t>
  </si>
  <si>
    <t>Código del tipo de fraude detectado</t>
  </si>
  <si>
    <t>6</t>
  </si>
  <si>
    <t>record_source</t>
  </si>
  <si>
    <t>Dato de Auditoría: Descripción del aplicativo origen de los datos.</t>
  </si>
  <si>
    <t>AS400-TC40-SAFE MC</t>
  </si>
  <si>
    <t>load_date</t>
  </si>
  <si>
    <t>Fecha y hora de inserción del registro en el modelo</t>
  </si>
  <si>
    <t>DATETIME</t>
  </si>
  <si>
    <t>2025-07-04T03:07:39.145385</t>
  </si>
  <si>
    <t>creation_user</t>
  </si>
  <si>
    <t>Usuario que crea el registro en la BD</t>
  </si>
  <si>
    <t>prd-data-operation-migration@prd-izipay-data-operation.iam.gserviceaccount.com</t>
  </si>
  <si>
    <t>F:TC40</t>
  </si>
  <si>
    <t>07 -</t>
  </si>
  <si>
    <t>desc_modo_entrada_pos</t>
  </si>
  <si>
    <t>DESCRIPCIÓN DE LA FORMA EN QUE SE INGRESARON LOS DATOS DE LA TARJETA</t>
  </si>
  <si>
    <t>Descripción de la forma en que se ingresaron los datos de la tarjeta</t>
  </si>
  <si>
    <t xml:space="preserve">CREDENTIAL ON FILE                           </t>
  </si>
  <si>
    <t>cod_modo_entrada_pos</t>
  </si>
  <si>
    <t>CODIGO DE LA FORMA DE INGRESO DE DATOS DE LA TARJETA</t>
  </si>
  <si>
    <t>Codigo de la forma de ingreso de datos de la tarjeta</t>
  </si>
  <si>
    <t>tarjeta_enmascarada</t>
  </si>
  <si>
    <t>Representación parcial del número de tarjeta ocultando dígitos sensibles. Contiene los 6 primeros digitos, 6 asteriscos y 4 últimos</t>
  </si>
  <si>
    <t>454785******6587</t>
  </si>
  <si>
    <t>bin</t>
  </si>
  <si>
    <t>Primeros 9  dígitos de la tarjeta</t>
  </si>
  <si>
    <t>Fecha de foto/datos configurada en el ETL para la extracción de datos, corresponde a la foto del cierre del día anterior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</si>
</sst>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5">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
      <sz val="11"/>
      <color rgb="FF000000"/>
      <name val="Calibri"/>
      <family val="2"/>
      <scheme val="minor"/>
    </font>
  </fonts>
  <fills count="5">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FF"/>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5" fillId="0" borderId="0" applyNumberFormat="0" applyFill="0" applyBorder="0" applyAlignment="0" applyProtection="0"/>
  </cellStyleXfs>
  <cellXfs count="39">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wrapText="1"/>
    </xf>
    <xf numFmtId="0" fontId="5" fillId="0" borderId="1" xfId="1" applyBorder="1" applyAlignment="1">
      <alignment wrapText="1"/>
    </xf>
    <xf numFmtId="0" fontId="0" fillId="0" borderId="1" xfId="0" applyBorder="1"/>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vertical="center" wrapText="1"/>
    </xf>
    <xf numFmtId="0" fontId="0" fillId="0" borderId="1" xfId="0" applyBorder="1" applyAlignment="1">
      <alignment horizontal="right" wrapText="1"/>
    </xf>
    <xf numFmtId="0" fontId="0" fillId="4" borderId="1" xfId="0" applyFill="1" applyBorder="1" applyAlignment="1">
      <alignment vertical="top" wrapText="1"/>
    </xf>
    <xf numFmtId="0" fontId="13" fillId="4" borderId="1" xfId="0" applyFont="1" applyFill="1" applyBorder="1" applyAlignment="1">
      <alignment horizontal="center" vertical="center" wrapText="1"/>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0" fontId="0" fillId="0" borderId="1" xfId="0" applyBorder="1" applyAlignment="1">
      <alignment horizontal="left"/>
    </xf>
    <xf numFmtId="0" fontId="5" fillId="0" borderId="1" xfId="1" applyBorder="1" applyAlignment="1">
      <alignment horizontal="center" wrapText="1"/>
    </xf>
    <xf numFmtId="0" fontId="0" fillId="0" borderId="0" xfId="0" applyAlignment="1">
      <alignment horizontal="center" wrapText="1"/>
    </xf>
    <xf numFmtId="14" fontId="0" fillId="0" borderId="0" xfId="0" applyNumberFormat="1"/>
    <xf numFmtId="164" fontId="0" fillId="0" borderId="1" xfId="0" applyNumberFormat="1" applyBorder="1" applyAlignment="1">
      <alignment horizontal="left"/>
    </xf>
    <xf numFmtId="21" fontId="0" fillId="0" borderId="1" xfId="0" applyNumberFormat="1" applyBorder="1" applyAlignment="1">
      <alignment horizontal="left"/>
    </xf>
    <xf numFmtId="0" fontId="11" fillId="0" borderId="1" xfId="0" applyFont="1" applyBorder="1" applyAlignment="1">
      <alignment horizontal="center" vertical="center"/>
    </xf>
    <xf numFmtId="0" fontId="11" fillId="0" borderId="2" xfId="0" applyFont="1" applyBorder="1" applyAlignment="1">
      <alignment vertical="center" wrapText="1"/>
    </xf>
    <xf numFmtId="0" fontId="11" fillId="0" borderId="1" xfId="0" applyFont="1" applyBorder="1" applyAlignment="1">
      <alignment vertical="center"/>
    </xf>
    <xf numFmtId="0" fontId="11" fillId="0" borderId="1" xfId="0" applyFont="1" applyBorder="1" applyAlignment="1">
      <alignment horizontal="left" vertical="center"/>
    </xf>
    <xf numFmtId="0" fontId="11" fillId="0" borderId="0" xfId="0" applyFont="1"/>
    <xf numFmtId="0" fontId="14" fillId="0" borderId="0" xfId="0" applyFont="1" applyAlignment="1">
      <alignment vertical="center"/>
    </xf>
    <xf numFmtId="0" fontId="11" fillId="0" borderId="1" xfId="0" applyFont="1" applyBorder="1" applyAlignment="1">
      <alignment horizontal="left"/>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c2103@izipay.p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13"/>
  <sheetViews>
    <sheetView showGridLines="0" workbookViewId="0">
      <selection activeCell="E20" sqref="E20"/>
    </sheetView>
  </sheetViews>
  <sheetFormatPr baseColWidth="10" defaultColWidth="11.44140625" defaultRowHeight="14.4"/>
  <cols>
    <col min="1" max="1" width="7.21875" customWidth="1"/>
    <col min="2" max="5" width="23.21875" customWidth="1"/>
    <col min="6" max="6" width="27.77734375" customWidth="1"/>
    <col min="7" max="7" width="23.21875" customWidth="1"/>
  </cols>
  <sheetData>
    <row r="1" spans="1:7">
      <c r="A1" s="1"/>
      <c r="B1" s="1"/>
      <c r="C1" s="1"/>
      <c r="D1" s="1"/>
      <c r="E1" s="1"/>
      <c r="F1" s="1"/>
      <c r="G1" s="1"/>
    </row>
    <row r="2" spans="1:7" ht="29.4">
      <c r="A2" s="9" t="s">
        <v>0</v>
      </c>
      <c r="B2" s="1"/>
      <c r="C2" s="1"/>
      <c r="D2" s="1"/>
      <c r="E2" s="1"/>
      <c r="F2" s="1"/>
      <c r="G2" s="1"/>
    </row>
    <row r="3" spans="1:7" s="1" customFormat="1" ht="66" customHeight="1">
      <c r="A3" s="38" t="s">
        <v>1</v>
      </c>
      <c r="B3" s="38"/>
      <c r="C3" s="38"/>
      <c r="D3" s="38"/>
      <c r="E3" s="38"/>
      <c r="F3" s="38"/>
      <c r="G3" s="38"/>
    </row>
    <row r="4" spans="1:7">
      <c r="A4" s="1"/>
      <c r="B4" s="1"/>
      <c r="C4" s="1"/>
      <c r="D4" s="1"/>
      <c r="E4" s="1"/>
      <c r="F4" s="1"/>
      <c r="G4" s="1"/>
    </row>
    <row r="5" spans="1:7">
      <c r="A5" s="10" t="s">
        <v>2</v>
      </c>
      <c r="B5" s="10" t="s">
        <v>3</v>
      </c>
      <c r="C5" s="10" t="s">
        <v>4</v>
      </c>
      <c r="D5" s="10" t="s">
        <v>5</v>
      </c>
      <c r="E5" s="10" t="s">
        <v>6</v>
      </c>
      <c r="F5" s="10" t="s">
        <v>7</v>
      </c>
      <c r="G5" s="10" t="s">
        <v>8</v>
      </c>
    </row>
    <row r="6" spans="1:7">
      <c r="A6" s="11">
        <v>1</v>
      </c>
      <c r="B6" s="8" t="s">
        <v>9</v>
      </c>
      <c r="C6" s="8" t="s">
        <v>9</v>
      </c>
      <c r="D6" s="8" t="s">
        <v>9</v>
      </c>
      <c r="E6" s="8" t="s">
        <v>10</v>
      </c>
      <c r="F6" s="12" t="s">
        <v>11</v>
      </c>
      <c r="G6" s="13" t="s">
        <v>12</v>
      </c>
    </row>
    <row r="7" spans="1:7">
      <c r="A7" s="11">
        <v>2</v>
      </c>
      <c r="B7" s="8" t="s">
        <v>9</v>
      </c>
      <c r="C7" s="8" t="s">
        <v>9</v>
      </c>
      <c r="D7" s="8" t="s">
        <v>9</v>
      </c>
      <c r="E7" s="8" t="s">
        <v>10</v>
      </c>
      <c r="F7" s="12" t="s">
        <v>13</v>
      </c>
      <c r="G7" s="13" t="s">
        <v>14</v>
      </c>
    </row>
    <row r="8" spans="1:7">
      <c r="A8" s="11"/>
      <c r="B8" s="8"/>
      <c r="C8" s="8"/>
      <c r="D8" s="8"/>
      <c r="E8" s="8"/>
      <c r="F8" s="12"/>
      <c r="G8" s="13"/>
    </row>
    <row r="9" spans="1:7">
      <c r="A9" s="11"/>
      <c r="B9" s="8"/>
      <c r="C9" s="8"/>
      <c r="D9" s="8"/>
      <c r="E9" s="8"/>
      <c r="F9" s="12"/>
      <c r="G9" s="13"/>
    </row>
    <row r="10" spans="1:7">
      <c r="A10" s="11"/>
      <c r="B10" s="8"/>
      <c r="C10" s="8"/>
      <c r="D10" s="8"/>
      <c r="E10" s="8"/>
      <c r="F10" s="12"/>
      <c r="G10" s="13"/>
    </row>
    <row r="11" spans="1:7">
      <c r="A11" s="11"/>
      <c r="B11" s="8"/>
      <c r="C11" s="8"/>
      <c r="D11" s="8"/>
      <c r="E11" s="8"/>
      <c r="F11" s="12"/>
      <c r="G11" s="13"/>
    </row>
    <row r="12" spans="1:7">
      <c r="A12" s="1"/>
      <c r="B12" s="1"/>
      <c r="C12" s="1"/>
      <c r="D12" s="1"/>
      <c r="E12" s="1"/>
      <c r="F12" s="1"/>
      <c r="G12" s="1"/>
    </row>
    <row r="13" spans="1:7">
      <c r="A13" s="1"/>
      <c r="B13" s="1"/>
      <c r="C13" s="1"/>
      <c r="D13" s="1"/>
      <c r="E13" s="1"/>
      <c r="F13" s="1"/>
      <c r="G13" s="1"/>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0"/>
  <sheetViews>
    <sheetView showGridLines="0" topLeftCell="P1" workbookViewId="0">
      <selection activeCell="G3" sqref="G3"/>
    </sheetView>
  </sheetViews>
  <sheetFormatPr baseColWidth="10" defaultColWidth="9.21875" defaultRowHeight="14.4"/>
  <cols>
    <col min="1" max="7" width="33.21875" customWidth="1"/>
    <col min="8" max="8" width="25.21875" customWidth="1"/>
    <col min="9" max="9" width="75.44140625" customWidth="1"/>
    <col min="10" max="20" width="33.21875" customWidth="1"/>
  </cols>
  <sheetData>
    <row r="1" spans="1:20">
      <c r="A1" s="14" t="s">
        <v>15</v>
      </c>
      <c r="B1" s="14" t="s">
        <v>16</v>
      </c>
      <c r="C1" s="14" t="s">
        <v>17</v>
      </c>
      <c r="D1" s="14" t="s">
        <v>18</v>
      </c>
      <c r="E1" s="14" t="s">
        <v>19</v>
      </c>
      <c r="F1" s="15" t="s">
        <v>20</v>
      </c>
      <c r="G1" s="14" t="s">
        <v>21</v>
      </c>
      <c r="H1" s="14" t="s">
        <v>6</v>
      </c>
      <c r="I1" s="14" t="s">
        <v>8</v>
      </c>
      <c r="J1" s="14" t="s">
        <v>22</v>
      </c>
      <c r="K1" s="14" t="s">
        <v>23</v>
      </c>
      <c r="L1" s="14" t="s">
        <v>24</v>
      </c>
      <c r="M1" s="14" t="s">
        <v>25</v>
      </c>
      <c r="N1" s="14" t="s">
        <v>26</v>
      </c>
      <c r="O1" s="14" t="s">
        <v>27</v>
      </c>
      <c r="P1" s="14" t="s">
        <v>28</v>
      </c>
      <c r="Q1" s="14" t="s">
        <v>29</v>
      </c>
      <c r="R1" s="14" t="s">
        <v>30</v>
      </c>
      <c r="S1" s="14" t="s">
        <v>31</v>
      </c>
      <c r="T1" s="14" t="s">
        <v>32</v>
      </c>
    </row>
    <row r="2" spans="1:20" ht="41.4">
      <c r="A2" s="16" t="s">
        <v>33</v>
      </c>
      <c r="B2" s="16" t="s">
        <v>34</v>
      </c>
      <c r="C2" s="16" t="s">
        <v>35</v>
      </c>
      <c r="D2" s="16" t="s">
        <v>36</v>
      </c>
      <c r="E2" s="16" t="s">
        <v>37</v>
      </c>
      <c r="F2" s="16" t="s">
        <v>38</v>
      </c>
      <c r="G2" s="16" t="s">
        <v>39</v>
      </c>
      <c r="H2" s="16" t="s">
        <v>40</v>
      </c>
      <c r="I2" s="16" t="s">
        <v>41</v>
      </c>
      <c r="J2" s="17" t="s">
        <v>42</v>
      </c>
      <c r="K2" s="17" t="s">
        <v>43</v>
      </c>
      <c r="L2" s="18"/>
      <c r="M2" s="16" t="s">
        <v>44</v>
      </c>
      <c r="N2" s="16" t="s">
        <v>45</v>
      </c>
      <c r="O2" s="16" t="s">
        <v>46</v>
      </c>
      <c r="P2" s="16" t="s">
        <v>47</v>
      </c>
      <c r="Q2" s="16" t="s">
        <v>48</v>
      </c>
      <c r="R2" s="16" t="s">
        <v>49</v>
      </c>
      <c r="S2" s="16" t="s">
        <v>50</v>
      </c>
      <c r="T2" s="16" t="s">
        <v>51</v>
      </c>
    </row>
    <row r="3" spans="1:20">
      <c r="A3" s="5" t="s">
        <v>52</v>
      </c>
      <c r="B3" s="5" t="s">
        <v>53</v>
      </c>
      <c r="C3" s="5" t="s">
        <v>54</v>
      </c>
      <c r="D3" s="5" t="s">
        <v>53</v>
      </c>
      <c r="E3" s="5" t="s">
        <v>54</v>
      </c>
      <c r="F3" s="5" t="s">
        <v>55</v>
      </c>
      <c r="G3" s="5" t="s">
        <v>56</v>
      </c>
      <c r="H3" s="6" t="s">
        <v>57</v>
      </c>
      <c r="I3" s="7" t="s">
        <v>58</v>
      </c>
      <c r="J3" s="5" t="s">
        <v>59</v>
      </c>
      <c r="K3" s="5" t="s">
        <v>60</v>
      </c>
      <c r="L3" s="8"/>
      <c r="M3" s="26" t="s">
        <v>61</v>
      </c>
      <c r="N3" s="5" t="s">
        <v>62</v>
      </c>
      <c r="O3" s="5" t="s">
        <v>63</v>
      </c>
      <c r="P3" s="5" t="s">
        <v>64</v>
      </c>
      <c r="Q3" s="5" t="s">
        <v>65</v>
      </c>
      <c r="R3" s="5"/>
      <c r="S3" s="5"/>
      <c r="T3" s="5"/>
    </row>
    <row r="4" spans="1:20">
      <c r="A4" s="1"/>
      <c r="B4" s="1"/>
      <c r="C4" s="1"/>
      <c r="D4" s="1"/>
      <c r="E4" s="1"/>
      <c r="F4" s="1"/>
      <c r="G4" s="1"/>
      <c r="H4" s="1"/>
      <c r="I4" s="1"/>
      <c r="J4" s="1"/>
      <c r="K4" s="1"/>
      <c r="L4" s="1"/>
      <c r="M4" s="27"/>
      <c r="N4" s="1"/>
      <c r="O4" s="1"/>
      <c r="P4" s="1"/>
      <c r="Q4" s="1"/>
      <c r="R4" s="1"/>
      <c r="S4" s="1"/>
      <c r="T4" s="1"/>
    </row>
    <row r="5" spans="1:20">
      <c r="A5" s="2" t="s">
        <v>66</v>
      </c>
      <c r="B5" s="1"/>
      <c r="C5" s="1"/>
      <c r="D5" s="1"/>
      <c r="E5" s="1"/>
      <c r="F5" s="1"/>
      <c r="G5" s="1"/>
      <c r="H5" s="1"/>
      <c r="I5" s="1"/>
      <c r="J5" s="1"/>
      <c r="K5" s="1"/>
      <c r="L5" s="1"/>
      <c r="M5" s="1"/>
      <c r="N5" s="1"/>
      <c r="O5" s="1"/>
      <c r="P5" s="1"/>
      <c r="Q5" s="1"/>
      <c r="R5" s="1"/>
      <c r="S5" s="1"/>
      <c r="T5" s="1"/>
    </row>
    <row r="6" spans="1:20">
      <c r="A6" s="3" t="s">
        <v>67</v>
      </c>
      <c r="B6" s="1"/>
      <c r="C6" s="1"/>
      <c r="D6" s="4"/>
      <c r="E6" s="4"/>
      <c r="F6" s="4"/>
      <c r="G6" s="4"/>
      <c r="H6" s="1"/>
      <c r="I6" s="1"/>
      <c r="J6" s="1"/>
      <c r="K6" s="1"/>
      <c r="L6" s="1"/>
      <c r="M6" s="1"/>
      <c r="N6" s="1"/>
      <c r="O6" s="1"/>
      <c r="P6" s="1"/>
      <c r="Q6" s="1"/>
      <c r="R6" s="1"/>
      <c r="S6" s="1"/>
      <c r="T6" s="1"/>
    </row>
    <row r="7" spans="1:20">
      <c r="A7" s="3" t="s">
        <v>68</v>
      </c>
      <c r="B7" s="1"/>
      <c r="C7" s="1"/>
      <c r="D7" s="4"/>
      <c r="E7" s="4"/>
      <c r="F7" s="4"/>
      <c r="G7" s="4"/>
      <c r="H7" s="1"/>
      <c r="I7" s="1"/>
      <c r="J7" s="1"/>
      <c r="K7" s="1"/>
      <c r="L7" s="1"/>
      <c r="M7" s="1"/>
      <c r="N7" s="1"/>
      <c r="O7" s="1"/>
      <c r="P7" s="1"/>
      <c r="Q7" s="1"/>
      <c r="R7" s="1"/>
      <c r="S7" s="1"/>
      <c r="T7" s="1"/>
    </row>
    <row r="8" spans="1:20">
      <c r="A8" s="3" t="s">
        <v>69</v>
      </c>
      <c r="B8" s="1"/>
      <c r="C8" s="1"/>
      <c r="D8" s="1"/>
      <c r="E8" s="1"/>
      <c r="F8" s="1"/>
      <c r="G8" s="1"/>
      <c r="H8" s="1"/>
      <c r="I8" s="1"/>
      <c r="J8" s="1"/>
      <c r="K8" s="1"/>
      <c r="L8" s="1"/>
      <c r="M8" s="1"/>
      <c r="N8" s="1"/>
      <c r="O8" s="1"/>
      <c r="P8" s="1"/>
      <c r="Q8" s="1"/>
      <c r="R8" s="1"/>
      <c r="S8" s="1"/>
      <c r="T8" s="1"/>
    </row>
    <row r="9" spans="1:20">
      <c r="A9" s="3" t="s">
        <v>70</v>
      </c>
      <c r="B9" s="1"/>
      <c r="C9" s="1"/>
      <c r="D9" s="1"/>
      <c r="E9" s="1"/>
      <c r="F9" s="1"/>
      <c r="G9" s="1"/>
      <c r="H9" s="1"/>
      <c r="I9" s="1"/>
      <c r="J9" s="1"/>
      <c r="K9" s="1"/>
      <c r="L9" s="1"/>
      <c r="M9" s="1"/>
      <c r="N9" s="1"/>
      <c r="O9" s="1"/>
      <c r="P9" s="1"/>
      <c r="Q9" s="1"/>
      <c r="R9" s="1"/>
      <c r="S9" s="1"/>
      <c r="T9" s="1"/>
    </row>
    <row r="10" spans="1:20">
      <c r="A10" s="1"/>
      <c r="B10" s="1"/>
      <c r="C10" s="1"/>
      <c r="D10" s="1"/>
      <c r="E10" s="1"/>
      <c r="F10" s="1"/>
      <c r="G10" s="1"/>
      <c r="H10" s="1"/>
      <c r="I10" s="1"/>
      <c r="J10" s="1"/>
      <c r="K10" s="1"/>
      <c r="L10" s="1"/>
      <c r="M10" s="1"/>
      <c r="N10" s="1"/>
      <c r="O10" s="1"/>
      <c r="P10" s="1"/>
      <c r="Q10" s="1"/>
      <c r="R10" s="1"/>
      <c r="S10" s="1"/>
      <c r="T10" s="1"/>
    </row>
  </sheetData>
  <hyperlinks>
    <hyperlink ref="M3" r:id="rId1" xr:uid="{AE7499B5-4EFF-4EE2-9DA4-B351D470EE4D}"/>
    <hyperlink ref="H3" location="m_fraude_liquidacion!A1" display="m_fraude_liquidacion" xr:uid="{D83CF018-599C-4F49-867B-925CA3E4644E}"/>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N65"/>
  <sheetViews>
    <sheetView showGridLines="0" tabSelected="1" topLeftCell="C1" zoomScaleNormal="100" workbookViewId="0">
      <pane ySplit="2" topLeftCell="A3" activePane="bottomLeft" state="frozen"/>
      <selection pane="bottomLeft" activeCell="E16" sqref="E16"/>
    </sheetView>
  </sheetViews>
  <sheetFormatPr baseColWidth="10" defaultColWidth="11.44140625" defaultRowHeight="14.4"/>
  <cols>
    <col min="1" max="3" width="29" customWidth="1"/>
    <col min="4" max="4" width="30.44140625" bestFit="1" customWidth="1"/>
    <col min="5" max="5" width="70.44140625" customWidth="1"/>
    <col min="6" max="6" width="58.5546875" customWidth="1"/>
    <col min="7" max="7" width="18" customWidth="1"/>
    <col min="8" max="8" width="29" customWidth="1"/>
    <col min="9" max="9" width="40.5546875" customWidth="1"/>
    <col min="10" max="11" width="29" customWidth="1"/>
    <col min="12" max="12" width="34.21875" customWidth="1"/>
    <col min="13" max="13" width="29" customWidth="1"/>
  </cols>
  <sheetData>
    <row r="1" spans="1:13" ht="31.2">
      <c r="A1" s="19" t="s">
        <v>20</v>
      </c>
      <c r="B1" s="20" t="s">
        <v>21</v>
      </c>
      <c r="C1" s="20" t="s">
        <v>6</v>
      </c>
      <c r="D1" s="20" t="s">
        <v>7</v>
      </c>
      <c r="E1" s="20" t="s">
        <v>71</v>
      </c>
      <c r="F1" s="20" t="s">
        <v>72</v>
      </c>
      <c r="G1" s="20" t="s">
        <v>73</v>
      </c>
      <c r="H1" s="20" t="s">
        <v>74</v>
      </c>
      <c r="I1" s="20" t="s">
        <v>75</v>
      </c>
      <c r="J1" s="20" t="s">
        <v>76</v>
      </c>
      <c r="K1" s="20" t="s">
        <v>77</v>
      </c>
      <c r="L1" s="20" t="s">
        <v>78</v>
      </c>
      <c r="M1" s="20" t="s">
        <v>79</v>
      </c>
    </row>
    <row r="2" spans="1:13" ht="46.8">
      <c r="A2" s="21" t="s">
        <v>38</v>
      </c>
      <c r="B2" s="21" t="s">
        <v>39</v>
      </c>
      <c r="C2" s="21" t="s">
        <v>80</v>
      </c>
      <c r="D2" s="21" t="s">
        <v>81</v>
      </c>
      <c r="E2" s="21" t="s">
        <v>82</v>
      </c>
      <c r="F2" s="21" t="s">
        <v>83</v>
      </c>
      <c r="G2" s="21" t="s">
        <v>84</v>
      </c>
      <c r="H2" s="21" t="s">
        <v>85</v>
      </c>
      <c r="I2" s="21" t="s">
        <v>86</v>
      </c>
      <c r="J2" s="21" t="s">
        <v>87</v>
      </c>
      <c r="K2" s="21" t="s">
        <v>88</v>
      </c>
      <c r="L2" s="21" t="s">
        <v>89</v>
      </c>
      <c r="M2" s="21" t="s">
        <v>88</v>
      </c>
    </row>
    <row r="3" spans="1:13">
      <c r="A3" s="22" t="s">
        <v>55</v>
      </c>
      <c r="B3" s="22" t="s">
        <v>56</v>
      </c>
      <c r="C3" s="23" t="s">
        <v>57</v>
      </c>
      <c r="D3" s="24" t="s">
        <v>90</v>
      </c>
      <c r="E3" s="24" t="str">
        <f>UPPER(F3)</f>
        <v>FECHA DE FOTO/DATOS CONFIGURADA EN EL ETL PARA LA EXTRACCIÓN DE DATOS, CORRESPONDE A LA FOTO DEL CIERRE DEL DÍA ANTERIOR</v>
      </c>
      <c r="F3" s="24" t="s">
        <v>179</v>
      </c>
      <c r="G3" s="22" t="s">
        <v>62</v>
      </c>
      <c r="H3" s="22" t="s">
        <v>91</v>
      </c>
      <c r="I3" s="29">
        <v>45841</v>
      </c>
      <c r="J3" s="22" t="s">
        <v>92</v>
      </c>
      <c r="K3" s="22" t="s">
        <v>62</v>
      </c>
      <c r="L3" s="22" t="s">
        <v>92</v>
      </c>
      <c r="M3" s="22" t="s">
        <v>62</v>
      </c>
    </row>
    <row r="4" spans="1:13">
      <c r="A4" s="22" t="s">
        <v>55</v>
      </c>
      <c r="B4" s="22" t="s">
        <v>56</v>
      </c>
      <c r="C4" s="23" t="s">
        <v>57</v>
      </c>
      <c r="D4" s="24" t="s">
        <v>174</v>
      </c>
      <c r="E4" s="24" t="str">
        <f t="shared" ref="E4:E27" si="0">UPPER(F4)</f>
        <v>REPRESENTACIÓN PARCIAL DEL NÚMERO DE TARJETA OCULTANDO DÍGITOS SENSIBLES. CONTIENE LOS 6 PRIMEROS DIGITOS, 6 ASTERISCOS Y 4 ÚLTIMOS</v>
      </c>
      <c r="F4" s="24" t="s">
        <v>175</v>
      </c>
      <c r="G4" s="22" t="s">
        <v>62</v>
      </c>
      <c r="H4" s="22" t="s">
        <v>93</v>
      </c>
      <c r="I4" s="25" t="s">
        <v>176</v>
      </c>
      <c r="J4" s="22" t="s">
        <v>62</v>
      </c>
      <c r="K4" s="22" t="s">
        <v>92</v>
      </c>
      <c r="L4" s="22" t="s">
        <v>62</v>
      </c>
      <c r="M4" s="22" t="s">
        <v>62</v>
      </c>
    </row>
    <row r="5" spans="1:13">
      <c r="A5" s="22" t="s">
        <v>55</v>
      </c>
      <c r="B5" s="22" t="s">
        <v>56</v>
      </c>
      <c r="C5" s="23" t="s">
        <v>57</v>
      </c>
      <c r="D5" s="24" t="s">
        <v>94</v>
      </c>
      <c r="E5" s="24" t="str">
        <f t="shared" si="0"/>
        <v>CÓDIGO DE AUTORIZACIÓN DE LA TRANSACCIÓN.</v>
      </c>
      <c r="F5" s="24" t="s">
        <v>95</v>
      </c>
      <c r="G5" s="22" t="s">
        <v>62</v>
      </c>
      <c r="H5" s="22" t="s">
        <v>93</v>
      </c>
      <c r="I5" s="25" t="s">
        <v>96</v>
      </c>
      <c r="J5" s="22" t="s">
        <v>62</v>
      </c>
      <c r="K5" s="22" t="s">
        <v>92</v>
      </c>
      <c r="L5" s="22" t="s">
        <v>62</v>
      </c>
      <c r="M5" s="22" t="s">
        <v>62</v>
      </c>
    </row>
    <row r="6" spans="1:13">
      <c r="A6" s="22" t="s">
        <v>55</v>
      </c>
      <c r="B6" s="22" t="s">
        <v>56</v>
      </c>
      <c r="C6" s="23" t="s">
        <v>57</v>
      </c>
      <c r="D6" s="24" t="s">
        <v>97</v>
      </c>
      <c r="E6" s="24" t="str">
        <f t="shared" si="0"/>
        <v>NOMBRE DEL ESTABLECIMIENTO DONDE SE REALIZÓ LA TRANSACCIÓN.</v>
      </c>
      <c r="F6" s="24" t="s">
        <v>98</v>
      </c>
      <c r="G6" s="22" t="s">
        <v>62</v>
      </c>
      <c r="H6" s="22" t="s">
        <v>93</v>
      </c>
      <c r="I6" s="25" t="s">
        <v>99</v>
      </c>
      <c r="J6" s="22" t="s">
        <v>62</v>
      </c>
      <c r="K6" s="22" t="s">
        <v>92</v>
      </c>
      <c r="L6" s="22" t="s">
        <v>62</v>
      </c>
      <c r="M6" s="22" t="s">
        <v>92</v>
      </c>
    </row>
    <row r="7" spans="1:13">
      <c r="A7" s="22" t="s">
        <v>55</v>
      </c>
      <c r="B7" s="22" t="s">
        <v>56</v>
      </c>
      <c r="C7" s="23" t="s">
        <v>57</v>
      </c>
      <c r="D7" s="24" t="s">
        <v>100</v>
      </c>
      <c r="E7" s="24" t="str">
        <f t="shared" si="0"/>
        <v>NÚMERO DE VOUCHER O COMPROBANTE DE LA TRANSACCIÓN.</v>
      </c>
      <c r="F7" s="24" t="s">
        <v>101</v>
      </c>
      <c r="G7" s="22" t="s">
        <v>62</v>
      </c>
      <c r="H7" s="22" t="s">
        <v>93</v>
      </c>
      <c r="I7" s="25" t="s">
        <v>102</v>
      </c>
      <c r="J7" s="22" t="s">
        <v>62</v>
      </c>
      <c r="K7" s="22" t="s">
        <v>92</v>
      </c>
      <c r="L7" s="22" t="s">
        <v>62</v>
      </c>
      <c r="M7" s="22" t="s">
        <v>62</v>
      </c>
    </row>
    <row r="8" spans="1:13">
      <c r="A8" s="22" t="s">
        <v>55</v>
      </c>
      <c r="B8" s="22" t="s">
        <v>56</v>
      </c>
      <c r="C8" s="23" t="s">
        <v>57</v>
      </c>
      <c r="D8" s="24" t="s">
        <v>103</v>
      </c>
      <c r="E8" s="24" t="str">
        <f t="shared" si="0"/>
        <v>FECHA EN LA QUE SE REALIZÓ LA TRANSACCIÓN.</v>
      </c>
      <c r="F8" s="24" t="s">
        <v>104</v>
      </c>
      <c r="G8" s="22" t="s">
        <v>62</v>
      </c>
      <c r="H8" s="22" t="s">
        <v>91</v>
      </c>
      <c r="I8" s="29">
        <v>45955</v>
      </c>
      <c r="J8" s="22" t="s">
        <v>62</v>
      </c>
      <c r="K8" s="22" t="s">
        <v>92</v>
      </c>
      <c r="L8" s="22" t="s">
        <v>62</v>
      </c>
      <c r="M8" s="22" t="s">
        <v>92</v>
      </c>
    </row>
    <row r="9" spans="1:13">
      <c r="A9" s="22" t="s">
        <v>55</v>
      </c>
      <c r="B9" s="22" t="s">
        <v>56</v>
      </c>
      <c r="C9" s="23" t="s">
        <v>57</v>
      </c>
      <c r="D9" s="24" t="s">
        <v>105</v>
      </c>
      <c r="E9" s="24" t="str">
        <f t="shared" si="0"/>
        <v>CÓDIGO DE LA MONEDA DE LA TRANSACCIÓN</v>
      </c>
      <c r="F9" s="24" t="s">
        <v>106</v>
      </c>
      <c r="G9" s="22" t="s">
        <v>92</v>
      </c>
      <c r="H9" s="22" t="s">
        <v>93</v>
      </c>
      <c r="I9" s="25" t="s">
        <v>107</v>
      </c>
      <c r="J9" s="22" t="s">
        <v>62</v>
      </c>
      <c r="K9" s="22" t="s">
        <v>92</v>
      </c>
      <c r="L9" s="22" t="s">
        <v>62</v>
      </c>
      <c r="M9" s="22" t="s">
        <v>62</v>
      </c>
    </row>
    <row r="10" spans="1:13">
      <c r="A10" s="22" t="s">
        <v>55</v>
      </c>
      <c r="B10" s="22" t="s">
        <v>56</v>
      </c>
      <c r="C10" s="23" t="s">
        <v>57</v>
      </c>
      <c r="D10" s="24" t="s">
        <v>108</v>
      </c>
      <c r="E10" s="24" t="str">
        <f t="shared" si="0"/>
        <v xml:space="preserve">TIPO DE TRANSACCIÓN </v>
      </c>
      <c r="F10" s="24" t="s">
        <v>109</v>
      </c>
      <c r="G10" s="22" t="s">
        <v>62</v>
      </c>
      <c r="H10" s="22" t="s">
        <v>93</v>
      </c>
      <c r="I10" s="25" t="s">
        <v>110</v>
      </c>
      <c r="J10" s="22" t="s">
        <v>62</v>
      </c>
      <c r="K10" s="22" t="s">
        <v>92</v>
      </c>
      <c r="L10" s="22" t="s">
        <v>62</v>
      </c>
      <c r="M10" s="22" t="s">
        <v>62</v>
      </c>
    </row>
    <row r="11" spans="1:13">
      <c r="A11" s="22" t="s">
        <v>55</v>
      </c>
      <c r="B11" s="22" t="s">
        <v>56</v>
      </c>
      <c r="C11" s="23" t="s">
        <v>57</v>
      </c>
      <c r="D11" s="24" t="s">
        <v>111</v>
      </c>
      <c r="E11" s="24" t="str">
        <f t="shared" si="0"/>
        <v>NOMBRE DEL COMERCIO DONDE SE REALIZÓ LA TRANSACCIÓN.</v>
      </c>
      <c r="F11" s="24" t="s">
        <v>112</v>
      </c>
      <c r="G11" s="22" t="s">
        <v>62</v>
      </c>
      <c r="H11" s="22" t="s">
        <v>93</v>
      </c>
      <c r="I11" s="25" t="s">
        <v>113</v>
      </c>
      <c r="J11" s="22" t="s">
        <v>62</v>
      </c>
      <c r="K11" s="22" t="s">
        <v>92</v>
      </c>
      <c r="L11" s="22" t="s">
        <v>62</v>
      </c>
      <c r="M11" s="22" t="s">
        <v>62</v>
      </c>
    </row>
    <row r="12" spans="1:13">
      <c r="A12" s="22" t="s">
        <v>55</v>
      </c>
      <c r="B12" s="22" t="s">
        <v>56</v>
      </c>
      <c r="C12" s="23" t="s">
        <v>57</v>
      </c>
      <c r="D12" s="24" t="s">
        <v>114</v>
      </c>
      <c r="E12" s="24" t="str">
        <f t="shared" si="0"/>
        <v>FECHA EN LA QUE LA TRANSACCIÓN FUE PROCESADA.</v>
      </c>
      <c r="F12" s="24" t="s">
        <v>115</v>
      </c>
      <c r="G12" s="22" t="s">
        <v>62</v>
      </c>
      <c r="H12" s="22" t="s">
        <v>91</v>
      </c>
      <c r="I12" s="29">
        <v>45708</v>
      </c>
      <c r="J12" s="22" t="s">
        <v>62</v>
      </c>
      <c r="K12" s="22" t="s">
        <v>92</v>
      </c>
      <c r="L12" s="22" t="s">
        <v>62</v>
      </c>
      <c r="M12" s="22" t="s">
        <v>62</v>
      </c>
    </row>
    <row r="13" spans="1:13">
      <c r="A13" s="22" t="s">
        <v>55</v>
      </c>
      <c r="B13" s="22" t="s">
        <v>56</v>
      </c>
      <c r="C13" s="23" t="s">
        <v>57</v>
      </c>
      <c r="D13" s="24" t="s">
        <v>116</v>
      </c>
      <c r="E13" s="24" t="str">
        <f t="shared" si="0"/>
        <v>CÓDIGO INTERNO RELACIONADO CON EL PROCESAMIENTO DE LA TRANSACCIÓN.</v>
      </c>
      <c r="F13" s="24" t="s">
        <v>117</v>
      </c>
      <c r="G13" s="22" t="s">
        <v>62</v>
      </c>
      <c r="H13" s="22" t="s">
        <v>93</v>
      </c>
      <c r="I13" s="25" t="s">
        <v>118</v>
      </c>
      <c r="J13" s="22" t="s">
        <v>62</v>
      </c>
      <c r="K13" s="22" t="s">
        <v>92</v>
      </c>
      <c r="L13" s="22" t="s">
        <v>62</v>
      </c>
      <c r="M13" s="22" t="s">
        <v>62</v>
      </c>
    </row>
    <row r="14" spans="1:13">
      <c r="A14" s="22" t="s">
        <v>55</v>
      </c>
      <c r="B14" s="22" t="s">
        <v>56</v>
      </c>
      <c r="C14" s="23" t="s">
        <v>57</v>
      </c>
      <c r="D14" s="24" t="s">
        <v>119</v>
      </c>
      <c r="E14" s="24" t="str">
        <f t="shared" si="0"/>
        <v>NÚMERO DE REFERENCIA ASOCIADO A TRANSACCIONES EN COMERCIO ELECTRÓNICO O DISPUTAS</v>
      </c>
      <c r="F14" s="24" t="s">
        <v>120</v>
      </c>
      <c r="G14" s="22" t="s">
        <v>62</v>
      </c>
      <c r="H14" s="22" t="s">
        <v>93</v>
      </c>
      <c r="I14" s="25" t="s">
        <v>121</v>
      </c>
      <c r="J14" s="22" t="s">
        <v>92</v>
      </c>
      <c r="K14" s="22" t="s">
        <v>92</v>
      </c>
      <c r="L14" s="22" t="s">
        <v>62</v>
      </c>
      <c r="M14" s="22" t="s">
        <v>62</v>
      </c>
    </row>
    <row r="15" spans="1:13">
      <c r="A15" s="22" t="s">
        <v>55</v>
      </c>
      <c r="B15" s="22" t="s">
        <v>56</v>
      </c>
      <c r="C15" s="23" t="s">
        <v>57</v>
      </c>
      <c r="D15" s="24" t="s">
        <v>122</v>
      </c>
      <c r="E15" s="24" t="str">
        <f t="shared" si="0"/>
        <v>NÚMERO DE DOCUMENTO QUE HA IMPRESO EL TERMINAL (CORRELATIVO 1,2,3,ETC)</v>
      </c>
      <c r="F15" s="24" t="s">
        <v>123</v>
      </c>
      <c r="G15" s="22" t="s">
        <v>62</v>
      </c>
      <c r="H15" s="22" t="s">
        <v>124</v>
      </c>
      <c r="I15" s="25" t="s">
        <v>125</v>
      </c>
      <c r="J15" s="22" t="s">
        <v>62</v>
      </c>
      <c r="K15" s="22" t="s">
        <v>92</v>
      </c>
      <c r="L15" s="22" t="s">
        <v>62</v>
      </c>
      <c r="M15" s="22" t="s">
        <v>62</v>
      </c>
    </row>
    <row r="16" spans="1:13">
      <c r="A16" s="22" t="s">
        <v>55</v>
      </c>
      <c r="B16" s="22" t="s">
        <v>56</v>
      </c>
      <c r="C16" s="23" t="s">
        <v>57</v>
      </c>
      <c r="D16" s="24" t="s">
        <v>126</v>
      </c>
      <c r="E16" s="24" t="str">
        <f t="shared" si="0"/>
        <v xml:space="preserve">INDICA SI LA TRANSACCIÓN FUE REALIZADA EN COMERCIO ELECTRÓNICO </v>
      </c>
      <c r="F16" s="24" t="s">
        <v>127</v>
      </c>
      <c r="G16" s="22" t="s">
        <v>62</v>
      </c>
      <c r="H16" s="22" t="s">
        <v>93</v>
      </c>
      <c r="I16" s="25" t="s">
        <v>128</v>
      </c>
      <c r="J16" s="22" t="s">
        <v>62</v>
      </c>
      <c r="K16" s="22" t="s">
        <v>92</v>
      </c>
      <c r="L16" s="22" t="s">
        <v>62</v>
      </c>
      <c r="M16" s="22" t="s">
        <v>62</v>
      </c>
    </row>
    <row r="17" spans="1:14">
      <c r="A17" s="22" t="s">
        <v>55</v>
      </c>
      <c r="B17" s="22" t="s">
        <v>56</v>
      </c>
      <c r="C17" s="23" t="s">
        <v>57</v>
      </c>
      <c r="D17" s="24" t="s">
        <v>129</v>
      </c>
      <c r="E17" s="24" t="str">
        <f t="shared" si="0"/>
        <v>CÓDIGO DEL TERMINAL DONDE SE EFECTUÓ LA TRANSACCIÓN.</v>
      </c>
      <c r="F17" s="24" t="s">
        <v>130</v>
      </c>
      <c r="G17" s="22" t="s">
        <v>62</v>
      </c>
      <c r="H17" s="22" t="s">
        <v>93</v>
      </c>
      <c r="I17" s="25" t="s">
        <v>131</v>
      </c>
      <c r="J17" s="22" t="s">
        <v>62</v>
      </c>
      <c r="K17" s="22" t="s">
        <v>92</v>
      </c>
      <c r="L17" s="22" t="s">
        <v>62</v>
      </c>
      <c r="M17" s="22" t="s">
        <v>62</v>
      </c>
    </row>
    <row r="18" spans="1:14">
      <c r="A18" s="22" t="s">
        <v>55</v>
      </c>
      <c r="B18" s="22" t="s">
        <v>56</v>
      </c>
      <c r="C18" s="23" t="s">
        <v>57</v>
      </c>
      <c r="D18" s="24" t="s">
        <v>132</v>
      </c>
      <c r="E18" s="24" t="str">
        <f t="shared" si="0"/>
        <v xml:space="preserve">MÉTODO DE INGRESO DE LA TRANSACCIÓN </v>
      </c>
      <c r="F18" s="24" t="s">
        <v>133</v>
      </c>
      <c r="G18" s="22" t="s">
        <v>62</v>
      </c>
      <c r="H18" s="22" t="s">
        <v>93</v>
      </c>
      <c r="I18" s="25" t="s">
        <v>134</v>
      </c>
      <c r="J18" s="22" t="s">
        <v>62</v>
      </c>
      <c r="K18" s="22" t="s">
        <v>92</v>
      </c>
      <c r="L18" s="22" t="s">
        <v>62</v>
      </c>
      <c r="M18" s="22" t="s">
        <v>62</v>
      </c>
    </row>
    <row r="19" spans="1:14">
      <c r="A19" s="22" t="s">
        <v>55</v>
      </c>
      <c r="B19" s="22" t="s">
        <v>56</v>
      </c>
      <c r="C19" s="23" t="s">
        <v>57</v>
      </c>
      <c r="D19" s="24" t="s">
        <v>135</v>
      </c>
      <c r="E19" s="24" t="str">
        <f t="shared" si="0"/>
        <v>REFERENCIA ADICIONAL DE LA TRANSACCIÓN.</v>
      </c>
      <c r="F19" s="24" t="s">
        <v>136</v>
      </c>
      <c r="G19" s="22" t="s">
        <v>62</v>
      </c>
      <c r="H19" s="22" t="s">
        <v>93</v>
      </c>
      <c r="I19" s="25" t="s">
        <v>137</v>
      </c>
      <c r="J19" s="22" t="s">
        <v>62</v>
      </c>
      <c r="K19" s="22" t="s">
        <v>92</v>
      </c>
      <c r="L19" s="22" t="s">
        <v>62</v>
      </c>
      <c r="M19" s="22" t="s">
        <v>62</v>
      </c>
    </row>
    <row r="20" spans="1:14">
      <c r="A20" s="22" t="s">
        <v>55</v>
      </c>
      <c r="B20" s="22" t="s">
        <v>56</v>
      </c>
      <c r="C20" s="23" t="s">
        <v>57</v>
      </c>
      <c r="D20" s="24" t="s">
        <v>138</v>
      </c>
      <c r="E20" s="24" t="str">
        <f t="shared" si="0"/>
        <v>MONTO DE LA TRANSACCIÓN EN LA MONEDA ORIGINAL DEL COMERCIO</v>
      </c>
      <c r="F20" s="24" t="s">
        <v>139</v>
      </c>
      <c r="G20" s="22" t="s">
        <v>62</v>
      </c>
      <c r="H20" s="22" t="s">
        <v>140</v>
      </c>
      <c r="I20" s="25" t="s">
        <v>141</v>
      </c>
      <c r="J20" s="22" t="s">
        <v>62</v>
      </c>
      <c r="K20" s="22" t="s">
        <v>92</v>
      </c>
      <c r="L20" s="22" t="s">
        <v>62</v>
      </c>
      <c r="M20" s="22" t="s">
        <v>62</v>
      </c>
    </row>
    <row r="21" spans="1:14">
      <c r="A21" s="22" t="s">
        <v>55</v>
      </c>
      <c r="B21" s="22" t="s">
        <v>56</v>
      </c>
      <c r="C21" s="23" t="s">
        <v>57</v>
      </c>
      <c r="D21" s="24" t="s">
        <v>142</v>
      </c>
      <c r="E21" s="24" t="str">
        <f t="shared" si="0"/>
        <v>USUARIO O ENTIDAD QUE APROBÓ LA TRANSACCIÓN.</v>
      </c>
      <c r="F21" s="24" t="s">
        <v>143</v>
      </c>
      <c r="G21" s="22" t="s">
        <v>62</v>
      </c>
      <c r="H21" s="22" t="s">
        <v>93</v>
      </c>
      <c r="I21" s="25"/>
      <c r="J21" s="22" t="s">
        <v>62</v>
      </c>
      <c r="K21" s="22" t="s">
        <v>92</v>
      </c>
      <c r="L21" s="22" t="s">
        <v>62</v>
      </c>
      <c r="M21" s="22" t="s">
        <v>62</v>
      </c>
    </row>
    <row r="22" spans="1:14">
      <c r="A22" s="22" t="s">
        <v>55</v>
      </c>
      <c r="B22" s="22" t="s">
        <v>56</v>
      </c>
      <c r="C22" s="23" t="s">
        <v>57</v>
      </c>
      <c r="D22" s="24" t="s">
        <v>144</v>
      </c>
      <c r="E22" s="24" t="str">
        <f t="shared" si="0"/>
        <v>FECHA EN LA QUE SE REGISTRÓ LA TRANSACCIÓN EN EL SISTEMA.</v>
      </c>
      <c r="F22" s="24" t="s">
        <v>145</v>
      </c>
      <c r="G22" s="22" t="s">
        <v>62</v>
      </c>
      <c r="H22" s="22" t="s">
        <v>91</v>
      </c>
      <c r="I22" s="29">
        <v>45950</v>
      </c>
      <c r="J22" s="22" t="s">
        <v>62</v>
      </c>
      <c r="K22" s="22" t="s">
        <v>92</v>
      </c>
      <c r="L22" s="22" t="s">
        <v>62</v>
      </c>
      <c r="M22" s="22" t="s">
        <v>62</v>
      </c>
    </row>
    <row r="23" spans="1:14">
      <c r="A23" s="22" t="s">
        <v>55</v>
      </c>
      <c r="B23" s="22" t="s">
        <v>56</v>
      </c>
      <c r="C23" s="23" t="s">
        <v>57</v>
      </c>
      <c r="D23" s="24" t="s">
        <v>146</v>
      </c>
      <c r="E23" s="24" t="str">
        <f t="shared" si="0"/>
        <v>HORA EN LA QUE OCURRIÓ LA TRANSACCIÓN.</v>
      </c>
      <c r="F23" s="24" t="s">
        <v>147</v>
      </c>
      <c r="G23" s="22" t="s">
        <v>62</v>
      </c>
      <c r="H23" s="22" t="s">
        <v>93</v>
      </c>
      <c r="I23" s="30">
        <v>0.21064814814814814</v>
      </c>
      <c r="J23" s="22" t="s">
        <v>62</v>
      </c>
      <c r="K23" s="22" t="s">
        <v>92</v>
      </c>
      <c r="L23" s="22" t="s">
        <v>62</v>
      </c>
      <c r="M23" s="22" t="s">
        <v>62</v>
      </c>
    </row>
    <row r="24" spans="1:14">
      <c r="A24" s="22" t="s">
        <v>55</v>
      </c>
      <c r="B24" s="22" t="s">
        <v>56</v>
      </c>
      <c r="C24" s="23" t="s">
        <v>57</v>
      </c>
      <c r="D24" s="24" t="s">
        <v>177</v>
      </c>
      <c r="E24" s="24" t="str">
        <f t="shared" si="0"/>
        <v>PRIMEROS 9  DÍGITOS DE LA TARJETA</v>
      </c>
      <c r="F24" s="24" t="s">
        <v>178</v>
      </c>
      <c r="G24" s="22" t="s">
        <v>62</v>
      </c>
      <c r="H24" s="22" t="s">
        <v>93</v>
      </c>
      <c r="I24" s="25">
        <v>411074654</v>
      </c>
      <c r="J24" s="22" t="s">
        <v>62</v>
      </c>
      <c r="K24" s="22" t="s">
        <v>92</v>
      </c>
      <c r="L24" s="22" t="s">
        <v>62</v>
      </c>
      <c r="M24" s="22" t="s">
        <v>92</v>
      </c>
    </row>
    <row r="25" spans="1:14">
      <c r="A25" s="22" t="s">
        <v>55</v>
      </c>
      <c r="B25" s="22" t="s">
        <v>56</v>
      </c>
      <c r="C25" s="23" t="s">
        <v>57</v>
      </c>
      <c r="D25" s="24" t="s">
        <v>148</v>
      </c>
      <c r="E25" s="24" t="str">
        <f t="shared" si="0"/>
        <v>FECHA EN LA QUE SE ALERTÓ EL FRAUDE</v>
      </c>
      <c r="F25" s="24" t="s">
        <v>149</v>
      </c>
      <c r="G25" s="22" t="s">
        <v>62</v>
      </c>
      <c r="H25" s="22" t="s">
        <v>91</v>
      </c>
      <c r="I25" s="29">
        <v>44129</v>
      </c>
      <c r="J25" s="22" t="s">
        <v>62</v>
      </c>
      <c r="K25" s="22" t="s">
        <v>92</v>
      </c>
      <c r="L25" s="22" t="s">
        <v>62</v>
      </c>
      <c r="M25" s="22" t="s">
        <v>92</v>
      </c>
    </row>
    <row r="26" spans="1:14">
      <c r="A26" s="22" t="s">
        <v>55</v>
      </c>
      <c r="B26" s="22" t="s">
        <v>56</v>
      </c>
      <c r="C26" s="23" t="s">
        <v>57</v>
      </c>
      <c r="D26" s="24" t="s">
        <v>150</v>
      </c>
      <c r="E26" s="24" t="str">
        <f t="shared" si="0"/>
        <v>MONTO DE LA TRANSACCIÓN CONVERTIDO A SOLES.</v>
      </c>
      <c r="F26" s="24" t="s">
        <v>151</v>
      </c>
      <c r="G26" s="22" t="s">
        <v>62</v>
      </c>
      <c r="H26" s="22" t="s">
        <v>140</v>
      </c>
      <c r="I26" s="25">
        <v>215.5</v>
      </c>
      <c r="J26" s="22" t="s">
        <v>62</v>
      </c>
      <c r="K26" s="22" t="s">
        <v>92</v>
      </c>
      <c r="L26" s="22" t="s">
        <v>62</v>
      </c>
      <c r="M26" s="22" t="s">
        <v>62</v>
      </c>
    </row>
    <row r="27" spans="1:14">
      <c r="A27" s="22" t="s">
        <v>55</v>
      </c>
      <c r="B27" s="22" t="s">
        <v>56</v>
      </c>
      <c r="C27" s="23" t="s">
        <v>57</v>
      </c>
      <c r="D27" s="24" t="s">
        <v>152</v>
      </c>
      <c r="E27" s="24" t="str">
        <f t="shared" si="0"/>
        <v>CÓDIGO DEL TIPO DE FRAUDE DETECTADO</v>
      </c>
      <c r="F27" s="24" t="s">
        <v>153</v>
      </c>
      <c r="G27" s="22" t="s">
        <v>62</v>
      </c>
      <c r="H27" s="22" t="s">
        <v>93</v>
      </c>
      <c r="I27" s="25" t="s">
        <v>154</v>
      </c>
      <c r="J27" s="22" t="s">
        <v>62</v>
      </c>
      <c r="K27" s="22" t="s">
        <v>92</v>
      </c>
      <c r="L27" s="22" t="s">
        <v>62</v>
      </c>
      <c r="M27" s="22" t="s">
        <v>62</v>
      </c>
    </row>
    <row r="28" spans="1:14">
      <c r="A28" s="31" t="s">
        <v>55</v>
      </c>
      <c r="B28" s="31" t="s">
        <v>56</v>
      </c>
      <c r="C28" s="23" t="s">
        <v>57</v>
      </c>
      <c r="D28" s="32" t="s">
        <v>171</v>
      </c>
      <c r="E28" s="33" t="s">
        <v>172</v>
      </c>
      <c r="F28" s="33" t="s">
        <v>173</v>
      </c>
      <c r="G28" s="31" t="s">
        <v>62</v>
      </c>
      <c r="H28" s="31" t="s">
        <v>93</v>
      </c>
      <c r="I28" s="34" t="s">
        <v>166</v>
      </c>
      <c r="J28" s="31" t="s">
        <v>62</v>
      </c>
      <c r="K28" s="31" t="s">
        <v>92</v>
      </c>
      <c r="L28" s="31" t="s">
        <v>62</v>
      </c>
      <c r="M28" s="31" t="s">
        <v>62</v>
      </c>
      <c r="N28" s="35"/>
    </row>
    <row r="29" spans="1:14">
      <c r="A29" s="31" t="s">
        <v>55</v>
      </c>
      <c r="B29" s="31" t="s">
        <v>56</v>
      </c>
      <c r="C29" s="23" t="s">
        <v>57</v>
      </c>
      <c r="D29" s="36" t="s">
        <v>167</v>
      </c>
      <c r="E29" s="33" t="s">
        <v>168</v>
      </c>
      <c r="F29" s="33" t="s">
        <v>169</v>
      </c>
      <c r="G29" s="31" t="s">
        <v>62</v>
      </c>
      <c r="H29" s="31" t="s">
        <v>93</v>
      </c>
      <c r="I29" s="37" t="s">
        <v>170</v>
      </c>
      <c r="J29" s="31" t="s">
        <v>62</v>
      </c>
      <c r="K29" s="31" t="s">
        <v>92</v>
      </c>
      <c r="L29" s="31" t="s">
        <v>62</v>
      </c>
      <c r="M29" s="31" t="s">
        <v>62</v>
      </c>
      <c r="N29" s="35"/>
    </row>
    <row r="30" spans="1:14">
      <c r="A30" s="22" t="s">
        <v>55</v>
      </c>
      <c r="B30" s="22" t="s">
        <v>56</v>
      </c>
      <c r="C30" s="23" t="s">
        <v>57</v>
      </c>
      <c r="D30" s="24" t="s">
        <v>155</v>
      </c>
      <c r="E30" s="24" t="str">
        <f t="shared" ref="E30:E32" si="1">UPPER(F30)</f>
        <v>DATO DE AUDITORÍA: DESCRIPCIÓN DEL APLICATIVO ORIGEN DE LOS DATOS.</v>
      </c>
      <c r="F30" s="24" t="s">
        <v>156</v>
      </c>
      <c r="G30" s="22" t="s">
        <v>62</v>
      </c>
      <c r="H30" s="22" t="s">
        <v>93</v>
      </c>
      <c r="I30" s="24" t="s">
        <v>157</v>
      </c>
      <c r="J30" s="22" t="s">
        <v>62</v>
      </c>
      <c r="K30" s="22" t="s">
        <v>62</v>
      </c>
      <c r="L30" s="22" t="s">
        <v>62</v>
      </c>
      <c r="M30" s="22" t="s">
        <v>62</v>
      </c>
    </row>
    <row r="31" spans="1:14">
      <c r="A31" s="22" t="s">
        <v>55</v>
      </c>
      <c r="B31" s="22" t="s">
        <v>56</v>
      </c>
      <c r="C31" s="23" t="s">
        <v>57</v>
      </c>
      <c r="D31" s="24" t="s">
        <v>158</v>
      </c>
      <c r="E31" s="24" t="str">
        <f t="shared" si="1"/>
        <v>FECHA Y HORA DE INSERCIÓN DEL REGISTRO EN EL MODELO</v>
      </c>
      <c r="F31" s="24" t="s">
        <v>159</v>
      </c>
      <c r="G31" s="22" t="s">
        <v>62</v>
      </c>
      <c r="H31" s="22" t="s">
        <v>160</v>
      </c>
      <c r="I31" s="24" t="s">
        <v>161</v>
      </c>
      <c r="J31" s="22" t="s">
        <v>62</v>
      </c>
      <c r="K31" s="22" t="s">
        <v>62</v>
      </c>
      <c r="L31" s="22" t="s">
        <v>62</v>
      </c>
      <c r="M31" s="22" t="s">
        <v>62</v>
      </c>
    </row>
    <row r="32" spans="1:14">
      <c r="A32" s="22" t="s">
        <v>55</v>
      </c>
      <c r="B32" s="22" t="s">
        <v>56</v>
      </c>
      <c r="C32" s="23" t="s">
        <v>57</v>
      </c>
      <c r="D32" s="24" t="s">
        <v>162</v>
      </c>
      <c r="E32" s="24" t="str">
        <f t="shared" si="1"/>
        <v>USUARIO QUE CREA EL REGISTRO EN LA BD</v>
      </c>
      <c r="F32" s="24" t="s">
        <v>163</v>
      </c>
      <c r="G32" s="22" t="s">
        <v>62</v>
      </c>
      <c r="H32" s="22" t="s">
        <v>93</v>
      </c>
      <c r="I32" t="s">
        <v>164</v>
      </c>
      <c r="J32" s="22" t="s">
        <v>62</v>
      </c>
      <c r="K32" s="22" t="s">
        <v>62</v>
      </c>
      <c r="L32" s="22" t="s">
        <v>62</v>
      </c>
      <c r="M32" s="22" t="s">
        <v>62</v>
      </c>
    </row>
    <row r="57" spans="9:9">
      <c r="I57" s="28"/>
    </row>
    <row r="65" spans="8:11">
      <c r="H65">
        <v>60.8</v>
      </c>
      <c r="I65">
        <v>215.5</v>
      </c>
      <c r="J65" t="s">
        <v>154</v>
      </c>
      <c r="K65" t="s">
        <v>165</v>
      </c>
    </row>
  </sheetData>
  <autoFilter ref="A2:M32" xr:uid="{43B8BE03-B52F-4C6B-A89B-93AA54382303}"/>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2.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customXml/itemProps3.xml><?xml version="1.0" encoding="utf-8"?>
<ds:datastoreItem xmlns:ds="http://schemas.openxmlformats.org/officeDocument/2006/customXml" ds:itemID="{4BCA46D9-2558-4E60-A561-788F844BB4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Datos Sensibles</vt:lpstr>
      <vt:lpstr>Estructuras del Modelo</vt:lpstr>
      <vt:lpstr>m_fraude_liquidacion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ANGELLO BRAVO</cp:lastModifiedBy>
  <cp:revision/>
  <dcterms:created xsi:type="dcterms:W3CDTF">2015-06-05T18:19:34Z</dcterms:created>
  <dcterms:modified xsi:type="dcterms:W3CDTF">2026-07-06T15:01:56Z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