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21 Carga Retencion IZPA/Input/Data Engineer/"/>
    </mc:Choice>
  </mc:AlternateContent>
  <xr:revisionPtr revIDLastSave="239" documentId="11_815F06F089EC656B21604F2F02011035A8E5915F" xr6:coauthVersionLast="47" xr6:coauthVersionMax="47" xr10:uidLastSave="{A3CFA893-4D9B-4A28-8952-416327432AF8}"/>
  <bookViews>
    <workbookView xWindow="-120" yWindow="-120" windowWidth="29040" windowHeight="15720" firstSheet="2" activeTab="3" xr2:uid="{00000000-000D-0000-FFFF-FFFF00000000}"/>
  </bookViews>
  <sheets>
    <sheet name="Logica_SQL_v2" sheetId="5" state="hidden" r:id="rId1"/>
    <sheet name="Logica_SQL_v3" sheetId="6" state="hidden" r:id="rId2"/>
    <sheet name="logica_RPG" sheetId="2" r:id="rId3"/>
    <sheet name="logica_v4" sheetId="7" r:id="rId4"/>
    <sheet name="tablas" sheetId="1" r:id="rId5"/>
    <sheet name="Logica_SQL" sheetId="3" state="hidden" r:id="rId6"/>
    <sheet name="diccionario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<sst xmlns="http://schemas.openxmlformats.org/spreadsheetml/2006/main" count="1834" uniqueCount="986">
  <si>
    <t>--</t>
  </si>
  <si>
    <t>Parámetros</t>
  </si>
  <si>
    <t>de</t>
  </si>
  <si>
    <t>entrada</t>
  </si>
  <si>
    <t>SET</t>
  </si>
  <si>
    <t>@pfdia</t>
  </si>
  <si>
    <t>=</t>
  </si>
  <si>
    <t>'26052025';</t>
  </si>
  <si>
    <t>DDMMYYYY</t>
  </si>
  <si>
    <t>@ptpag</t>
  </si>
  <si>
    <t>'ACC';</t>
  </si>
  <si>
    <t>@wpescot</t>
  </si>
  <si>
    <t>'</t>
  </si>
  <si>
    <t>';</t>
  </si>
  <si>
    <t>1)</t>
  </si>
  <si>
    <t>Descompongo</t>
  </si>
  <si>
    <t>la</t>
  </si>
  <si>
    <t>fecha</t>
  </si>
  <si>
    <t>WITH</t>
  </si>
  <si>
    <t>AS</t>
  </si>
  <si>
    <t>(</t>
  </si>
  <si>
    <t>SELECT</t>
  </si>
  <si>
    <t>CAST(SUBSTRING(@pfdia,1,2)</t>
  </si>
  <si>
    <t>UNSIGNED)</t>
  </si>
  <si>
    <t>dia,</t>
  </si>
  <si>
    <t>CAST(SUBSTRING(@pfdia,3,2)</t>
  </si>
  <si>
    <t>mes,</t>
  </si>
  <si>
    <t>CAST(SUBSTRING(@pfdia,5,4)</t>
  </si>
  <si>
    <t>anio</t>
  </si>
  <si>
    <t>),</t>
  </si>
  <si>
    <t>2)</t>
  </si>
  <si>
    <t>Tipo</t>
  </si>
  <si>
    <t>cambio</t>
  </si>
  <si>
    <t>tc</t>
  </si>
  <si>
    <t>OVVEN</t>
  </si>
  <si>
    <t>tipoCambio</t>
  </si>
  <si>
    <t>FROM</t>
  </si>
  <si>
    <t>MCFV017</t>
  </si>
  <si>
    <t>WHERE</t>
  </si>
  <si>
    <t>CIA</t>
  </si>
  <si>
    <t>'99'</t>
  </si>
  <si>
    <t>AND</t>
  </si>
  <si>
    <t>SUCURSAL</t>
  </si>
  <si>
    <t>'1'</t>
  </si>
  <si>
    <t>MONEDAC</t>
  </si>
  <si>
    <t>'2'</t>
  </si>
  <si>
    <t>(SELECT</t>
  </si>
  <si>
    <t>fecha)</t>
  </si>
  <si>
    <t>mes</t>
  </si>
  <si>
    <t>dia</t>
  </si>
  <si>
    <t>LIMIT</t>
  </si>
  <si>
    <t>3)</t>
  </si>
  <si>
    <t>Filtro</t>
  </si>
  <si>
    <t>autorizaciones</t>
  </si>
  <si>
    <t>aut</t>
  </si>
  <si>
    <t>*</t>
  </si>
  <si>
    <t>MCFT003</t>
  </si>
  <si>
    <t>petpag</t>
  </si>
  <si>
    <t>pectra</t>
  </si>
  <si>
    <t>BETWEEN</t>
  </si>
  <si>
    <t>COALESCE(pesitu,'')</t>
  </si>
  <si>
    <t>''</t>
  </si>
  <si>
    <t>pescot</t>
  </si>
  <si>
    <t>4)</t>
  </si>
  <si>
    <t>Calculo</t>
  </si>
  <si>
    <t>monto</t>
  </si>
  <si>
    <t>en</t>
  </si>
  <si>
    <t>soles</t>
  </si>
  <si>
    <t>calc</t>
  </si>
  <si>
    <t>a.pebcop</t>
  </si>
  <si>
    <t>BANCO,</t>
  </si>
  <si>
    <t>b.badeco</t>
  </si>
  <si>
    <t>NOMBRE,</t>
  </si>
  <si>
    <t>a.peruce</t>
  </si>
  <si>
    <t>RUC,</t>
  </si>
  <si>
    <t>a.cod_comercio</t>
  </si>
  <si>
    <t>CODIGO,</t>
  </si>
  <si>
    <t>a.razon_social</t>
  </si>
  <si>
    <t>`RAZON</t>
  </si>
  <si>
    <t>SOCIAL`,</t>
  </si>
  <si>
    <t>a.peccch</t>
  </si>
  <si>
    <t>`NRO</t>
  </si>
  <si>
    <t>DE</t>
  </si>
  <si>
    <t>CUENTA`,</t>
  </si>
  <si>
    <t>a.penet2</t>
  </si>
  <si>
    <t>IMPORTE,</t>
  </si>
  <si>
    <t>CASE</t>
  </si>
  <si>
    <t>WHEN</t>
  </si>
  <si>
    <t>a.pemone</t>
  </si>
  <si>
    <t>'840'</t>
  </si>
  <si>
    <t>THEN</t>
  </si>
  <si>
    <t>t.tipoCambio</t>
  </si>
  <si>
    <t>ELSE</t>
  </si>
  <si>
    <t>END</t>
  </si>
  <si>
    <t>`IMP.SOLES`,</t>
  </si>
  <si>
    <t>MON,</t>
  </si>
  <si>
    <t>a.peprod</t>
  </si>
  <si>
    <t>PR,</t>
  </si>
  <si>
    <t>a.pefpro</t>
  </si>
  <si>
    <t>`FEC.PRO.`,</t>
  </si>
  <si>
    <t>a.pefabo</t>
  </si>
  <si>
    <t>`FEC.ABO.`,</t>
  </si>
  <si>
    <t>a.petcta</t>
  </si>
  <si>
    <t>TIPO,</t>
  </si>
  <si>
    <t>a.pectes</t>
  </si>
  <si>
    <t>TERCERO,</t>
  </si>
  <si>
    <t>a.pecest</t>
  </si>
  <si>
    <t>CTAESP</t>
  </si>
  <si>
    <t>a</t>
  </si>
  <si>
    <t>CROSS</t>
  </si>
  <si>
    <t>JOIN</t>
  </si>
  <si>
    <t>t</t>
  </si>
  <si>
    <t>LEFT</t>
  </si>
  <si>
    <t>MCFV004</t>
  </si>
  <si>
    <t>b</t>
  </si>
  <si>
    <t>ON</t>
  </si>
  <si>
    <t>b.CODBAN</t>
  </si>
  <si>
    <t>maestro</t>
  </si>
  <si>
    <t>bancos</t>
  </si>
  <si>
    <t>MCFM019</t>
  </si>
  <si>
    <t>m</t>
  </si>
  <si>
    <t>m.PK</t>
  </si>
  <si>
    <t>cuentas/terceros</t>
  </si>
  <si>
    <t>ORDER</t>
  </si>
  <si>
    <t>BY</t>
  </si>
  <si>
    <t>a.pebcop,</t>
  </si>
  <si>
    <t>)</t>
  </si>
  <si>
    <t>calc;</t>
  </si>
  <si>
    <t>-- 1. Declaración de parámetros de entrada (simulados con variables)</t>
  </si>
  <si>
    <t>DECLARE fecha_proceso STRING DEFAULT '20250701';</t>
  </si>
  <si>
    <t>vvvv</t>
  </si>
  <si>
    <t>DECLARE ptpag STRING DEFAULT 'ACC';</t>
  </si>
  <si>
    <t>DECLARE ptotal STRING DEFAULT 'TOT';</t>
  </si>
  <si>
    <t>DECLARE wpescot STRING DEFAULT '001';</t>
  </si>
  <si>
    <t>-- 2. Conversión de la fecha de entrada a formato DATE</t>
  </si>
  <si>
    <t>DECLARE fecha DATE DEFAULT PARSE_DATE('%d%m%Y'</t>
  </si>
  <si>
    <t xml:space="preserve"> fecha_proceso);</t>
  </si>
  <si>
    <t>-- 3. Obtención del tipo de cambio</t>
  </si>
  <si>
    <t>DECLARE tipo_cambio FLOAT64;</t>
  </si>
  <si>
    <t>SET tipo_cambio = (</t>
  </si>
  <si>
    <t xml:space="preserve">  SELECT IFNULL(OVVEN</t>
  </si>
  <si>
    <t xml:space="preserve"> 0)</t>
  </si>
  <si>
    <t xml:space="preserve">  FROM `project.dataset.MCFV017`</t>
  </si>
  <si>
    <t xml:space="preserve">  WHERE CIA = 99 AND SUCURSAL = 1 AND MONEDAC = 2 AND PROMEDIO = 2</t>
  </si>
  <si>
    <t xml:space="preserve">    AND EXTRACT(YEAR FROM fecha) = anio</t>
  </si>
  <si>
    <t xml:space="preserve">    AND EXTRACT(MONTH FROM fecha) = mes</t>
  </si>
  <si>
    <t xml:space="preserve">    AND EXTRACT(DAY FROM fecha) = dia</t>
  </si>
  <si>
    <t xml:space="preserve">  LIMIT 1</t>
  </si>
  <si>
    <t>);</t>
  </si>
  <si>
    <t>-- 4. Query principal para obtener los registros pendientes de abonar</t>
  </si>
  <si>
    <t>CREATE OR REPLACE TABLE `project.dataset.reporte_abonos_pendientes` AS</t>
  </si>
  <si>
    <t xml:space="preserve">SELECT </t>
  </si>
  <si>
    <t xml:space="preserve">  t.pebcop</t>
  </si>
  <si>
    <t xml:space="preserve">  b.badeco AS nombre_banco</t>
  </si>
  <si>
    <t xml:space="preserve">  t.peruce</t>
  </si>
  <si>
    <t xml:space="preserve">  t.pecest</t>
  </si>
  <si>
    <t xml:space="preserve">  COALESCE(m.mechqn</t>
  </si>
  <si>
    <t xml:space="preserve"> m.mersoc) AS nombre_tercero</t>
  </si>
  <si>
    <t xml:space="preserve">  t.peccch</t>
  </si>
  <si>
    <t xml:space="preserve">  t.penet3</t>
  </si>
  <si>
    <t xml:space="preserve">  CASE WHEN t.pemone = '840' THEN t.penet3 * tipo_cambio ELSE t.penet3 END AS monto_soles</t>
  </si>
  <si>
    <t xml:space="preserve">  t.pemone</t>
  </si>
  <si>
    <t xml:space="preserve">  t.peprod</t>
  </si>
  <si>
    <t xml:space="preserve">  t.pefpro</t>
  </si>
  <si>
    <t xml:space="preserve">  t.pefabo</t>
  </si>
  <si>
    <t xml:space="preserve">  t.petcta</t>
  </si>
  <si>
    <t xml:space="preserve">  t.pepagt</t>
  </si>
  <si>
    <t xml:space="preserve">  t.pectes</t>
  </si>
  <si>
    <t>FROM `project.dataset.mcft044T` t</t>
  </si>
  <si>
    <t>LEFT JOIN `project.dataset.mcfv004` b ON t.pebcop = b.pebcop</t>
  </si>
  <si>
    <t>LEFT JOIN `project.dataset.mcfm019` m ON t.pecest = m.pecest</t>
  </si>
  <si>
    <t>WHERE t.petpag = ptpag</t>
  </si>
  <si>
    <t xml:space="preserve">  AND t.pesitu = ''</t>
  </si>
  <si>
    <t xml:space="preserve">  AND t.pescot = wpescot</t>
  </si>
  <si>
    <t>ORDER BY t.pebcop</t>
  </si>
  <si>
    <t xml:space="preserve"> t.pemone;</t>
  </si>
  <si>
    <t>-- 5. Cálculo de totales parciales y generales (agrupados)</t>
  </si>
  <si>
    <t>CREATE OR REPLACE TABLE `project.dataset.resumen_abonos_pendientes` AS</t>
  </si>
  <si>
    <t xml:space="preserve">  pebcop</t>
  </si>
  <si>
    <t xml:space="preserve">  nombre_banco</t>
  </si>
  <si>
    <t xml:space="preserve">  pemone</t>
  </si>
  <si>
    <t xml:space="preserve">  SUM(CASE WHEN pemone = '840' THEN penet3 ELSE 0 END) AS total_dolares</t>
  </si>
  <si>
    <t xml:space="preserve">  SUM(CASE WHEN pemone &lt;&gt; '840' THEN penet3 ELSE 0 END) AS total_soles</t>
  </si>
  <si>
    <t>FROM `project.dataset.reporte_abonos_pendientes`</t>
  </si>
  <si>
    <t>GROUP BY pebcop</t>
  </si>
  <si>
    <t xml:space="preserve"> nombre_banco</t>
  </si>
  <si>
    <t xml:space="preserve"> pemone</t>
  </si>
  <si>
    <t>ORDER BY pebcop;</t>
  </si>
  <si>
    <t>-- 6. Totales generales</t>
  </si>
  <si>
    <t xml:space="preserve">  SUM(CASE WHEN pemone = '840' THEN penet3 ELSE 0 END) AS total_general_dolares</t>
  </si>
  <si>
    <t xml:space="preserve">  SUM(CASE WHEN pemone &lt;&gt; '840' THEN penet3 ELSE 0 END) AS total_general_soles</t>
  </si>
  <si>
    <t>FROM `project.dataset.reporte_abonos_pendientes`;</t>
  </si>
  <si>
    <t>-- Nota: En BigQuery no se imprimen reportes como en AS400</t>
  </si>
  <si>
    <t xml:space="preserve"> se generan tablas o vistas intermedias.</t>
  </si>
  <si>
    <t>-- Si quieres generar archivos</t>
  </si>
  <si>
    <t xml:space="preserve"> puedes exportar los resultados como CSV o crear dashboards.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</si>
  <si>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</si>
  <si>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</si>
  <si>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</si>
  <si>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</si>
  <si>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H*************************  INICIO  ***********************************                        </t>
  </si>
  <si>
    <t>10/10/04</t>
  </si>
  <si>
    <t>0002.00</t>
  </si>
  <si>
    <t xml:space="preserve">     H*  APLICACION : TARJETAS DE CREDITO - MC PERU                                                 </t>
  </si>
  <si>
    <t>0003.00</t>
  </si>
  <si>
    <t xml:space="preserve">     H*  PROGRAMA   : IZPA011                        ALIAS :IZPA011                                 </t>
  </si>
  <si>
    <t>20/09/03</t>
  </si>
  <si>
    <t>0003.01</t>
  </si>
  <si>
    <t xml:space="preserve">     H*  REQ        : 988                                                                           </t>
  </si>
  <si>
    <t>0004.00</t>
  </si>
  <si>
    <t xml:space="preserve">     H*  AUTOR      : TR7487 - Daniel Mejias                                                        </t>
  </si>
  <si>
    <t>20/08/13</t>
  </si>
  <si>
    <t>0005.00</t>
  </si>
  <si>
    <t xml:space="preserve">     H*  FUNCION    : Izipay- Reporte de Abonos Acumulados Pendientes de                            </t>
  </si>
  <si>
    <t>0006.00</t>
  </si>
  <si>
    <t xml:space="preserve">     H*                       Envio                                                                 </t>
  </si>
  <si>
    <t>0006.01</t>
  </si>
  <si>
    <t xml:space="preserve">     ******************** CONTROL DE CAMBIOS *******************************                        </t>
  </si>
  <si>
    <t>0008.00</t>
  </si>
  <si>
    <t xml:space="preserve">     H*  CAMBIOS    :    TAREA   FECHA  AUTOR    MOTIVO                                             </t>
  </si>
  <si>
    <t>0009.00</t>
  </si>
  <si>
    <t>0038.00</t>
  </si>
  <si>
    <t xml:space="preserve">     H*************************  FINAL  ************************************                        </t>
  </si>
  <si>
    <t>0039.00</t>
  </si>
  <si>
    <t xml:space="preserve">     hdatedit(*dmy)  fixnbr(*zoned:*inputpacked)                                                    </t>
  </si>
  <si>
    <t>0040.00</t>
  </si>
  <si>
    <t xml:space="preserve">     fmcft003   if   e             disk                                                             </t>
  </si>
  <si>
    <t>0041.00</t>
  </si>
  <si>
    <t xml:space="preserve">     fmcft044T  if a e           k disk                                                             </t>
  </si>
  <si>
    <t>0042.00</t>
  </si>
  <si>
    <t xml:space="preserve">     fmcfv004   if   e           k disk                                                             </t>
  </si>
  <si>
    <t>0043.00</t>
  </si>
  <si>
    <t xml:space="preserve">     fmcfv075   if   e           k disk                                                             </t>
  </si>
  <si>
    <t>0044.00</t>
  </si>
  <si>
    <t xml:space="preserve">     fmcfm019   if   e           k disk                                                             </t>
  </si>
  <si>
    <t>0044.01</t>
  </si>
  <si>
    <t xml:space="preserve">     fmcfv017   if   e           k disk                                                             </t>
  </si>
  <si>
    <t>17/01/02</t>
  </si>
  <si>
    <t>0045.00</t>
  </si>
  <si>
    <t xml:space="preserve">     fqsysprt   o    f  256        printer oflind(*inov)                                            </t>
  </si>
  <si>
    <t>0046.00</t>
  </si>
  <si>
    <t xml:space="preserve">     d*-                                                                                            </t>
  </si>
  <si>
    <t>0047.00</t>
  </si>
  <si>
    <t xml:space="preserve">     d rcursor       e ds                  extname(mcft044T)                                        </t>
  </si>
  <si>
    <t>0048.00</t>
  </si>
  <si>
    <t>0049.00</t>
  </si>
  <si>
    <t xml:space="preserve">     d                sds                                                                           </t>
  </si>
  <si>
    <t>0050.00</t>
  </si>
  <si>
    <t xml:space="preserve">     d pgid              *proc                                                                      </t>
  </si>
  <si>
    <t>0051.00</t>
  </si>
  <si>
    <t xml:space="preserve">      *                                                                                             </t>
  </si>
  <si>
    <t>0052.00</t>
  </si>
  <si>
    <t xml:space="preserve">     d tit             s             80    dim(9) ctdata perrcd(1)                                  </t>
  </si>
  <si>
    <t>0053.00</t>
  </si>
  <si>
    <t xml:space="preserve">     d*                                                                                             </t>
  </si>
  <si>
    <t>0054.00</t>
  </si>
  <si>
    <t xml:space="preserve">     d   korg          s              3p 0 inz(105)                                                 </t>
  </si>
  <si>
    <t>0055.00</t>
  </si>
  <si>
    <t xml:space="preserve">     d   kcta          s              9p 0                                                          </t>
  </si>
  <si>
    <t>0056.00</t>
  </si>
  <si>
    <t xml:space="preserve">     d   ksec          s              2  0 inz(01)                                                  </t>
  </si>
  <si>
    <t>0057.00</t>
  </si>
  <si>
    <t>0057.01</t>
  </si>
  <si>
    <t xml:space="preserve">     d   dia           s              2  0                                                          </t>
  </si>
  <si>
    <t>0057.02</t>
  </si>
  <si>
    <t xml:space="preserve">     d   mes           s              2  0                                                          </t>
  </si>
  <si>
    <t>0057.03</t>
  </si>
  <si>
    <t xml:space="preserve">     d   anio          s              4  0                                                          </t>
  </si>
  <si>
    <t>0057.04</t>
  </si>
  <si>
    <t xml:space="preserve">     d   CIA           s              2  0 inz(99)                                                  </t>
  </si>
  <si>
    <t>0057.05</t>
  </si>
  <si>
    <t xml:space="preserve">     d   SUCURSAL      s              3  0 inz(1)                                                   </t>
  </si>
  <si>
    <t>0057.06</t>
  </si>
  <si>
    <t xml:space="preserve">     d   MONEDAC       s              2  0 inz(2)                                                   </t>
  </si>
  <si>
    <t>0057.07</t>
  </si>
  <si>
    <t xml:space="preserve">     d   PROMEDIO      s              2  0 inz(2)                                                   </t>
  </si>
  <si>
    <t>0057.08</t>
  </si>
  <si>
    <t xml:space="preserve">     d   tipoCambio    s              5  3                                                          </t>
  </si>
  <si>
    <t>0057.09</t>
  </si>
  <si>
    <t xml:space="preserve">     d   montoSoles    s             15  2                                                          </t>
  </si>
  <si>
    <t>0057.10</t>
  </si>
  <si>
    <t xml:space="preserve">     d   tituloRpt     s             11A                                                            </t>
  </si>
  <si>
    <t>0058.00</t>
  </si>
  <si>
    <t xml:space="preserve">     c***************************************************************                               </t>
  </si>
  <si>
    <t>0059.00</t>
  </si>
  <si>
    <t xml:space="preserve">     c*                                                                                             </t>
  </si>
  <si>
    <t>0060.00</t>
  </si>
  <si>
    <t>0061.00</t>
  </si>
  <si>
    <t xml:space="preserve">     c* carga                                                                                       </t>
  </si>
  <si>
    <t>0061.01</t>
  </si>
  <si>
    <t xml:space="preserve">     c*                  if        %trim(ptotal) &lt;&gt; 'TOT'                                           </t>
  </si>
  <si>
    <t>20/08/12</t>
  </si>
  <si>
    <t>0062.00</t>
  </si>
  <si>
    <t xml:space="preserve">     c*                  clear                   rmcft044                                           </t>
  </si>
  <si>
    <t>0063.00</t>
  </si>
  <si>
    <t xml:space="preserve">     c*                  read      mcft003                                31                        </t>
  </si>
  <si>
    <t>0064.00</t>
  </si>
  <si>
    <t xml:space="preserve">     c*                  dow       not *in31                                                        </t>
  </si>
  <si>
    <t>0065.00</t>
  </si>
  <si>
    <t xml:space="preserve">     c*                  if        petpag = ptpag and pectra &gt;= 71                                  </t>
  </si>
  <si>
    <t>0066.00</t>
  </si>
  <si>
    <t xml:space="preserve">     c*                                           and pectra &lt;= 78                                  </t>
  </si>
  <si>
    <t>0067.00</t>
  </si>
  <si>
    <t xml:space="preserve">     c*                  z-add     penet2        penet3                                             </t>
  </si>
  <si>
    <t>0068.00</t>
  </si>
  <si>
    <t xml:space="preserve">     c*                  z-add     pefabo        pefabr                                             </t>
  </si>
  <si>
    <t>0069.00</t>
  </si>
  <si>
    <t xml:space="preserve">     c*                  write     rmcft044                                                         </t>
  </si>
  <si>
    <t>0070.00</t>
  </si>
  <si>
    <t xml:space="preserve">     c*                  endif                                                                      </t>
  </si>
  <si>
    <t>0071.00</t>
  </si>
  <si>
    <t>0072.00</t>
  </si>
  <si>
    <t>0073.00</t>
  </si>
  <si>
    <t xml:space="preserve">     c*                  enddo                                                                      </t>
  </si>
  <si>
    <t>0073.01</t>
  </si>
  <si>
    <t>0074.00</t>
  </si>
  <si>
    <t xml:space="preserve">     c* reporte                                                                                     </t>
  </si>
  <si>
    <t>0075.00</t>
  </si>
  <si>
    <t xml:space="preserve">     c                   exsr      imprime                                                          </t>
  </si>
  <si>
    <t>0076.00</t>
  </si>
  <si>
    <t>0077.00</t>
  </si>
  <si>
    <t xml:space="preserve">     c                   seton                                        lr                            </t>
  </si>
  <si>
    <t>0078.00</t>
  </si>
  <si>
    <t xml:space="preserve">     c                   return                                                                     </t>
  </si>
  <si>
    <t>0078.01</t>
  </si>
  <si>
    <t xml:space="preserve">     c*----------------------------------------------------------                                   </t>
  </si>
  <si>
    <t>0078.02</t>
  </si>
  <si>
    <t xml:space="preserve">     c*  OBTIENE FECHA PARA TIPO CAMBIO                                                             </t>
  </si>
  <si>
    <t>0078.03</t>
  </si>
  <si>
    <t>0078.04</t>
  </si>
  <si>
    <t xml:space="preserve">     c     sbrFecCambio  begsr                                                                      </t>
  </si>
  <si>
    <t>0078.05</t>
  </si>
  <si>
    <t xml:space="preserve">     c                   eval      dia = %dec(%subst(pfdia:1:2):2:0)                                </t>
  </si>
  <si>
    <t>0078.06</t>
  </si>
  <si>
    <t xml:space="preserve">     c                   eval      mes = %dec(%subst(pfdia:3:2):2:0)                                </t>
  </si>
  <si>
    <t>0078.07</t>
  </si>
  <si>
    <t xml:space="preserve">     c                   eval      anio =%dec(%subst(pfdia:5:4):4:0)                                </t>
  </si>
  <si>
    <t>0078.08</t>
  </si>
  <si>
    <t xml:space="preserve">     c                   endsr                                                                      </t>
  </si>
  <si>
    <t>0078.09</t>
  </si>
  <si>
    <t>0078.10</t>
  </si>
  <si>
    <t xml:space="preserve">     c*  OBTIENE TIPO CAMBIO VENTA                                                                  </t>
  </si>
  <si>
    <t>0078.11</t>
  </si>
  <si>
    <t>0078.12</t>
  </si>
  <si>
    <t xml:space="preserve">     c     sbrTipoCambio begsr                                                                      </t>
  </si>
  <si>
    <t>0078.13</t>
  </si>
  <si>
    <t xml:space="preserve">     c     kv017         chain     MCFV017                                                          </t>
  </si>
  <si>
    <t>0078.14</t>
  </si>
  <si>
    <t xml:space="preserve">     c                   if        %found()                                                         </t>
  </si>
  <si>
    <t>0078.15</t>
  </si>
  <si>
    <t xml:space="preserve">     c                   eval      tipoCambio  = OVVEN                                              </t>
  </si>
  <si>
    <t>0078.16</t>
  </si>
  <si>
    <t xml:space="preserve">     c                   else                                                                       </t>
  </si>
  <si>
    <t>0078.17</t>
  </si>
  <si>
    <t xml:space="preserve">     c     kv017         setgt     MCFV017                                                          </t>
  </si>
  <si>
    <t>0078.18</t>
  </si>
  <si>
    <t xml:space="preserve">     c                   readp     MCFV017                                                          </t>
  </si>
  <si>
    <t>0078.19</t>
  </si>
  <si>
    <t>0078.20</t>
  </si>
  <si>
    <t xml:space="preserve">     c                   endif                                                                      </t>
  </si>
  <si>
    <t>0078.21</t>
  </si>
  <si>
    <t>0079.00</t>
  </si>
  <si>
    <t>0080.00</t>
  </si>
  <si>
    <t>0081.00</t>
  </si>
  <si>
    <t>0082.00</t>
  </si>
  <si>
    <t xml:space="preserve">     c     imprime       begsr                                                                      </t>
  </si>
  <si>
    <t>0083.00</t>
  </si>
  <si>
    <t xml:space="preserve">     c                   reset                   rcursor                                            </t>
  </si>
  <si>
    <t>0084.00</t>
  </si>
  <si>
    <t xml:space="preserve">     c/Exec Sql                                                                                     </t>
  </si>
  <si>
    <t>0085.00</t>
  </si>
  <si>
    <t xml:space="preserve">     c+ declare fcursor scroll cursor for MySQL                                                     </t>
  </si>
  <si>
    <t>0086.00</t>
  </si>
  <si>
    <t xml:space="preserve">     c/End-Exec                                                                                     </t>
  </si>
  <si>
    <t>0087.00</t>
  </si>
  <si>
    <t xml:space="preserve">     c                   move      *blanks       sqlstr          500                                </t>
  </si>
  <si>
    <t>0088.00</t>
  </si>
  <si>
    <t xml:space="preserve">     c                   eval      sqlstr = 'select * from mcft044T -                               </t>
  </si>
  <si>
    <t>20/08/14</t>
  </si>
  <si>
    <t>0089.00</t>
  </si>
  <si>
    <t xml:space="preserve">     c                             where petpag = ''' + ptpag + ''' and  -                          </t>
  </si>
  <si>
    <t>0090.00</t>
  </si>
  <si>
    <t xml:space="preserve">     c                             pesitu = '' '' and pescot = ' + wpescot +' -                     </t>
  </si>
  <si>
    <t>0091.00</t>
  </si>
  <si>
    <t xml:space="preserve">     c                                        order by pebcop, pemone '                             </t>
  </si>
  <si>
    <t>0092.00</t>
  </si>
  <si>
    <t>0093.00</t>
  </si>
  <si>
    <t xml:space="preserve">     c+ PREPARE MySQL FROM :sqlstr                                                                  </t>
  </si>
  <si>
    <t>0094.00</t>
  </si>
  <si>
    <t>0095.00</t>
  </si>
  <si>
    <t>0096.00</t>
  </si>
  <si>
    <t>0097.00</t>
  </si>
  <si>
    <t xml:space="preserve">     c+ close fcursor                                                                               </t>
  </si>
  <si>
    <t>0098.00</t>
  </si>
  <si>
    <t>0099.00</t>
  </si>
  <si>
    <t>0100.00</t>
  </si>
  <si>
    <t>0101.00</t>
  </si>
  <si>
    <t xml:space="preserve">     c+ open fcursor                                                                                </t>
  </si>
  <si>
    <t>0102.00</t>
  </si>
  <si>
    <t>0103.00</t>
  </si>
  <si>
    <t>0104.00</t>
  </si>
  <si>
    <t xml:space="preserve">      * Obtiene un registro desde el cursor                                                         </t>
  </si>
  <si>
    <t>0105.00</t>
  </si>
  <si>
    <t>0106.00</t>
  </si>
  <si>
    <t xml:space="preserve">     c+ fetch next from fcursor into :rcursor                                                       </t>
  </si>
  <si>
    <t>0107.00</t>
  </si>
  <si>
    <t>0108.00</t>
  </si>
  <si>
    <t xml:space="preserve">     c                                                                                              </t>
  </si>
  <si>
    <t>0109.00</t>
  </si>
  <si>
    <t xml:space="preserve">     c                   dow       sqlcod &lt;&gt; 100 and sqlcod &gt;= 0                                    </t>
  </si>
  <si>
    <t>0109.01</t>
  </si>
  <si>
    <t xml:space="preserve">     c                   if        %trim(ptotal) &lt;&gt; 'TOT'                                           </t>
  </si>
  <si>
    <t>17/01/03</t>
  </si>
  <si>
    <t>0110.00</t>
  </si>
  <si>
    <t xml:space="preserve">     c                   if        wbcop = 0                                                        </t>
  </si>
  <si>
    <t>0111.00</t>
  </si>
  <si>
    <t xml:space="preserve">     c                   exsr      titbco                                                           </t>
  </si>
  <si>
    <t>0112.00</t>
  </si>
  <si>
    <t>0112.01</t>
  </si>
  <si>
    <t xml:space="preserve">     c                   eval      montoSoles = *Zeros                                              </t>
  </si>
  <si>
    <t>0112.02</t>
  </si>
  <si>
    <t xml:space="preserve">     c                   if        pemone = '840'                                                   </t>
  </si>
  <si>
    <t>0112.03</t>
  </si>
  <si>
    <t xml:space="preserve">     c                   eval      montoSoles = tipoCambio * penet3                                 </t>
  </si>
  <si>
    <t>0112.04</t>
  </si>
  <si>
    <t>0112.05</t>
  </si>
  <si>
    <t xml:space="preserve">     c                   eval      montoSoles = penet3                                              </t>
  </si>
  <si>
    <t>0112.06</t>
  </si>
  <si>
    <t>0113.00</t>
  </si>
  <si>
    <t xml:space="preserve">     c*-                                                                                            </t>
  </si>
  <si>
    <t>0114.00</t>
  </si>
  <si>
    <t xml:space="preserve">     c                   select                                                                     </t>
  </si>
  <si>
    <t>0114.01</t>
  </si>
  <si>
    <t xml:space="preserve">     c                   when      pebcop &lt;&gt; wbcop                                                  </t>
  </si>
  <si>
    <t>0114.04</t>
  </si>
  <si>
    <t>0125.00</t>
  </si>
  <si>
    <t xml:space="preserve">     c                   endsl                                                                      </t>
  </si>
  <si>
    <t>0126.00</t>
  </si>
  <si>
    <t>0127.00</t>
  </si>
  <si>
    <t xml:space="preserve">     c                   movel     *blanks       xnom             30                                </t>
  </si>
  <si>
    <t>0128.00</t>
  </si>
  <si>
    <t xml:space="preserve">     c                   z-add     pecest        kcta                                               </t>
  </si>
  <si>
    <t>0129.00</t>
  </si>
  <si>
    <t xml:space="preserve">     c     pecest        chain     mcfm019                            28                            </t>
  </si>
  <si>
    <t>0130.00</t>
  </si>
  <si>
    <t xml:space="preserve">     c  n28              movel(p)  mechqn        xnom                                               </t>
  </si>
  <si>
    <t>0131.00</t>
  </si>
  <si>
    <t xml:space="preserve">     c  n28              if        xnom = ' '                                                       </t>
  </si>
  <si>
    <t>0132.00</t>
  </si>
  <si>
    <t xml:space="preserve">     c                   movel(p)  mersoc        xnom                                               </t>
  </si>
  <si>
    <t>0133.00</t>
  </si>
  <si>
    <t>0133.01</t>
  </si>
  <si>
    <t>0134.00</t>
  </si>
  <si>
    <t xml:space="preserve">     c*z                 if        *inov                                                            </t>
  </si>
  <si>
    <t>0135.00</t>
  </si>
  <si>
    <t xml:space="preserve">     c*z                 except    titu1                                                            </t>
  </si>
  <si>
    <t>0136.00</t>
  </si>
  <si>
    <t xml:space="preserve">     c*z                 except    tbco                                                             </t>
  </si>
  <si>
    <t>0137.00</t>
  </si>
  <si>
    <t xml:space="preserve">     c*z                 endif                                                                      </t>
  </si>
  <si>
    <t>0138.00</t>
  </si>
  <si>
    <t xml:space="preserve">     c                   except    detail                                                           </t>
  </si>
  <si>
    <t>0138.01</t>
  </si>
  <si>
    <t>0138.02</t>
  </si>
  <si>
    <t>0138.03</t>
  </si>
  <si>
    <t>0138.04</t>
  </si>
  <si>
    <t>0138.05</t>
  </si>
  <si>
    <t>0138.06</t>
  </si>
  <si>
    <t>0138.07</t>
  </si>
  <si>
    <t xml:space="preserve">     c                   exsr      totbco                                                           </t>
  </si>
  <si>
    <t>0138.08</t>
  </si>
  <si>
    <t xml:space="preserve">     c                   if        wmone = '604'                                                    </t>
  </si>
  <si>
    <t>0138.09</t>
  </si>
  <si>
    <t xml:space="preserve">     c                   except    zbcod                                                            </t>
  </si>
  <si>
    <t>0138.10</t>
  </si>
  <si>
    <t>0138.11</t>
  </si>
  <si>
    <t xml:space="preserve">     c                   except    zbcol                                                            </t>
  </si>
  <si>
    <t>0138.12</t>
  </si>
  <si>
    <t>0138.13</t>
  </si>
  <si>
    <t xml:space="preserve">     c                   when      pemone &lt;&gt; wmone                                                  </t>
  </si>
  <si>
    <t>0138.14</t>
  </si>
  <si>
    <t>0138.15</t>
  </si>
  <si>
    <t>0138.16</t>
  </si>
  <si>
    <t>0139.00</t>
  </si>
  <si>
    <t>0140.00</t>
  </si>
  <si>
    <t xml:space="preserve">     c     pemone        comp      '840'                                  91                        </t>
  </si>
  <si>
    <t>0141.00</t>
  </si>
  <si>
    <t xml:space="preserve">     c  n91              add       penet3        ibsol            11 2                              </t>
  </si>
  <si>
    <t>0142.00</t>
  </si>
  <si>
    <t xml:space="preserve">     c  n91              add       penet3        igsol            11 2                              </t>
  </si>
  <si>
    <t>0144.00</t>
  </si>
  <si>
    <t xml:space="preserve">     c  n91              add       1             qbsol             7 0                              </t>
  </si>
  <si>
    <t>0145.00</t>
  </si>
  <si>
    <t xml:space="preserve">     c  n91              add       1             qgsol             7 0                              </t>
  </si>
  <si>
    <t>0147.00</t>
  </si>
  <si>
    <t xml:space="preserve">     c   91              add       penet3        ibdol            11 2                              </t>
  </si>
  <si>
    <t>0148.00</t>
  </si>
  <si>
    <t xml:space="preserve">     c   91              add       penet3        igdol            11 2                              </t>
  </si>
  <si>
    <t>0150.00</t>
  </si>
  <si>
    <t xml:space="preserve">     c   91              add       1             qbdol             7 0                              </t>
  </si>
  <si>
    <t>0151.00</t>
  </si>
  <si>
    <t xml:space="preserve">     c   91              add       1             qgdol             7 0                              </t>
  </si>
  <si>
    <t>0151.01</t>
  </si>
  <si>
    <t>0153.00</t>
  </si>
  <si>
    <t>0154.00</t>
  </si>
  <si>
    <t>0155.00</t>
  </si>
  <si>
    <t>0156.00</t>
  </si>
  <si>
    <t>0157.00</t>
  </si>
  <si>
    <t xml:space="preserve">     c                   enddo                                                                      </t>
  </si>
  <si>
    <t>0158.00</t>
  </si>
  <si>
    <t>0159.00</t>
  </si>
  <si>
    <t>0160.00</t>
  </si>
  <si>
    <t xml:space="preserve">     c* Cierre del cursor                                                                           </t>
  </si>
  <si>
    <t>0161.00</t>
  </si>
  <si>
    <t>0162.00</t>
  </si>
  <si>
    <t>0163.00</t>
  </si>
  <si>
    <t>0164.00</t>
  </si>
  <si>
    <t>0164.01</t>
  </si>
  <si>
    <t xml:space="preserve">     c                   if        ptotal = 'TOT'                                                   </t>
  </si>
  <si>
    <t>0165.00</t>
  </si>
  <si>
    <t>0165.01</t>
  </si>
  <si>
    <t xml:space="preserve">     c                   if        qbdol  = 0 and qbsol &gt; 0                                         </t>
  </si>
  <si>
    <t>0165.02</t>
  </si>
  <si>
    <t>0165.03</t>
  </si>
  <si>
    <t>0168.00</t>
  </si>
  <si>
    <t xml:space="preserve">     c                   except    zgen                                                             </t>
  </si>
  <si>
    <t>0168.03</t>
  </si>
  <si>
    <t>0169.00</t>
  </si>
  <si>
    <t>0170.00</t>
  </si>
  <si>
    <t>0171.00</t>
  </si>
  <si>
    <t>0172.00</t>
  </si>
  <si>
    <t>0173.00</t>
  </si>
  <si>
    <t>0174.00</t>
  </si>
  <si>
    <t xml:space="preserve">     c     titbco        begsr                                                                      </t>
  </si>
  <si>
    <t>0175.00</t>
  </si>
  <si>
    <t>0176.00</t>
  </si>
  <si>
    <t xml:space="preserve">     c                   movel     pefabo        wfabox           10                                </t>
  </si>
  <si>
    <t>0177.00</t>
  </si>
  <si>
    <t xml:space="preserve">     c                   eval      wfabox = %subst(wfabox:7:2) + '/'                                </t>
  </si>
  <si>
    <t>0178.00</t>
  </si>
  <si>
    <t xml:space="preserve">     c                                    + %subst(wfabox:5:2) + '/'                                </t>
  </si>
  <si>
    <t>0179.00</t>
  </si>
  <si>
    <t xml:space="preserve">     c                                    + %subst(wfabox:1:4)                                      </t>
  </si>
  <si>
    <t>0180.00</t>
  </si>
  <si>
    <t>0180.01</t>
  </si>
  <si>
    <t xml:space="preserve">     c                   move      *blanks       nban             12                                </t>
  </si>
  <si>
    <t>0181.00</t>
  </si>
  <si>
    <t xml:space="preserve">     c     pebcop        chain     mcfv004                            33                            </t>
  </si>
  <si>
    <t>0182.00</t>
  </si>
  <si>
    <t xml:space="preserve">     c  n33              movel(p)  badeco        nban                                               </t>
  </si>
  <si>
    <t>0184.00</t>
  </si>
  <si>
    <t>0184.01</t>
  </si>
  <si>
    <t xml:space="preserve">     c                   z-add     pebcop        wbcop             3 0                              </t>
  </si>
  <si>
    <t>0185.00</t>
  </si>
  <si>
    <t xml:space="preserve">     c                   movel     pemone        wmone             3                                </t>
  </si>
  <si>
    <t>0188.00</t>
  </si>
  <si>
    <t>0189.00</t>
  </si>
  <si>
    <t>0190.00</t>
  </si>
  <si>
    <t>0191.00</t>
  </si>
  <si>
    <t>0192.00</t>
  </si>
  <si>
    <t xml:space="preserve">     c     totbco        begsr                                                                      </t>
  </si>
  <si>
    <t>0193.00</t>
  </si>
  <si>
    <t>0193.01</t>
  </si>
  <si>
    <t xml:space="preserve">     c                   if        wmone ='604'                                                     </t>
  </si>
  <si>
    <t>0194.00</t>
  </si>
  <si>
    <t xml:space="preserve">     c                   except    zbco                                                             </t>
  </si>
  <si>
    <t>0194.01</t>
  </si>
  <si>
    <t>0194.02</t>
  </si>
  <si>
    <t xml:space="preserve">     c                   if        qbsol =0                                                         </t>
  </si>
  <si>
    <t>0194.03</t>
  </si>
  <si>
    <t>0194.04</t>
  </si>
  <si>
    <t>0194.05</t>
  </si>
  <si>
    <t>0194.06</t>
  </si>
  <si>
    <t>0195.00</t>
  </si>
  <si>
    <t>0195.01</t>
  </si>
  <si>
    <t xml:space="preserve">     c                   if        pebcop &lt;&gt; wbcop                                                  </t>
  </si>
  <si>
    <t>0196.00</t>
  </si>
  <si>
    <t xml:space="preserve">     c                   z-add     0             ibsol                                              </t>
  </si>
  <si>
    <t>0197.00</t>
  </si>
  <si>
    <t xml:space="preserve">     c                   z-add     0             ibdol                                              </t>
  </si>
  <si>
    <t>0198.00</t>
  </si>
  <si>
    <t xml:space="preserve">     c                   z-add     0             qbsol                                              </t>
  </si>
  <si>
    <t>0199.00</t>
  </si>
  <si>
    <t xml:space="preserve">     c                   z-add     0             qbdol                                              </t>
  </si>
  <si>
    <t>0199.01</t>
  </si>
  <si>
    <t>0200.00</t>
  </si>
  <si>
    <t>0201.00</t>
  </si>
  <si>
    <t xml:space="preserve">     c*                  except    titu1                                                            </t>
  </si>
  <si>
    <t>0202.00</t>
  </si>
  <si>
    <t>0217.00</t>
  </si>
  <si>
    <t>0218.00</t>
  </si>
  <si>
    <t>0219.00</t>
  </si>
  <si>
    <t>0220.00</t>
  </si>
  <si>
    <t xml:space="preserve">     c     *inzsr        begsr                                                                      </t>
  </si>
  <si>
    <t>0221.00</t>
  </si>
  <si>
    <t xml:space="preserve">     c     *entry        plist                                                                      </t>
  </si>
  <si>
    <t>0222.00</t>
  </si>
  <si>
    <t xml:space="preserve">     c                   parm                    pfdia             8                                </t>
  </si>
  <si>
    <t>0223.00</t>
  </si>
  <si>
    <t xml:space="preserve">     c                   parm                    ptpag             3                                </t>
  </si>
  <si>
    <t>0223.01</t>
  </si>
  <si>
    <t xml:space="preserve">     c                   parm                    ptotal            3                                </t>
  </si>
  <si>
    <t>0223.02</t>
  </si>
  <si>
    <t xml:space="preserve">     c                   parm                    wpescot           3                                </t>
  </si>
  <si>
    <t>0224.00</t>
  </si>
  <si>
    <t xml:space="preserve">     c     kv075         klist                                                                      </t>
  </si>
  <si>
    <t>0225.00</t>
  </si>
  <si>
    <t xml:space="preserve">     c                   kfld                    pgtipo                                             </t>
  </si>
  <si>
    <t>0226.00</t>
  </si>
  <si>
    <t xml:space="preserve">     c                   kfld                    pgcodi                                             </t>
  </si>
  <si>
    <t>0227.00</t>
  </si>
  <si>
    <t>0227.01</t>
  </si>
  <si>
    <t xml:space="preserve">     c     kv017         klist                                                                      </t>
  </si>
  <si>
    <t>0227.02</t>
  </si>
  <si>
    <t xml:space="preserve">     c                   kfld                    CIA                                                </t>
  </si>
  <si>
    <t>0227.03</t>
  </si>
  <si>
    <t xml:space="preserve">     c                   kfld                    SUCURSAL                                           </t>
  </si>
  <si>
    <t>0227.04</t>
  </si>
  <si>
    <t xml:space="preserve">     C                   kfld                    MONEDAC                                            </t>
  </si>
  <si>
    <t>0227.05</t>
  </si>
  <si>
    <t xml:space="preserve">     C                   kfld                    PROMEDIO                                           </t>
  </si>
  <si>
    <t>0227.06</t>
  </si>
  <si>
    <t xml:space="preserve">     C                   kfld                    anio                                               </t>
  </si>
  <si>
    <t>0227.07</t>
  </si>
  <si>
    <t xml:space="preserve">     C                   kfld                    mes                                                </t>
  </si>
  <si>
    <t>0227.08</t>
  </si>
  <si>
    <t xml:space="preserve">     C                   kfld                    dia                                                </t>
  </si>
  <si>
    <t>0227.09</t>
  </si>
  <si>
    <t xml:space="preserve">     C*-                                                                                            </t>
  </si>
  <si>
    <t>0228.00</t>
  </si>
  <si>
    <t xml:space="preserve">     c     ptpag         comp      'ACC'                                  81                        </t>
  </si>
  <si>
    <t>0228.01</t>
  </si>
  <si>
    <t xml:space="preserve">     c     ptotal        comp      'TOT'                                  83                        </t>
  </si>
  <si>
    <t>17/01/04</t>
  </si>
  <si>
    <t>0229.00</t>
  </si>
  <si>
    <t>0230.00</t>
  </si>
  <si>
    <t xml:space="preserve">     c                   movel     pfdia         wfdia            10                                </t>
  </si>
  <si>
    <t>0231.00</t>
  </si>
  <si>
    <t xml:space="preserve">     c                   eval      wfdia = %subst(wfdia:1:2) + '/'                                  </t>
  </si>
  <si>
    <t>0232.00</t>
  </si>
  <si>
    <t xml:space="preserve">     c                                   + %subst(wfdia:3:2) + '/'                                  </t>
  </si>
  <si>
    <t>0233.00</t>
  </si>
  <si>
    <t xml:space="preserve">     c                                   + %subst(wfdia:5:4)                                        </t>
  </si>
  <si>
    <t>0234.00</t>
  </si>
  <si>
    <t>0235.00</t>
  </si>
  <si>
    <t xml:space="preserve">     c                   time                    hora_fecha       14 0                              </t>
  </si>
  <si>
    <t>0236.00</t>
  </si>
  <si>
    <t xml:space="preserve">     c                   movel     hora_fecha    hora              6 0                              </t>
  </si>
  <si>
    <t>0237.00</t>
  </si>
  <si>
    <t xml:space="preserve">     c                   z-add     *date         fecha             8 0                              </t>
  </si>
  <si>
    <t>0238.00</t>
  </si>
  <si>
    <t>0239.00</t>
  </si>
  <si>
    <t xml:space="preserve">     c                   movel(p)  'EMP'         pgtipo                                             </t>
  </si>
  <si>
    <t>0240.00</t>
  </si>
  <si>
    <t xml:space="preserve">     c                   movel(p)  'RZS'         pgcodi                                             </t>
  </si>
  <si>
    <t>0241.00</t>
  </si>
  <si>
    <t xml:space="preserve">     c     kv075         chain     mcfv075                            30                            </t>
  </si>
  <si>
    <t>0242.00</t>
  </si>
  <si>
    <t xml:space="preserve">     c  n30              movel(p)  pgdesc        t1empr           35                                </t>
  </si>
  <si>
    <t>0243.00</t>
  </si>
  <si>
    <t>0244.00</t>
  </si>
  <si>
    <t xml:space="preserve">     c                   movel(p)  'SOFT'        pgcodi                                             </t>
  </si>
  <si>
    <t>0245.00</t>
  </si>
  <si>
    <t>0246.00</t>
  </si>
  <si>
    <t xml:space="preserve">     c  n30              movel     pgdesc        t1soft           20                                </t>
  </si>
  <si>
    <t>0247.00</t>
  </si>
  <si>
    <t>0248.00</t>
  </si>
  <si>
    <t xml:space="preserve">     c                   move      *all'-'       linea           182                                </t>
  </si>
  <si>
    <t>0248.01</t>
  </si>
  <si>
    <t xml:space="preserve">     c                   exsr      sbrFecCambio                                                     </t>
  </si>
  <si>
    <t>0248.02</t>
  </si>
  <si>
    <t xml:space="preserve">     c                   exsr      sbrTipoCambio                                                    </t>
  </si>
  <si>
    <t>0248.03</t>
  </si>
  <si>
    <t xml:space="preserve">     c                   eval      tituloRpt = ptpag + ' ' + ptotal + ' ' +                         </t>
  </si>
  <si>
    <t>0248.04</t>
  </si>
  <si>
    <t xml:space="preserve">     c                                         wpescot                                              </t>
  </si>
  <si>
    <t>0249.00</t>
  </si>
  <si>
    <t xml:space="preserve">     c                   except    titu1                                                            </t>
  </si>
  <si>
    <t>17/01/05</t>
  </si>
  <si>
    <t>0250.00</t>
  </si>
  <si>
    <t>0251.00</t>
  </si>
  <si>
    <t xml:space="preserve">     o*----------------------------------------------------------                                   </t>
  </si>
  <si>
    <t>0252.00</t>
  </si>
  <si>
    <t xml:space="preserve">     o*                                                                                             </t>
  </si>
  <si>
    <t>0253.00</t>
  </si>
  <si>
    <t>0254.00</t>
  </si>
  <si>
    <t xml:space="preserve">     oqsysprt   e            titu1          1 01                                                    </t>
  </si>
  <si>
    <t>0255.00</t>
  </si>
  <si>
    <t xml:space="preserve">     o                       t1empr              35                                                 </t>
  </si>
  <si>
    <t>0256.00</t>
  </si>
  <si>
    <t xml:space="preserve">     o                                          155 'FECHA:'                                        </t>
  </si>
  <si>
    <t>0257.00</t>
  </si>
  <si>
    <t xml:space="preserve">     o                       fecha              166 '  /  /    '                                    </t>
  </si>
  <si>
    <t>0258.00</t>
  </si>
  <si>
    <t xml:space="preserve">     o                                          173 'HORA:'                                         </t>
  </si>
  <si>
    <t>0259.00</t>
  </si>
  <si>
    <t xml:space="preserve">     o                       hora               182 '  :  :  '                                      </t>
  </si>
  <si>
    <t>0260.00</t>
  </si>
  <si>
    <t xml:space="preserve">     o          e            titu1          1                                                       </t>
  </si>
  <si>
    <t>0261.00</t>
  </si>
  <si>
    <t xml:space="preserve">     o                       pgid                10                                                 </t>
  </si>
  <si>
    <t>0262.00</t>
  </si>
  <si>
    <t xml:space="preserve">     o                       tituloRpt                                                              </t>
  </si>
  <si>
    <t>0263.00</t>
  </si>
  <si>
    <t xml:space="preserve">     o                                           87 'PAGOS ACUMULADOS PENDIENTE'                    </t>
  </si>
  <si>
    <t>0264.00</t>
  </si>
  <si>
    <t xml:space="preserve">     o               81                         108 'S DE ABONAR EN CUENTA'                         </t>
  </si>
  <si>
    <t>0265.00</t>
  </si>
  <si>
    <t xml:space="preserve">     o              n81                         108 'S DE EMITIR CHEQUES  '                         </t>
  </si>
  <si>
    <t>0268.00</t>
  </si>
  <si>
    <t>0269.00</t>
  </si>
  <si>
    <t xml:space="preserve">     o                       t1soft                                                                 </t>
  </si>
  <si>
    <t>0270.00</t>
  </si>
  <si>
    <t xml:space="preserve">     o                                           87 'FECHA DE PROCESO :'                            </t>
  </si>
  <si>
    <t>0271.00</t>
  </si>
  <si>
    <t xml:space="preserve">     o                       wfdia               99                                                 </t>
  </si>
  <si>
    <t>0271.01</t>
  </si>
  <si>
    <t xml:space="preserve">     o                                          164 'TIPO DE CAMBIO:'                               </t>
  </si>
  <si>
    <t>0271.02</t>
  </si>
  <si>
    <t xml:space="preserve">     o                       tipoCambio         175 ' 0.   '                                        </t>
  </si>
  <si>
    <t>0272.00</t>
  </si>
  <si>
    <t>0273.00</t>
  </si>
  <si>
    <t xml:space="preserve">     o                       linea                                                                  </t>
  </si>
  <si>
    <t>0274.00</t>
  </si>
  <si>
    <t>0274.01</t>
  </si>
  <si>
    <t xml:space="preserve">     o               83      tit(4)              80                                                 </t>
  </si>
  <si>
    <t>0275.00</t>
  </si>
  <si>
    <t xml:space="preserve">     o              n83      tit(3)              80                                                 </t>
  </si>
  <si>
    <t>0275.01</t>
  </si>
  <si>
    <t xml:space="preserve">     o              n83                          84 'ENTA'                                          </t>
  </si>
  <si>
    <t>0275.02</t>
  </si>
  <si>
    <t xml:space="preserve">     o              n83                         104 'IMPORTE'                                       </t>
  </si>
  <si>
    <t>0275.03</t>
  </si>
  <si>
    <t xml:space="preserve">     O              n83                         131 'IMP.SOLES'                                     </t>
  </si>
  <si>
    <t>0276.00</t>
  </si>
  <si>
    <t xml:space="preserve">     o              n83                         143 'MON'                                           </t>
  </si>
  <si>
    <t>0277.00</t>
  </si>
  <si>
    <t xml:space="preserve">     o              n83                         146 'PR'                                            </t>
  </si>
  <si>
    <t>0278.00</t>
  </si>
  <si>
    <t xml:space="preserve">     o              n83                         157 'FEC.PRO.'                                      </t>
  </si>
  <si>
    <t>0279.00</t>
  </si>
  <si>
    <t xml:space="preserve">     o              n83                         168 'FEC.ABO.'                                      </t>
  </si>
  <si>
    <t>0280.00</t>
  </si>
  <si>
    <t xml:space="preserve">     o              n83                         173 'TIPO'                                          </t>
  </si>
  <si>
    <t>0281.00</t>
  </si>
  <si>
    <t xml:space="preserve">     o              n83                         181 'TERCERO'                                       </t>
  </si>
  <si>
    <t>18/03/15</t>
  </si>
  <si>
    <t>0281.01</t>
  </si>
  <si>
    <t xml:space="preserve">     o              n83                         188 'CTAESP'                                        </t>
  </si>
  <si>
    <t>0282.00</t>
  </si>
  <si>
    <t>0283.00</t>
  </si>
  <si>
    <t>0284.00</t>
  </si>
  <si>
    <t xml:space="preserve">     oqsysprt   e            detail         1                                                       </t>
  </si>
  <si>
    <t>0284.01</t>
  </si>
  <si>
    <t xml:space="preserve">     o                       pebcop                                                                 </t>
  </si>
  <si>
    <t>0284.02</t>
  </si>
  <si>
    <t xml:space="preserve">     o                       nban                17                                                 </t>
  </si>
  <si>
    <t>0284.03</t>
  </si>
  <si>
    <t xml:space="preserve">     o                       peruce              29                                                 </t>
  </si>
  <si>
    <t>0285.00</t>
  </si>
  <si>
    <t xml:space="preserve">     o                       pecest        z     39                                                 </t>
  </si>
  <si>
    <t>0286.00</t>
  </si>
  <si>
    <t xml:space="preserve">     o                       xnom                70                                                 </t>
  </si>
  <si>
    <t>0287.00</t>
  </si>
  <si>
    <t xml:space="preserve">     o                       peccch              96                                                 </t>
  </si>
  <si>
    <t>0288.00</t>
  </si>
  <si>
    <t xml:space="preserve">     o                       penet3             118 ' ,   ,   ,   ,  0.  '                          </t>
  </si>
  <si>
    <t>0288.01</t>
  </si>
  <si>
    <t xml:space="preserve">     o                       montoSoles         139 ' ,   ,   ,   ,  0.  '                          </t>
  </si>
  <si>
    <t>0289.00</t>
  </si>
  <si>
    <t xml:space="preserve">     o                       pemone             143                                                 </t>
  </si>
  <si>
    <t>0290.00</t>
  </si>
  <si>
    <t xml:space="preserve">     o                       peprod             146                                                 </t>
  </si>
  <si>
    <t>0291.00</t>
  </si>
  <si>
    <t xml:space="preserve">     o                       pefpro             157 '    /  /  '                                    </t>
  </si>
  <si>
    <t>0292.00</t>
  </si>
  <si>
    <t xml:space="preserve">     o                       pefabo             168 '    /  /  '                                    </t>
  </si>
  <si>
    <t>0293.00</t>
  </si>
  <si>
    <t xml:space="preserve">     o                       petcta             174                                                 </t>
  </si>
  <si>
    <t>0294.00</t>
  </si>
  <si>
    <t xml:space="preserve">     o                       pepagt             177                                                 </t>
  </si>
  <si>
    <t>0294.01</t>
  </si>
  <si>
    <t xml:space="preserve">     o                       pectes             186                                                 </t>
  </si>
  <si>
    <t>0295.00</t>
  </si>
  <si>
    <t xml:space="preserve">     o*-                                                                                            </t>
  </si>
  <si>
    <t>0296.00</t>
  </si>
  <si>
    <t xml:space="preserve">     o*sysprt   e            tbco           1                                                       </t>
  </si>
  <si>
    <t>0296.01</t>
  </si>
  <si>
    <t xml:space="preserve">     o*                                             'BANCO PAGADOR : '                              </t>
  </si>
  <si>
    <t>0296.02</t>
  </si>
  <si>
    <t xml:space="preserve">     o*                      pebcop                                                                 </t>
  </si>
  <si>
    <t>0301.00</t>
  </si>
  <si>
    <t xml:space="preserve">     o*                                             '   '                                           </t>
  </si>
  <si>
    <t>0302.00</t>
  </si>
  <si>
    <t xml:space="preserve">     o*                      nban                                                                   </t>
  </si>
  <si>
    <t>0303.00</t>
  </si>
  <si>
    <t xml:space="preserve">     o*                                             'MONEDA : '                                     </t>
  </si>
  <si>
    <t>0304.00</t>
  </si>
  <si>
    <t xml:space="preserve">     o*                      pemone                                                                 </t>
  </si>
  <si>
    <t>0305.00</t>
  </si>
  <si>
    <t>0306.00</t>
  </si>
  <si>
    <t xml:space="preserve">     o*                      linea                                                                  </t>
  </si>
  <si>
    <t>0307.00</t>
  </si>
  <si>
    <t>0308.00</t>
  </si>
  <si>
    <t xml:space="preserve">     oqsysprt   e            zbcol          1                                                       </t>
  </si>
  <si>
    <t>0309.00</t>
  </si>
  <si>
    <t>0310.00</t>
  </si>
  <si>
    <t xml:space="preserve">     oqsysprt   e            zbco           1                                                       </t>
  </si>
  <si>
    <t>0311.00</t>
  </si>
  <si>
    <t xml:space="preserve">     o               81                          17 'TOTAL BANCO SOLES'                             </t>
  </si>
  <si>
    <t>0312.00</t>
  </si>
  <si>
    <t xml:space="preserve">     o              n81                          18 'TOTAL CHEQUE SOLES'                            </t>
  </si>
  <si>
    <t>0313.00</t>
  </si>
  <si>
    <t xml:space="preserve">     o                       nban                37                                                 </t>
  </si>
  <si>
    <t>0314.00</t>
  </si>
  <si>
    <t xml:space="preserve">     o                       qbsol         z     50                                                 </t>
  </si>
  <si>
    <t>0315.00</t>
  </si>
  <si>
    <t xml:space="preserve">     o                       ibsol               70 '  ,   ,   ,  0.  '                             </t>
  </si>
  <si>
    <t>0316.00</t>
  </si>
  <si>
    <t xml:space="preserve">     oqsysprt   e            zbcod          1                                                       </t>
  </si>
  <si>
    <t>0317.00</t>
  </si>
  <si>
    <t xml:space="preserve">     o               81                          19 'TOTAL BANCO DOLARES'                           </t>
  </si>
  <si>
    <t>0318.00</t>
  </si>
  <si>
    <t xml:space="preserve">     o              n81                          20 'TOTAL CHEQUE DOLARES'                          </t>
  </si>
  <si>
    <t>0319.00</t>
  </si>
  <si>
    <t>0320.00</t>
  </si>
  <si>
    <t xml:space="preserve">     o                       qbdol         z     50                                                 </t>
  </si>
  <si>
    <t>0321.00</t>
  </si>
  <si>
    <t xml:space="preserve">     o                       ibdol               70 '  ,   ,   ,  0.  '                             </t>
  </si>
  <si>
    <t>0322.00</t>
  </si>
  <si>
    <t xml:space="preserve">     oqsysprt   e            zbcoll         1                                                       </t>
  </si>
  <si>
    <t>0323.00</t>
  </si>
  <si>
    <t>0324.00</t>
  </si>
  <si>
    <t>0335.00</t>
  </si>
  <si>
    <t>0335.01</t>
  </si>
  <si>
    <t xml:space="preserve">     oqsysprt   e            zgen           1                                                       </t>
  </si>
  <si>
    <t>0335.02</t>
  </si>
  <si>
    <t>0336.00</t>
  </si>
  <si>
    <t>0337.00</t>
  </si>
  <si>
    <t xml:space="preserve">     o                                           19 'TOTAL GENERAL SOLES'                           </t>
  </si>
  <si>
    <t>0338.00</t>
  </si>
  <si>
    <t xml:space="preserve">     o                       qgsol         z     50                                                 </t>
  </si>
  <si>
    <t>0339.00</t>
  </si>
  <si>
    <t xml:space="preserve">     o                       igsol               70 '  ,   ,   ,  0.  '                             </t>
  </si>
  <si>
    <t>0340.00</t>
  </si>
  <si>
    <t>0341.00</t>
  </si>
  <si>
    <t xml:space="preserve">     o                                           21 'TOTAL GENERAL DOLARES'                         </t>
  </si>
  <si>
    <t>0342.00</t>
  </si>
  <si>
    <t xml:space="preserve">     o                       qgdol         z     50                                                 </t>
  </si>
  <si>
    <t>0343.00</t>
  </si>
  <si>
    <t xml:space="preserve">     o                       igdol               70 '  ,   ,   ,  0.  '                             </t>
  </si>
  <si>
    <t>0344.00</t>
  </si>
  <si>
    <t>0345.00</t>
  </si>
  <si>
    <t>0346.00</t>
  </si>
  <si>
    <t xml:space="preserve">**                                                                                                  </t>
  </si>
  <si>
    <t>0347.00</t>
  </si>
  <si>
    <t xml:space="preserve">                                           ABONOS EN CUENTA ACUMULADOS PENDIENTE                    </t>
  </si>
  <si>
    <t>0348.00</t>
  </si>
  <si>
    <t xml:space="preserve">                                             DE ENVIO  FECHA PROCESO XX/XX/XXXX                     </t>
  </si>
  <si>
    <t>0349.00</t>
  </si>
  <si>
    <t xml:space="preserve">BANCO   NOMBRE       RUC      CODIGO    RAZON SOCIAL                   NRO DE CU                    </t>
  </si>
  <si>
    <t>0349.01</t>
  </si>
  <si>
    <t xml:space="preserve">TOTALES PARCIALES                                                                                   </t>
  </si>
  <si>
    <t>0350.00</t>
  </si>
  <si>
    <t xml:space="preserve">--------------------------------------------------------------------------------                    </t>
  </si>
  <si>
    <t>WITH parametros AS (</t>
  </si>
  <si>
    <t xml:space="preserve">    SELECT </t>
  </si>
  <si>
    <t xml:space="preserve">        'ACC' AS ptpag</t>
  </si>
  <si>
    <t xml:space="preserve">        -- Tipo de Pago</t>
  </si>
  <si>
    <t xml:space="preserve">        '001' AS wpescot       -- Código de condición adicional</t>
  </si>
  <si>
    <t>-- Selección base del reporte con cálculo de año</t>
  </si>
  <si>
    <t xml:space="preserve"> mes y día desde la fecha de proceso</t>
  </si>
  <si>
    <t>base_reporte AS (</t>
  </si>
  <si>
    <t xml:space="preserve">    SELECT</t>
  </si>
  <si>
    <t xml:space="preserve">        t.pebcop AS banco</t>
  </si>
  <si>
    <t xml:space="preserve">        b.badeco AS nombre_banco</t>
  </si>
  <si>
    <t xml:space="preserve">        t.peruce AS ruc</t>
  </si>
  <si>
    <t xml:space="preserve">        t.pecest AS codigo</t>
  </si>
  <si>
    <t xml:space="preserve">        COALESCE(m.mechqn</t>
  </si>
  <si>
    <t xml:space="preserve"> m.mersoc) AS razon_social</t>
  </si>
  <si>
    <t xml:space="preserve">        t.peccch AS nro_cuenta</t>
  </si>
  <si>
    <t xml:space="preserve">        t.penet3 AS importe</t>
  </si>
  <si>
    <t xml:space="preserve">        t.pemone AS moneda</t>
  </si>
  <si>
    <t xml:space="preserve">        t.peprod AS producto</t>
  </si>
  <si>
    <t xml:space="preserve">        t.pefpro AS fecha_proceso</t>
  </si>
  <si>
    <t xml:space="preserve">        t.pefabo AS fecha_abono</t>
  </si>
  <si>
    <t xml:space="preserve">        t.petcta AS tipo_cuenta</t>
  </si>
  <si>
    <t xml:space="preserve">        t.pepagt AS tipo_pago</t>
  </si>
  <si>
    <t xml:space="preserve">        t.pectes AS ctaesp</t>
  </si>
  <si>
    <t xml:space="preserve">        EXTRACT(YEAR FROM PARSE_DATE('%Y%m%d'</t>
  </si>
  <si>
    <t xml:space="preserve"> CAST(t.pefpro AS STRING))) AS anio</t>
  </si>
  <si>
    <t xml:space="preserve">        EXTRACT(MONTH FROM PARSE_DATE('%Y%m%d'</t>
  </si>
  <si>
    <t xml:space="preserve"> CAST(t.pefpro AS STRING))) AS mes</t>
  </si>
  <si>
    <t xml:space="preserve">        EXTRACT(DAY FROM PARSE_DATE('%Y%m%d'</t>
  </si>
  <si>
    <t xml:space="preserve"> CAST(t.pefpro AS STRING))) AS dia</t>
  </si>
  <si>
    <t xml:space="preserve">    FROM</t>
  </si>
  <si>
    <t xml:space="preserve">        mcft044T t</t>
  </si>
  <si>
    <t xml:space="preserve">    LEFT JOIN mcfv004 b ON t.pebcop = b.pebcop</t>
  </si>
  <si>
    <t xml:space="preserve">    LEFT JOIN mcfm019 m ON t.pecest = m.pecest</t>
  </si>
  <si>
    <t xml:space="preserve">    CROSS JOIN parametros p</t>
  </si>
  <si>
    <t xml:space="preserve">    WHERE</t>
  </si>
  <si>
    <t xml:space="preserve">        t.petpag = p.ptpag</t>
  </si>
  <si>
    <t xml:space="preserve">        AND t.pesitu = ''</t>
  </si>
  <si>
    <t xml:space="preserve">        AND t.pescot = p.wpescot</t>
  </si>
  <si>
    <t>-- Obtención de tipo de cambio desde mcfv017 usando las columnas correctas OFANO</t>
  </si>
  <si>
    <t xml:space="preserve"> OFMES</t>
  </si>
  <si>
    <t xml:space="preserve"> OFDIA con clave completa como en AS400</t>
  </si>
  <si>
    <t>tipo_cambio AS (</t>
  </si>
  <si>
    <t xml:space="preserve">        IFNULL(OVVEN</t>
  </si>
  <si>
    <t xml:space="preserve"> 1) AS tipo_cambio</t>
  </si>
  <si>
    <t xml:space="preserve">        OFANO AS anio</t>
  </si>
  <si>
    <t xml:space="preserve">        OFMES AS mes</t>
  </si>
  <si>
    <t xml:space="preserve">        OFDIA AS dia</t>
  </si>
  <si>
    <t xml:space="preserve">        mcfv017</t>
  </si>
  <si>
    <t xml:space="preserve">        OCCIA = 99</t>
  </si>
  <si>
    <t xml:space="preserve">        AND OCSUC = 1</t>
  </si>
  <si>
    <t xml:space="preserve">        AND OCMON = 2</t>
  </si>
  <si>
    <t xml:space="preserve">        AND OLCOT = 2</t>
  </si>
  <si>
    <t>-- Reporte final con cálculo de monto en soles y referencia a la fecha de proceso real</t>
  </si>
  <si>
    <t xml:space="preserve">    br.banco</t>
  </si>
  <si>
    <t xml:space="preserve">    br.nombre_banco AS nombre</t>
  </si>
  <si>
    <t xml:space="preserve">    br.ruc</t>
  </si>
  <si>
    <t xml:space="preserve">    br.codigo</t>
  </si>
  <si>
    <t xml:space="preserve">    br.razon_social</t>
  </si>
  <si>
    <t xml:space="preserve">    br.nro_cuenta</t>
  </si>
  <si>
    <t xml:space="preserve">    br.importe</t>
  </si>
  <si>
    <t xml:space="preserve">    CASE</t>
  </si>
  <si>
    <t xml:space="preserve">        WHEN br.moneda = '840' THEN ROUND(br.importe * tc.tipo_cambio</t>
  </si>
  <si>
    <t xml:space="preserve"> 2)</t>
  </si>
  <si>
    <t xml:space="preserve">        ELSE ROUND(br.importe</t>
  </si>
  <si>
    <t xml:space="preserve">    END AS importe_soles</t>
  </si>
  <si>
    <t xml:space="preserve">    br.moneda AS mon</t>
  </si>
  <si>
    <t xml:space="preserve">    br.producto AS pr</t>
  </si>
  <si>
    <t xml:space="preserve">    FORMAT_DATE('%Y/%m/%d'</t>
  </si>
  <si>
    <t xml:space="preserve"> PARSE_DATE('%Y%m%d'</t>
  </si>
  <si>
    <t xml:space="preserve"> CAST(br.fecha_proceso AS STRING))) AS fec_pro</t>
  </si>
  <si>
    <t xml:space="preserve"> CAST(br.fecha_abono AS STRING))) AS fec_abo</t>
  </si>
  <si>
    <t xml:space="preserve">    br.tipo_cuenta AS tipo</t>
  </si>
  <si>
    <t xml:space="preserve">    br.tipo_pago AS tercero</t>
  </si>
  <si>
    <t xml:space="preserve">    br.ctaesp</t>
  </si>
  <si>
    <t xml:space="preserve">    base_reporte br</t>
  </si>
  <si>
    <t>LEFT JOIN tipo_cambio tc</t>
  </si>
  <si>
    <t xml:space="preserve">    ON br.anio = tc.anio</t>
  </si>
  <si>
    <t xml:space="preserve">    AND br.mes = tc.mes</t>
  </si>
  <si>
    <t xml:space="preserve">    AND br.dia = tc.dia</t>
  </si>
  <si>
    <t>ORDER BY</t>
  </si>
  <si>
    <t xml:space="preserve">    br.nombre;</t>
  </si>
  <si>
    <t>id</t>
  </si>
  <si>
    <t>nombre_tabla_query</t>
  </si>
  <si>
    <t>descripcion</t>
  </si>
  <si>
    <t>Observaciones</t>
  </si>
  <si>
    <t>tipo_tabla</t>
  </si>
  <si>
    <t>clasificacion_Tabla</t>
  </si>
  <si>
    <t>flag_gcp</t>
  </si>
  <si>
    <t>flag_en_azure</t>
  </si>
  <si>
    <t>estado</t>
  </si>
  <si>
    <t>as_001</t>
  </si>
  <si>
    <t>Autorizaciones pendientes ,Registros de transacciones con campos clave: petpag, pectra, pesitu, pescot, penet2, pemone, pefpro, pefabo, petcta, pectes, pecest.</t>
  </si>
  <si>
    <t xml:space="preserve">tabla mensual es MCFS003 validar si necesitan la mensual y la diaria , actualmente existe en AZURE Y ADLS ,  VALIDADO : </t>
  </si>
  <si>
    <t>fisica diaria</t>
  </si>
  <si>
    <t>transaccional</t>
  </si>
  <si>
    <t>pendiente</t>
  </si>
  <si>
    <t>as_002</t>
  </si>
  <si>
    <t>Maestra de tipo de cambio de ventaCada fila contiene: CIA, SUCURSAL, MONEDAC, anio, mes, dia y OVVEN (valor de cambio).</t>
  </si>
  <si>
    <t xml:space="preserve">Tipo de cambio , no se encuentra mallas en adls ni en gcp , consultar si hay una diaria o historica </t>
  </si>
  <si>
    <t>fisica Historica</t>
  </si>
  <si>
    <t>maestra</t>
  </si>
  <si>
    <t>as_003</t>
  </si>
  <si>
    <t>Maestra de bancosMapea código de banco (CODBAN) a nombre descriptivo (BADECO).</t>
  </si>
  <si>
    <t>maestro de emisores ,esta en gcp y en azure (ADLS+SYNAPSE)</t>
  </si>
  <si>
    <t>fisica historica</t>
  </si>
  <si>
    <t>Ok</t>
  </si>
  <si>
    <t>as_004</t>
  </si>
  <si>
    <t>Maestra de establecimientos nuevo .  clave (PK o pecest) a descripción de cuenta/tercero (CTAESP).</t>
  </si>
  <si>
    <t>es el maestro de establecimiento no online , se tiene solo la 19i que es el online.</t>
  </si>
  <si>
    <t>as_005</t>
  </si>
  <si>
    <t>MCFV075</t>
  </si>
  <si>
    <t>Maestra de descripcionesMapea combinaciones pgtipo+pgcodi a su texto (pgdesc), usado para encabezados de empresa y software.</t>
  </si>
  <si>
    <t>tabla de parametros MCPERU , si se tiene</t>
  </si>
  <si>
    <t>ok</t>
  </si>
  <si>
    <t>as_006</t>
  </si>
  <si>
    <t>MCFT044T</t>
  </si>
  <si>
    <t>Staging histórico de abonos(En la versión RPG original) contiene los registros intermedios de abonos acumulados, antes de imprimirse — con campos similares a MCFT003 más totales.</t>
  </si>
  <si>
    <t>No se utilzia en el proceso</t>
  </si>
  <si>
    <t>temporal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</si>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</sst>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  <font>
      <sz val="9"/>
      <color theme="1"/>
      <name val="Consolas"/>
      <family val="3"/>
    </font>
    <font>
      <sz val="9"/>
      <color rgb="FFFF0000"/>
      <name val="Consolas"/>
      <family val="3"/>
    </font>
    <font>
      <b/>
      <sz val="10"/>
      <name val="Courier New"/>
      <family val="3"/>
    </font>
    <font>
      <sz val="10"/>
      <color rgb="FF286428"/>
      <name val="Courier New"/>
      <family val="3"/>
    </font>
    <font>
      <sz val="10"/>
      <color rgb="FF000000"/>
      <name val="Courier New"/>
      <family val="3"/>
    </font>
    <font>
      <sz val="10"/>
      <color rgb="FF0000CE"/>
      <name val="Courier New"/>
      <family val="3"/>
    </font>
    <font>
      <sz val="10"/>
      <color rgb="FF99CCFF"/>
      <name val="Courier New"/>
      <family val="3"/>
    </font>
    <font>
      <sz val="10"/>
      <color rgb="FFFF2000"/>
      <name val="Courier New"/>
      <family val="3"/>
    </font>
    <font>
      <sz val="10"/>
      <color rgb="FF8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0" xfId="0" applyFill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7" fillId="4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635A0-58D4-4555-A4A4-97C38E0E9A39}" name="Tabla1" displayName="Tabla1" ref="A1:I7" totalsRowShown="0" headerRowDxfId="10" dataDxfId="9">
  <autoFilter ref="A1:I7" xr:uid="{0B5635A0-58D4-4555-A4A4-97C38E0E9A39}"/>
  <tableColumns count="9">
    <tableColumn id="5" xr3:uid="{A4B2E4C5-B704-4B17-A027-AA8AC08806CC}" name="id" dataDxfId="8"/>
    <tableColumn id="1" xr3:uid="{A2FD6E14-1208-4EFB-B400-3D0BC357BB49}" name="nombre_tabla_query" dataDxfId="7"/>
    <tableColumn id="2" xr3:uid="{8AC1EF93-3F17-4A32-81D6-7F17D32E8694}" name="descripcion" dataDxfId="6"/>
    <tableColumn id="9" xr3:uid="{7B52A9DB-4781-45E7-8BA7-7484F9B62F6E}" name="Observaciones" dataDxfId="5"/>
    <tableColumn id="6" xr3:uid="{B80751D5-B06F-493B-9FAF-9C9D6BE89BC7}" name="tipo_tabla" dataDxfId="4"/>
    <tableColumn id="11" xr3:uid="{4564D6B3-833B-4404-A468-208D7BA6E3D6}" name="clasificacion_Tabla" dataDxfId="3"/>
    <tableColumn id="3" xr3:uid="{8EF11838-8402-4F8E-B0B5-8E9568BEBB60}" name="flag_gcp" dataDxfId="2"/>
    <tableColumn id="4" xr3:uid="{72A6105F-44D2-47FD-8D8D-050CAB4BECEC}" name="flag_en_azure" dataDxfId="1"/>
    <tableColumn id="10" xr3:uid="{D5EBD70A-D277-442E-B63C-AC858F510EA0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7E5F-1D6F-4D3E-9234-A69A7E9EC9A6}">
  <dimension ref="A1:M63"/>
  <sheetViews>
    <sheetView workbookViewId="0">
      <selection activeCell="C31" sqref="C31"/>
    </sheetView>
  </sheetViews>
  <sheetFormatPr baseColWidth="10" defaultColWidth="11.42578125" defaultRowHeight="15" x14ac:dyDescent="0.25"/>
  <cols>
    <col min="1" max="1" width="10.85546875" customWidth="1"/>
    <col min="3" max="3" width="1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0</v>
      </c>
      <c r="F2" t="s">
        <v>8</v>
      </c>
    </row>
    <row r="3" spans="1:6" x14ac:dyDescent="0.25">
      <c r="A3" t="s">
        <v>4</v>
      </c>
      <c r="B3" t="s">
        <v>9</v>
      </c>
      <c r="C3" t="s">
        <v>6</v>
      </c>
      <c r="D3" t="s">
        <v>10</v>
      </c>
    </row>
    <row r="4" spans="1:6" x14ac:dyDescent="0.25">
      <c r="A4" t="s">
        <v>4</v>
      </c>
      <c r="B4" t="s">
        <v>11</v>
      </c>
      <c r="C4" t="s">
        <v>6</v>
      </c>
      <c r="D4" t="s">
        <v>12</v>
      </c>
      <c r="E4" t="s">
        <v>13</v>
      </c>
    </row>
    <row r="6" spans="1:6" x14ac:dyDescent="0.25">
      <c r="A6" t="s">
        <v>0</v>
      </c>
      <c r="B6" t="s">
        <v>14</v>
      </c>
      <c r="C6" t="s">
        <v>15</v>
      </c>
      <c r="D6" t="s">
        <v>16</v>
      </c>
      <c r="E6" t="s">
        <v>17</v>
      </c>
    </row>
    <row r="7" spans="1:6" x14ac:dyDescent="0.25">
      <c r="A7" t="s">
        <v>18</v>
      </c>
      <c r="B7" t="s">
        <v>17</v>
      </c>
      <c r="C7" t="s">
        <v>19</v>
      </c>
      <c r="D7" t="s">
        <v>20</v>
      </c>
    </row>
    <row r="8" spans="1:6" x14ac:dyDescent="0.25">
      <c r="B8" t="s">
        <v>21</v>
      </c>
    </row>
    <row r="9" spans="1:6" x14ac:dyDescent="0.25">
      <c r="B9" t="s">
        <v>22</v>
      </c>
      <c r="C9" t="s">
        <v>19</v>
      </c>
      <c r="D9" t="s">
        <v>23</v>
      </c>
      <c r="E9" t="s">
        <v>19</v>
      </c>
      <c r="F9" t="s">
        <v>24</v>
      </c>
    </row>
    <row r="10" spans="1:6" x14ac:dyDescent="0.25">
      <c r="B10" t="s">
        <v>25</v>
      </c>
      <c r="C10" t="s">
        <v>19</v>
      </c>
      <c r="D10" t="s">
        <v>23</v>
      </c>
      <c r="E10" t="s">
        <v>19</v>
      </c>
      <c r="F10" t="s">
        <v>26</v>
      </c>
    </row>
    <row r="11" spans="1:6" x14ac:dyDescent="0.25">
      <c r="B11" t="s">
        <v>27</v>
      </c>
      <c r="C11" t="s">
        <v>19</v>
      </c>
      <c r="D11" t="s">
        <v>23</v>
      </c>
      <c r="E11" t="s">
        <v>19</v>
      </c>
      <c r="F11" t="s">
        <v>28</v>
      </c>
    </row>
    <row r="12" spans="1:6" x14ac:dyDescent="0.25">
      <c r="A12" t="s">
        <v>29</v>
      </c>
    </row>
    <row r="13" spans="1:6" x14ac:dyDescent="0.25">
      <c r="A13" t="s">
        <v>0</v>
      </c>
      <c r="B13" t="s">
        <v>30</v>
      </c>
      <c r="C13" t="s">
        <v>31</v>
      </c>
      <c r="D13" t="s">
        <v>2</v>
      </c>
      <c r="E13" t="s">
        <v>32</v>
      </c>
    </row>
    <row r="14" spans="1:6" x14ac:dyDescent="0.25">
      <c r="A14" t="s">
        <v>33</v>
      </c>
      <c r="B14" t="s">
        <v>19</v>
      </c>
      <c r="C14" t="s">
        <v>20</v>
      </c>
    </row>
    <row r="15" spans="1:6" x14ac:dyDescent="0.25">
      <c r="B15" t="s">
        <v>21</v>
      </c>
      <c r="C15" t="s">
        <v>34</v>
      </c>
      <c r="D15" t="s">
        <v>19</v>
      </c>
      <c r="E15" t="s">
        <v>35</v>
      </c>
    </row>
    <row r="16" spans="1:6" x14ac:dyDescent="0.25">
      <c r="B16" t="s">
        <v>36</v>
      </c>
      <c r="C16" t="s">
        <v>37</v>
      </c>
    </row>
    <row r="17" spans="1:8" x14ac:dyDescent="0.25">
      <c r="B17" t="s">
        <v>38</v>
      </c>
      <c r="C17" t="s">
        <v>39</v>
      </c>
      <c r="D17" t="s">
        <v>6</v>
      </c>
      <c r="E17" t="s">
        <v>40</v>
      </c>
    </row>
    <row r="18" spans="1:8" x14ac:dyDescent="0.25">
      <c r="B18" t="s">
        <v>41</v>
      </c>
      <c r="C18" t="s">
        <v>42</v>
      </c>
      <c r="D18" t="s">
        <v>6</v>
      </c>
      <c r="E18" t="s">
        <v>43</v>
      </c>
    </row>
    <row r="19" spans="1:8" x14ac:dyDescent="0.25">
      <c r="B19" t="s">
        <v>41</v>
      </c>
      <c r="C19" t="s">
        <v>44</v>
      </c>
      <c r="D19" t="s">
        <v>6</v>
      </c>
      <c r="E19" t="s">
        <v>45</v>
      </c>
    </row>
    <row r="20" spans="1:8" x14ac:dyDescent="0.25">
      <c r="B20" t="s">
        <v>41</v>
      </c>
      <c r="C20" t="s">
        <v>28</v>
      </c>
      <c r="D20" t="s">
        <v>6</v>
      </c>
      <c r="E20" t="s">
        <v>46</v>
      </c>
      <c r="F20" t="s">
        <v>28</v>
      </c>
      <c r="G20" t="s">
        <v>36</v>
      </c>
      <c r="H20" t="s">
        <v>47</v>
      </c>
    </row>
    <row r="21" spans="1:8" x14ac:dyDescent="0.25">
      <c r="B21" t="s">
        <v>41</v>
      </c>
      <c r="C21" t="s">
        <v>48</v>
      </c>
      <c r="D21" t="s">
        <v>6</v>
      </c>
      <c r="E21" t="s">
        <v>46</v>
      </c>
      <c r="F21" t="s">
        <v>48</v>
      </c>
      <c r="G21" t="s">
        <v>36</v>
      </c>
      <c r="H21" t="s">
        <v>47</v>
      </c>
    </row>
    <row r="22" spans="1:8" x14ac:dyDescent="0.25">
      <c r="B22" t="s">
        <v>41</v>
      </c>
      <c r="C22" t="s">
        <v>49</v>
      </c>
      <c r="D22" t="s">
        <v>6</v>
      </c>
      <c r="E22" t="s">
        <v>46</v>
      </c>
      <c r="F22" t="s">
        <v>49</v>
      </c>
      <c r="G22" t="s">
        <v>36</v>
      </c>
      <c r="H22" t="s">
        <v>47</v>
      </c>
    </row>
    <row r="23" spans="1:8" x14ac:dyDescent="0.25">
      <c r="B23" t="s">
        <v>50</v>
      </c>
      <c r="C23">
        <v>1</v>
      </c>
    </row>
    <row r="24" spans="1:8" x14ac:dyDescent="0.25">
      <c r="A24" t="s">
        <v>29</v>
      </c>
    </row>
    <row r="25" spans="1:8" x14ac:dyDescent="0.25">
      <c r="A25" t="s">
        <v>0</v>
      </c>
      <c r="B25" t="s">
        <v>51</v>
      </c>
      <c r="C25" t="s">
        <v>52</v>
      </c>
      <c r="D25" t="s">
        <v>2</v>
      </c>
      <c r="E25" t="s">
        <v>53</v>
      </c>
    </row>
    <row r="26" spans="1:8" x14ac:dyDescent="0.25">
      <c r="A26" t="s">
        <v>54</v>
      </c>
      <c r="B26" t="s">
        <v>19</v>
      </c>
      <c r="C26" t="s">
        <v>20</v>
      </c>
    </row>
    <row r="27" spans="1:8" x14ac:dyDescent="0.25">
      <c r="B27" t="s">
        <v>21</v>
      </c>
      <c r="C27" t="s">
        <v>55</v>
      </c>
    </row>
    <row r="28" spans="1:8" x14ac:dyDescent="0.25">
      <c r="B28" t="s">
        <v>36</v>
      </c>
      <c r="C28" t="s">
        <v>56</v>
      </c>
    </row>
    <row r="29" spans="1:8" x14ac:dyDescent="0.25">
      <c r="B29" t="s">
        <v>38</v>
      </c>
      <c r="C29" t="s">
        <v>57</v>
      </c>
      <c r="D29" t="s">
        <v>6</v>
      </c>
      <c r="E29" t="s">
        <v>9</v>
      </c>
    </row>
    <row r="30" spans="1:8" x14ac:dyDescent="0.25">
      <c r="B30" t="s">
        <v>41</v>
      </c>
      <c r="C30" t="s">
        <v>58</v>
      </c>
      <c r="D30" t="s">
        <v>59</v>
      </c>
      <c r="E30">
        <v>71</v>
      </c>
      <c r="F30" t="s">
        <v>41</v>
      </c>
      <c r="G30">
        <v>78</v>
      </c>
    </row>
    <row r="31" spans="1:8" x14ac:dyDescent="0.25">
      <c r="B31" t="s">
        <v>41</v>
      </c>
      <c r="C31" t="s">
        <v>60</v>
      </c>
      <c r="D31" t="s">
        <v>6</v>
      </c>
      <c r="E31" t="s">
        <v>61</v>
      </c>
    </row>
    <row r="32" spans="1:8" x14ac:dyDescent="0.25">
      <c r="B32" t="s">
        <v>41</v>
      </c>
      <c r="C32" t="s">
        <v>62</v>
      </c>
      <c r="D32" t="s">
        <v>6</v>
      </c>
      <c r="E32" t="s">
        <v>11</v>
      </c>
    </row>
    <row r="33" spans="1:7" x14ac:dyDescent="0.25">
      <c r="A33" t="s">
        <v>29</v>
      </c>
    </row>
    <row r="34" spans="1:7" x14ac:dyDescent="0.25">
      <c r="A34" t="s">
        <v>0</v>
      </c>
      <c r="B34" t="s">
        <v>63</v>
      </c>
      <c r="C34" t="s">
        <v>64</v>
      </c>
      <c r="D34" t="s">
        <v>2</v>
      </c>
      <c r="E34" t="s">
        <v>65</v>
      </c>
      <c r="F34" t="s">
        <v>66</v>
      </c>
      <c r="G34" t="s">
        <v>67</v>
      </c>
    </row>
    <row r="35" spans="1:7" x14ac:dyDescent="0.25">
      <c r="A35" t="s">
        <v>68</v>
      </c>
      <c r="B35" t="s">
        <v>19</v>
      </c>
      <c r="C35" t="s">
        <v>20</v>
      </c>
    </row>
    <row r="36" spans="1:7" x14ac:dyDescent="0.25">
      <c r="B36" t="s">
        <v>21</v>
      </c>
    </row>
    <row r="37" spans="1:7" x14ac:dyDescent="0.25">
      <c r="B37" t="s">
        <v>69</v>
      </c>
      <c r="C37" t="s">
        <v>19</v>
      </c>
      <c r="D37" t="s">
        <v>70</v>
      </c>
    </row>
    <row r="38" spans="1:7" x14ac:dyDescent="0.25">
      <c r="B38" t="s">
        <v>71</v>
      </c>
      <c r="C38" t="s">
        <v>19</v>
      </c>
      <c r="D38" t="s">
        <v>72</v>
      </c>
    </row>
    <row r="39" spans="1:7" x14ac:dyDescent="0.25">
      <c r="B39" t="s">
        <v>73</v>
      </c>
      <c r="C39" t="s">
        <v>19</v>
      </c>
      <c r="D39" t="s">
        <v>74</v>
      </c>
    </row>
    <row r="40" spans="1:7" x14ac:dyDescent="0.25">
      <c r="B40" t="s">
        <v>75</v>
      </c>
      <c r="C40" t="s">
        <v>19</v>
      </c>
      <c r="D40" t="s">
        <v>76</v>
      </c>
    </row>
    <row r="41" spans="1:7" x14ac:dyDescent="0.25">
      <c r="B41" t="s">
        <v>77</v>
      </c>
      <c r="C41" t="s">
        <v>19</v>
      </c>
      <c r="D41" t="s">
        <v>78</v>
      </c>
      <c r="E41" t="s">
        <v>79</v>
      </c>
    </row>
    <row r="42" spans="1:7" x14ac:dyDescent="0.25">
      <c r="B42" t="s">
        <v>80</v>
      </c>
      <c r="C42" t="s">
        <v>19</v>
      </c>
      <c r="D42" t="s">
        <v>81</v>
      </c>
      <c r="E42" t="s">
        <v>82</v>
      </c>
      <c r="F42" t="s">
        <v>83</v>
      </c>
    </row>
    <row r="43" spans="1:7" x14ac:dyDescent="0.25">
      <c r="B43" t="s">
        <v>84</v>
      </c>
      <c r="C43" t="s">
        <v>19</v>
      </c>
      <c r="D43" t="s">
        <v>85</v>
      </c>
    </row>
    <row r="44" spans="1:7" x14ac:dyDescent="0.25">
      <c r="B44" t="s">
        <v>86</v>
      </c>
    </row>
    <row r="45" spans="1:7" x14ac:dyDescent="0.25">
      <c r="B45" t="s">
        <v>87</v>
      </c>
      <c r="C45" t="s">
        <v>88</v>
      </c>
      <c r="D45" t="s">
        <v>6</v>
      </c>
      <c r="E45" t="s">
        <v>89</v>
      </c>
    </row>
    <row r="46" spans="1:7" x14ac:dyDescent="0.25">
      <c r="B46" t="s">
        <v>90</v>
      </c>
      <c r="C46" t="s">
        <v>84</v>
      </c>
      <c r="D46" t="s">
        <v>55</v>
      </c>
      <c r="E46" t="s">
        <v>91</v>
      </c>
    </row>
    <row r="47" spans="1:7" x14ac:dyDescent="0.25">
      <c r="B47" t="s">
        <v>92</v>
      </c>
      <c r="C47" t="s">
        <v>84</v>
      </c>
    </row>
    <row r="48" spans="1:7" x14ac:dyDescent="0.25">
      <c r="B48" t="s">
        <v>93</v>
      </c>
      <c r="C48" t="s">
        <v>19</v>
      </c>
      <c r="D48" t="s">
        <v>94</v>
      </c>
    </row>
    <row r="49" spans="1:13" x14ac:dyDescent="0.25">
      <c r="B49" t="s">
        <v>88</v>
      </c>
      <c r="C49" t="s">
        <v>19</v>
      </c>
      <c r="D49" t="s">
        <v>95</v>
      </c>
    </row>
    <row r="50" spans="1:13" x14ac:dyDescent="0.25">
      <c r="B50" t="s">
        <v>96</v>
      </c>
      <c r="C50" t="s">
        <v>19</v>
      </c>
      <c r="D50" t="s">
        <v>97</v>
      </c>
    </row>
    <row r="51" spans="1:13" x14ac:dyDescent="0.25">
      <c r="B51" t="s">
        <v>98</v>
      </c>
      <c r="C51" t="s">
        <v>19</v>
      </c>
      <c r="D51" t="s">
        <v>99</v>
      </c>
    </row>
    <row r="52" spans="1:13" x14ac:dyDescent="0.25">
      <c r="B52" t="s">
        <v>100</v>
      </c>
      <c r="C52" t="s">
        <v>19</v>
      </c>
      <c r="D52" t="s">
        <v>101</v>
      </c>
    </row>
    <row r="53" spans="1:13" x14ac:dyDescent="0.25">
      <c r="B53" t="s">
        <v>102</v>
      </c>
      <c r="C53" t="s">
        <v>19</v>
      </c>
      <c r="D53" t="s">
        <v>103</v>
      </c>
    </row>
    <row r="54" spans="1:13" x14ac:dyDescent="0.25">
      <c r="B54" t="s">
        <v>104</v>
      </c>
      <c r="C54" t="s">
        <v>19</v>
      </c>
      <c r="D54" t="s">
        <v>105</v>
      </c>
    </row>
    <row r="55" spans="1:13" x14ac:dyDescent="0.25">
      <c r="B55" t="s">
        <v>106</v>
      </c>
      <c r="C55" t="s">
        <v>19</v>
      </c>
      <c r="D55" t="s">
        <v>107</v>
      </c>
    </row>
    <row r="56" spans="1:13" x14ac:dyDescent="0.25">
      <c r="B56" t="s">
        <v>36</v>
      </c>
      <c r="C56" t="s">
        <v>54</v>
      </c>
      <c r="D56" t="s">
        <v>108</v>
      </c>
    </row>
    <row r="57" spans="1:13" x14ac:dyDescent="0.25">
      <c r="B57" t="s">
        <v>109</v>
      </c>
      <c r="C57" t="s">
        <v>110</v>
      </c>
      <c r="D57" t="s">
        <v>33</v>
      </c>
      <c r="E57" t="s">
        <v>111</v>
      </c>
    </row>
    <row r="58" spans="1:13" x14ac:dyDescent="0.25">
      <c r="B58" t="s">
        <v>112</v>
      </c>
      <c r="C58">
        <v>3</v>
      </c>
      <c r="D58" t="s">
        <v>113</v>
      </c>
      <c r="E58" t="s">
        <v>114</v>
      </c>
      <c r="F58" t="s">
        <v>115</v>
      </c>
      <c r="G58" t="s">
        <v>116</v>
      </c>
      <c r="H58" t="s">
        <v>6</v>
      </c>
      <c r="I58" t="s">
        <v>69</v>
      </c>
      <c r="J58" t="s">
        <v>0</v>
      </c>
      <c r="K58" t="s">
        <v>117</v>
      </c>
      <c r="L58" t="s">
        <v>2</v>
      </c>
      <c r="M58" t="s">
        <v>118</v>
      </c>
    </row>
    <row r="59" spans="1:13" x14ac:dyDescent="0.25">
      <c r="B59" t="s">
        <v>112</v>
      </c>
      <c r="C59" t="s">
        <v>110</v>
      </c>
      <c r="D59" t="s">
        <v>119</v>
      </c>
      <c r="E59" t="s">
        <v>120</v>
      </c>
      <c r="F59" t="s">
        <v>115</v>
      </c>
      <c r="G59" t="s">
        <v>121</v>
      </c>
      <c r="H59" t="s">
        <v>6</v>
      </c>
      <c r="I59" t="s">
        <v>106</v>
      </c>
      <c r="J59" t="s">
        <v>0</v>
      </c>
      <c r="K59" t="s">
        <v>117</v>
      </c>
      <c r="L59" t="s">
        <v>2</v>
      </c>
      <c r="M59" t="s">
        <v>122</v>
      </c>
    </row>
    <row r="60" spans="1:13" x14ac:dyDescent="0.25">
      <c r="B60" t="s">
        <v>123</v>
      </c>
      <c r="C60" t="s">
        <v>124</v>
      </c>
      <c r="D60" t="s">
        <v>125</v>
      </c>
      <c r="E60" t="s">
        <v>88</v>
      </c>
    </row>
    <row r="61" spans="1:13" x14ac:dyDescent="0.25">
      <c r="A61" t="s">
        <v>126</v>
      </c>
    </row>
    <row r="63" spans="1:13" x14ac:dyDescent="0.25">
      <c r="A63" t="s">
        <v>21</v>
      </c>
      <c r="B63" t="s">
        <v>55</v>
      </c>
      <c r="C63" t="s">
        <v>36</v>
      </c>
      <c r="D63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4AD3-E769-4F0D-A28B-0212220DC6B8}">
  <dimension ref="A1:E69"/>
  <sheetViews>
    <sheetView zoomScale="115" zoomScaleNormal="115" workbookViewId="0">
      <selection activeCell="A7" sqref="A7"/>
    </sheetView>
  </sheetViews>
  <sheetFormatPr baseColWidth="10" defaultColWidth="11.42578125" defaultRowHeight="15" x14ac:dyDescent="0.25"/>
  <cols>
    <col min="1" max="1" width="86.140625" bestFit="1" customWidth="1"/>
  </cols>
  <sheetData>
    <row r="1" spans="1:5" x14ac:dyDescent="0.25">
      <c r="A1" t="e" cm="1">
        <f t="array" ref="A1">-- Traducción de la lógica principal del programa IZPA011 a SQL estándar para BigQuery</f>
        <v>#NAME?</v>
      </c>
    </row>
    <row r="3" spans="1:5" x14ac:dyDescent="0.25">
      <c r="A3" t="s">
        <v>128</v>
      </c>
    </row>
    <row r="4" spans="1:5" x14ac:dyDescent="0.25">
      <c r="A4" t="s">
        <v>129</v>
      </c>
      <c r="E4" t="s">
        <v>130</v>
      </c>
    </row>
    <row r="5" spans="1:5" x14ac:dyDescent="0.25">
      <c r="A5" t="s">
        <v>131</v>
      </c>
    </row>
    <row r="6" spans="1:5" x14ac:dyDescent="0.25">
      <c r="A6" t="s">
        <v>132</v>
      </c>
    </row>
    <row r="7" spans="1:5" x14ac:dyDescent="0.25">
      <c r="A7" t="s">
        <v>133</v>
      </c>
    </row>
    <row r="9" spans="1:5" x14ac:dyDescent="0.25">
      <c r="A9" t="s">
        <v>134</v>
      </c>
    </row>
    <row r="10" spans="1:5" x14ac:dyDescent="0.25">
      <c r="A10" t="s">
        <v>135</v>
      </c>
      <c r="B10" t="s">
        <v>136</v>
      </c>
    </row>
    <row r="12" spans="1:5" x14ac:dyDescent="0.25">
      <c r="A12" t="s">
        <v>137</v>
      </c>
    </row>
    <row r="13" spans="1:5" x14ac:dyDescent="0.25">
      <c r="A13" t="s">
        <v>138</v>
      </c>
    </row>
    <row r="14" spans="1:5" x14ac:dyDescent="0.25">
      <c r="A14" t="s">
        <v>139</v>
      </c>
    </row>
    <row r="15" spans="1:5" x14ac:dyDescent="0.25">
      <c r="A15" t="s">
        <v>140</v>
      </c>
      <c r="B15" t="s">
        <v>141</v>
      </c>
    </row>
    <row r="16" spans="1:5" x14ac:dyDescent="0.25">
      <c r="A16" t="s">
        <v>142</v>
      </c>
    </row>
    <row r="17" spans="1:2" x14ac:dyDescent="0.25">
      <c r="A17" t="s">
        <v>143</v>
      </c>
    </row>
    <row r="18" spans="1:2" x14ac:dyDescent="0.25">
      <c r="A18" t="s">
        <v>144</v>
      </c>
    </row>
    <row r="19" spans="1:2" x14ac:dyDescent="0.25">
      <c r="A19" t="s">
        <v>145</v>
      </c>
    </row>
    <row r="20" spans="1:2" x14ac:dyDescent="0.25">
      <c r="A20" t="s">
        <v>146</v>
      </c>
    </row>
    <row r="21" spans="1:2" x14ac:dyDescent="0.25">
      <c r="A21" t="s">
        <v>147</v>
      </c>
    </row>
    <row r="22" spans="1:2" x14ac:dyDescent="0.25">
      <c r="A22" t="s">
        <v>148</v>
      </c>
    </row>
    <row r="24" spans="1:2" x14ac:dyDescent="0.25">
      <c r="A24" t="s">
        <v>149</v>
      </c>
    </row>
    <row r="25" spans="1:2" x14ac:dyDescent="0.25">
      <c r="A25" t="s">
        <v>150</v>
      </c>
    </row>
    <row r="26" spans="1:2" x14ac:dyDescent="0.25">
      <c r="A26" t="s">
        <v>151</v>
      </c>
    </row>
    <row r="27" spans="1:2" x14ac:dyDescent="0.25">
      <c r="A27" t="s">
        <v>152</v>
      </c>
    </row>
    <row r="28" spans="1:2" x14ac:dyDescent="0.25">
      <c r="A28" t="s">
        <v>153</v>
      </c>
    </row>
    <row r="29" spans="1:2" x14ac:dyDescent="0.25">
      <c r="A29" t="s">
        <v>154</v>
      </c>
    </row>
    <row r="30" spans="1:2" x14ac:dyDescent="0.25">
      <c r="A30" t="s">
        <v>155</v>
      </c>
    </row>
    <row r="31" spans="1:2" x14ac:dyDescent="0.25">
      <c r="A31" t="s">
        <v>156</v>
      </c>
      <c r="B31" t="s">
        <v>157</v>
      </c>
    </row>
    <row r="32" spans="1:2" x14ac:dyDescent="0.25">
      <c r="A32" t="s">
        <v>158</v>
      </c>
    </row>
    <row r="33" spans="1:2" x14ac:dyDescent="0.25">
      <c r="A33" t="s">
        <v>159</v>
      </c>
    </row>
    <row r="34" spans="1:2" x14ac:dyDescent="0.25">
      <c r="A34" t="s">
        <v>160</v>
      </c>
    </row>
    <row r="35" spans="1:2" x14ac:dyDescent="0.25">
      <c r="A35" t="s">
        <v>161</v>
      </c>
    </row>
    <row r="36" spans="1:2" x14ac:dyDescent="0.25">
      <c r="A36" t="s">
        <v>162</v>
      </c>
    </row>
    <row r="37" spans="1:2" x14ac:dyDescent="0.25">
      <c r="A37" t="s">
        <v>163</v>
      </c>
    </row>
    <row r="38" spans="1:2" x14ac:dyDescent="0.25">
      <c r="A38" t="s">
        <v>164</v>
      </c>
    </row>
    <row r="39" spans="1:2" x14ac:dyDescent="0.25">
      <c r="A39" t="s">
        <v>165</v>
      </c>
    </row>
    <row r="40" spans="1:2" x14ac:dyDescent="0.25">
      <c r="A40" t="s">
        <v>166</v>
      </c>
    </row>
    <row r="41" spans="1:2" x14ac:dyDescent="0.25">
      <c r="A41" t="s">
        <v>167</v>
      </c>
    </row>
    <row r="42" spans="1:2" x14ac:dyDescent="0.25">
      <c r="A42" t="s">
        <v>168</v>
      </c>
    </row>
    <row r="43" spans="1:2" x14ac:dyDescent="0.25">
      <c r="A43" t="s">
        <v>169</v>
      </c>
    </row>
    <row r="44" spans="1:2" x14ac:dyDescent="0.25">
      <c r="A44" t="s">
        <v>170</v>
      </c>
    </row>
    <row r="45" spans="1:2" x14ac:dyDescent="0.25">
      <c r="A45" t="s">
        <v>171</v>
      </c>
    </row>
    <row r="46" spans="1:2" x14ac:dyDescent="0.25">
      <c r="A46" t="s">
        <v>172</v>
      </c>
    </row>
    <row r="47" spans="1:2" x14ac:dyDescent="0.25">
      <c r="A47" t="s">
        <v>173</v>
      </c>
    </row>
    <row r="48" spans="1:2" x14ac:dyDescent="0.25">
      <c r="A48" t="s">
        <v>174</v>
      </c>
      <c r="B48" t="s">
        <v>175</v>
      </c>
    </row>
    <row r="50" spans="1:3" x14ac:dyDescent="0.25">
      <c r="A50" t="s">
        <v>176</v>
      </c>
    </row>
    <row r="51" spans="1:3" x14ac:dyDescent="0.25">
      <c r="A51" t="s">
        <v>177</v>
      </c>
    </row>
    <row r="52" spans="1:3" x14ac:dyDescent="0.25">
      <c r="A52" t="s">
        <v>151</v>
      </c>
    </row>
    <row r="53" spans="1:3" x14ac:dyDescent="0.25">
      <c r="A53" t="s">
        <v>178</v>
      </c>
    </row>
    <row r="54" spans="1:3" x14ac:dyDescent="0.25">
      <c r="A54" t="s">
        <v>179</v>
      </c>
    </row>
    <row r="55" spans="1:3" x14ac:dyDescent="0.25">
      <c r="A55" t="s">
        <v>180</v>
      </c>
    </row>
    <row r="56" spans="1:3" x14ac:dyDescent="0.25">
      <c r="A56" t="s">
        <v>181</v>
      </c>
    </row>
    <row r="57" spans="1:3" x14ac:dyDescent="0.25">
      <c r="A57" t="s">
        <v>182</v>
      </c>
    </row>
    <row r="58" spans="1:3" x14ac:dyDescent="0.25">
      <c r="A58" t="s">
        <v>183</v>
      </c>
    </row>
    <row r="59" spans="1:3" x14ac:dyDescent="0.25">
      <c r="A59" t="s">
        <v>184</v>
      </c>
      <c r="B59" t="s">
        <v>185</v>
      </c>
      <c r="C59" t="s">
        <v>186</v>
      </c>
    </row>
    <row r="60" spans="1:3" x14ac:dyDescent="0.25">
      <c r="A60" t="s">
        <v>187</v>
      </c>
    </row>
    <row r="62" spans="1:3" x14ac:dyDescent="0.25">
      <c r="A62" t="s">
        <v>188</v>
      </c>
    </row>
    <row r="63" spans="1:3" x14ac:dyDescent="0.25">
      <c r="A63" t="s">
        <v>151</v>
      </c>
    </row>
    <row r="64" spans="1:3" x14ac:dyDescent="0.25">
      <c r="A64" t="s">
        <v>189</v>
      </c>
    </row>
    <row r="65" spans="1:2" x14ac:dyDescent="0.25">
      <c r="A65" t="s">
        <v>190</v>
      </c>
    </row>
    <row r="66" spans="1:2" x14ac:dyDescent="0.25">
      <c r="A66" t="s">
        <v>191</v>
      </c>
    </row>
    <row r="68" spans="1:2" x14ac:dyDescent="0.25">
      <c r="A68" t="s">
        <v>192</v>
      </c>
      <c r="B68" t="s">
        <v>193</v>
      </c>
    </row>
    <row r="69" spans="1:2" x14ac:dyDescent="0.25">
      <c r="A69" t="s">
        <v>194</v>
      </c>
      <c r="B69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F594-07A5-4481-8300-5FB0754BA412}">
  <dimension ref="A1:C386"/>
  <sheetViews>
    <sheetView topLeftCell="A118" zoomScale="115" zoomScaleNormal="115" workbookViewId="0">
      <selection activeCell="B137" sqref="B137"/>
    </sheetView>
  </sheetViews>
  <sheetFormatPr baseColWidth="10" defaultColWidth="11.42578125" defaultRowHeight="15" x14ac:dyDescent="0.25"/>
  <cols>
    <col min="1" max="1" width="8.5703125" bestFit="1" customWidth="1"/>
    <col min="2" max="2" width="112.7109375" bestFit="1" customWidth="1"/>
    <col min="3" max="3" width="14" bestFit="1" customWidth="1"/>
  </cols>
  <sheetData>
    <row r="1" spans="1:3" x14ac:dyDescent="0.25">
      <c r="A1" s="10" t="s">
        <v>196</v>
      </c>
      <c r="B1" s="10" t="s">
        <v>197</v>
      </c>
      <c r="C1" s="10" t="s">
        <v>198</v>
      </c>
    </row>
    <row r="2" spans="1:3" x14ac:dyDescent="0.25">
      <c r="A2" s="11" t="s">
        <v>199</v>
      </c>
      <c r="B2" s="11" t="s">
        <v>200</v>
      </c>
      <c r="C2" s="11" t="s">
        <v>201</v>
      </c>
    </row>
    <row r="3" spans="1:3" x14ac:dyDescent="0.25">
      <c r="A3" s="11" t="s">
        <v>202</v>
      </c>
      <c r="B3" s="11" t="s">
        <v>203</v>
      </c>
      <c r="C3" s="11" t="s">
        <v>201</v>
      </c>
    </row>
    <row r="4" spans="1:3" x14ac:dyDescent="0.25">
      <c r="A4" s="11" t="s">
        <v>204</v>
      </c>
      <c r="B4" s="11" t="s">
        <v>205</v>
      </c>
      <c r="C4" s="11" t="s">
        <v>206</v>
      </c>
    </row>
    <row r="5" spans="1:3" x14ac:dyDescent="0.25">
      <c r="A5" s="11" t="s">
        <v>207</v>
      </c>
      <c r="B5" s="11" t="s">
        <v>208</v>
      </c>
      <c r="C5" s="11" t="s">
        <v>206</v>
      </c>
    </row>
    <row r="6" spans="1:3" x14ac:dyDescent="0.25">
      <c r="A6" s="11" t="s">
        <v>209</v>
      </c>
      <c r="B6" s="11" t="s">
        <v>210</v>
      </c>
      <c r="C6" s="11" t="s">
        <v>211</v>
      </c>
    </row>
    <row r="7" spans="1:3" x14ac:dyDescent="0.25">
      <c r="A7" s="11" t="s">
        <v>212</v>
      </c>
      <c r="B7" s="11" t="s">
        <v>213</v>
      </c>
      <c r="C7" s="11" t="s">
        <v>211</v>
      </c>
    </row>
    <row r="8" spans="1:3" x14ac:dyDescent="0.25">
      <c r="A8" s="11" t="s">
        <v>214</v>
      </c>
      <c r="B8" s="11" t="s">
        <v>215</v>
      </c>
      <c r="C8" s="11" t="s">
        <v>211</v>
      </c>
    </row>
    <row r="9" spans="1:3" x14ac:dyDescent="0.25">
      <c r="A9" s="11" t="s">
        <v>216</v>
      </c>
      <c r="B9" s="11" t="s">
        <v>217</v>
      </c>
      <c r="C9" s="11" t="s">
        <v>211</v>
      </c>
    </row>
    <row r="10" spans="1:3" x14ac:dyDescent="0.25">
      <c r="A10" s="11" t="s">
        <v>218</v>
      </c>
      <c r="B10" s="11" t="s">
        <v>219</v>
      </c>
      <c r="C10" s="11" t="s">
        <v>201</v>
      </c>
    </row>
    <row r="11" spans="1:3" x14ac:dyDescent="0.25">
      <c r="A11" s="11" t="s">
        <v>220</v>
      </c>
      <c r="B11" s="11" t="s">
        <v>217</v>
      </c>
      <c r="C11" s="11" t="s">
        <v>211</v>
      </c>
    </row>
    <row r="12" spans="1:3" x14ac:dyDescent="0.25">
      <c r="A12" s="11" t="s">
        <v>221</v>
      </c>
      <c r="B12" s="11" t="s">
        <v>222</v>
      </c>
      <c r="C12" s="11" t="s">
        <v>211</v>
      </c>
    </row>
    <row r="13" spans="1:3" x14ac:dyDescent="0.25">
      <c r="A13" s="12" t="s">
        <v>223</v>
      </c>
      <c r="B13" s="12" t="s">
        <v>224</v>
      </c>
      <c r="C13" s="12" t="s">
        <v>201</v>
      </c>
    </row>
    <row r="14" spans="1:3" x14ac:dyDescent="0.25">
      <c r="A14" s="12" t="s">
        <v>225</v>
      </c>
      <c r="B14" s="12" t="s">
        <v>226</v>
      </c>
      <c r="C14" s="12" t="s">
        <v>201</v>
      </c>
    </row>
    <row r="15" spans="1:3" x14ac:dyDescent="0.25">
      <c r="A15" s="12" t="s">
        <v>227</v>
      </c>
      <c r="B15" s="12" t="s">
        <v>228</v>
      </c>
      <c r="C15" s="12" t="s">
        <v>211</v>
      </c>
    </row>
    <row r="16" spans="1:3" x14ac:dyDescent="0.25">
      <c r="A16" s="12" t="s">
        <v>229</v>
      </c>
      <c r="B16" s="12" t="s">
        <v>230</v>
      </c>
      <c r="C16" s="12" t="s">
        <v>201</v>
      </c>
    </row>
    <row r="17" spans="1:3" x14ac:dyDescent="0.25">
      <c r="A17" s="12" t="s">
        <v>231</v>
      </c>
      <c r="B17" s="12" t="s">
        <v>232</v>
      </c>
      <c r="C17" s="12" t="s">
        <v>201</v>
      </c>
    </row>
    <row r="18" spans="1:3" x14ac:dyDescent="0.25">
      <c r="A18" s="12" t="s">
        <v>233</v>
      </c>
      <c r="B18" s="12" t="s">
        <v>234</v>
      </c>
      <c r="C18" s="12" t="s">
        <v>201</v>
      </c>
    </row>
    <row r="19" spans="1:3" x14ac:dyDescent="0.25">
      <c r="A19" s="12" t="s">
        <v>235</v>
      </c>
      <c r="B19" s="12" t="s">
        <v>236</v>
      </c>
      <c r="C19" s="12" t="s">
        <v>237</v>
      </c>
    </row>
    <row r="20" spans="1:3" x14ac:dyDescent="0.25">
      <c r="A20" s="12" t="s">
        <v>238</v>
      </c>
      <c r="B20" s="12" t="s">
        <v>239</v>
      </c>
      <c r="C20" s="12" t="s">
        <v>237</v>
      </c>
    </row>
    <row r="21" spans="1:3" x14ac:dyDescent="0.25">
      <c r="A21" s="11" t="s">
        <v>240</v>
      </c>
      <c r="B21" s="11" t="s">
        <v>241</v>
      </c>
      <c r="C21" s="11" t="s">
        <v>201</v>
      </c>
    </row>
    <row r="22" spans="1:3" x14ac:dyDescent="0.25">
      <c r="A22" s="13" t="s">
        <v>242</v>
      </c>
      <c r="B22" s="13" t="s">
        <v>243</v>
      </c>
      <c r="C22" s="13" t="s">
        <v>211</v>
      </c>
    </row>
    <row r="23" spans="1:3" x14ac:dyDescent="0.25">
      <c r="A23" s="11" t="s">
        <v>244</v>
      </c>
      <c r="B23" s="11" t="s">
        <v>241</v>
      </c>
      <c r="C23" s="11" t="s">
        <v>201</v>
      </c>
    </row>
    <row r="24" spans="1:3" x14ac:dyDescent="0.25">
      <c r="A24" s="13" t="s">
        <v>245</v>
      </c>
      <c r="B24" s="13" t="s">
        <v>246</v>
      </c>
      <c r="C24" s="13" t="s">
        <v>201</v>
      </c>
    </row>
    <row r="25" spans="1:3" x14ac:dyDescent="0.25">
      <c r="A25" s="13" t="s">
        <v>247</v>
      </c>
      <c r="B25" s="13" t="s">
        <v>248</v>
      </c>
      <c r="C25" s="13" t="s">
        <v>201</v>
      </c>
    </row>
    <row r="26" spans="1:3" x14ac:dyDescent="0.25">
      <c r="A26" s="11" t="s">
        <v>249</v>
      </c>
      <c r="B26" s="11" t="s">
        <v>250</v>
      </c>
      <c r="C26" s="11" t="s">
        <v>201</v>
      </c>
    </row>
    <row r="27" spans="1:3" x14ac:dyDescent="0.25">
      <c r="A27" s="13" t="s">
        <v>251</v>
      </c>
      <c r="B27" s="13" t="s">
        <v>252</v>
      </c>
      <c r="C27" s="13" t="s">
        <v>201</v>
      </c>
    </row>
    <row r="28" spans="1:3" x14ac:dyDescent="0.25">
      <c r="A28" s="11" t="s">
        <v>253</v>
      </c>
      <c r="B28" s="11" t="s">
        <v>254</v>
      </c>
      <c r="C28" s="11" t="s">
        <v>201</v>
      </c>
    </row>
    <row r="29" spans="1:3" x14ac:dyDescent="0.25">
      <c r="A29" s="13" t="s">
        <v>255</v>
      </c>
      <c r="B29" s="13" t="s">
        <v>256</v>
      </c>
      <c r="C29" s="13" t="s">
        <v>201</v>
      </c>
    </row>
    <row r="30" spans="1:3" x14ac:dyDescent="0.25">
      <c r="A30" s="13" t="s">
        <v>257</v>
      </c>
      <c r="B30" s="13" t="s">
        <v>258</v>
      </c>
      <c r="C30" s="13" t="s">
        <v>201</v>
      </c>
    </row>
    <row r="31" spans="1:3" x14ac:dyDescent="0.25">
      <c r="A31" s="13" t="s">
        <v>259</v>
      </c>
      <c r="B31" s="13" t="s">
        <v>260</v>
      </c>
      <c r="C31" s="13" t="s">
        <v>201</v>
      </c>
    </row>
    <row r="32" spans="1:3" x14ac:dyDescent="0.25">
      <c r="A32" s="11" t="s">
        <v>261</v>
      </c>
      <c r="B32" s="11" t="s">
        <v>254</v>
      </c>
      <c r="C32" s="11" t="s">
        <v>201</v>
      </c>
    </row>
    <row r="33" spans="1:3" x14ac:dyDescent="0.25">
      <c r="A33" s="13" t="s">
        <v>262</v>
      </c>
      <c r="B33" s="13" t="s">
        <v>263</v>
      </c>
      <c r="C33" s="13" t="s">
        <v>237</v>
      </c>
    </row>
    <row r="34" spans="1:3" x14ac:dyDescent="0.25">
      <c r="A34" s="13" t="s">
        <v>264</v>
      </c>
      <c r="B34" s="13" t="s">
        <v>265</v>
      </c>
      <c r="C34" s="13" t="s">
        <v>237</v>
      </c>
    </row>
    <row r="35" spans="1:3" x14ac:dyDescent="0.25">
      <c r="A35" s="13" t="s">
        <v>266</v>
      </c>
      <c r="B35" s="13" t="s">
        <v>267</v>
      </c>
      <c r="C35" s="13" t="s">
        <v>237</v>
      </c>
    </row>
    <row r="36" spans="1:3" x14ac:dyDescent="0.25">
      <c r="A36" s="13" t="s">
        <v>268</v>
      </c>
      <c r="B36" s="13" t="s">
        <v>269</v>
      </c>
      <c r="C36" s="13" t="s">
        <v>237</v>
      </c>
    </row>
    <row r="37" spans="1:3" x14ac:dyDescent="0.25">
      <c r="A37" s="13" t="s">
        <v>270</v>
      </c>
      <c r="B37" s="13" t="s">
        <v>271</v>
      </c>
      <c r="C37" s="13" t="s">
        <v>237</v>
      </c>
    </row>
    <row r="38" spans="1:3" x14ac:dyDescent="0.25">
      <c r="A38" s="13" t="s">
        <v>272</v>
      </c>
      <c r="B38" s="13" t="s">
        <v>273</v>
      </c>
      <c r="C38" s="13" t="s">
        <v>237</v>
      </c>
    </row>
    <row r="39" spans="1:3" x14ac:dyDescent="0.25">
      <c r="A39" s="13" t="s">
        <v>274</v>
      </c>
      <c r="B39" s="13" t="s">
        <v>275</v>
      </c>
      <c r="C39" s="13" t="s">
        <v>237</v>
      </c>
    </row>
    <row r="40" spans="1:3" x14ac:dyDescent="0.25">
      <c r="A40" s="13" t="s">
        <v>276</v>
      </c>
      <c r="B40" s="13" t="s">
        <v>277</v>
      </c>
      <c r="C40" s="13" t="s">
        <v>237</v>
      </c>
    </row>
    <row r="41" spans="1:3" x14ac:dyDescent="0.25">
      <c r="A41" s="13" t="s">
        <v>278</v>
      </c>
      <c r="B41" s="13" t="s">
        <v>279</v>
      </c>
      <c r="C41" s="13" t="s">
        <v>237</v>
      </c>
    </row>
    <row r="42" spans="1:3" x14ac:dyDescent="0.25">
      <c r="A42" s="13" t="s">
        <v>280</v>
      </c>
      <c r="B42" s="13" t="s">
        <v>281</v>
      </c>
      <c r="C42" s="13" t="s">
        <v>211</v>
      </c>
    </row>
    <row r="43" spans="1:3" x14ac:dyDescent="0.25">
      <c r="A43" s="11" t="s">
        <v>282</v>
      </c>
      <c r="B43" s="11" t="s">
        <v>283</v>
      </c>
      <c r="C43" s="11" t="s">
        <v>201</v>
      </c>
    </row>
    <row r="44" spans="1:3" x14ac:dyDescent="0.25">
      <c r="A44" s="11" t="s">
        <v>284</v>
      </c>
      <c r="B44" s="11" t="s">
        <v>285</v>
      </c>
      <c r="C44" s="11" t="s">
        <v>201</v>
      </c>
    </row>
    <row r="45" spans="1:3" x14ac:dyDescent="0.25">
      <c r="A45" s="11" t="s">
        <v>286</v>
      </c>
      <c r="B45" s="11" t="s">
        <v>283</v>
      </c>
      <c r="C45" s="11" t="s">
        <v>201</v>
      </c>
    </row>
    <row r="46" spans="1:3" x14ac:dyDescent="0.25">
      <c r="A46" s="11" t="s">
        <v>287</v>
      </c>
      <c r="B46" s="11" t="s">
        <v>288</v>
      </c>
      <c r="C46" s="11" t="s">
        <v>201</v>
      </c>
    </row>
    <row r="47" spans="1:3" x14ac:dyDescent="0.25">
      <c r="A47" s="14" t="s">
        <v>289</v>
      </c>
      <c r="B47" s="14" t="s">
        <v>290</v>
      </c>
      <c r="C47" s="14" t="s">
        <v>291</v>
      </c>
    </row>
    <row r="48" spans="1:3" x14ac:dyDescent="0.25">
      <c r="A48" s="14" t="s">
        <v>292</v>
      </c>
      <c r="B48" s="14" t="s">
        <v>293</v>
      </c>
      <c r="C48" s="14" t="s">
        <v>291</v>
      </c>
    </row>
    <row r="49" spans="1:3" x14ac:dyDescent="0.25">
      <c r="A49" s="14" t="s">
        <v>294</v>
      </c>
      <c r="B49" s="14" t="s">
        <v>295</v>
      </c>
      <c r="C49" s="14" t="s">
        <v>291</v>
      </c>
    </row>
    <row r="50" spans="1:3" x14ac:dyDescent="0.25">
      <c r="A50" s="14" t="s">
        <v>296</v>
      </c>
      <c r="B50" s="14" t="s">
        <v>297</v>
      </c>
      <c r="C50" s="14" t="s">
        <v>291</v>
      </c>
    </row>
    <row r="51" spans="1:3" x14ac:dyDescent="0.25">
      <c r="A51" s="14" t="s">
        <v>298</v>
      </c>
      <c r="B51" s="14" t="s">
        <v>299</v>
      </c>
      <c r="C51" s="14" t="s">
        <v>291</v>
      </c>
    </row>
    <row r="52" spans="1:3" x14ac:dyDescent="0.25">
      <c r="A52" s="14" t="s">
        <v>300</v>
      </c>
      <c r="B52" s="14" t="s">
        <v>301</v>
      </c>
      <c r="C52" s="14" t="s">
        <v>291</v>
      </c>
    </row>
    <row r="53" spans="1:3" x14ac:dyDescent="0.25">
      <c r="A53" s="14" t="s">
        <v>302</v>
      </c>
      <c r="B53" s="14" t="s">
        <v>303</v>
      </c>
      <c r="C53" s="14" t="s">
        <v>291</v>
      </c>
    </row>
    <row r="54" spans="1:3" x14ac:dyDescent="0.25">
      <c r="A54" s="14" t="s">
        <v>304</v>
      </c>
      <c r="B54" s="14" t="s">
        <v>305</v>
      </c>
      <c r="C54" s="14" t="s">
        <v>291</v>
      </c>
    </row>
    <row r="55" spans="1:3" x14ac:dyDescent="0.25">
      <c r="A55" s="14" t="s">
        <v>306</v>
      </c>
      <c r="B55" s="14" t="s">
        <v>307</v>
      </c>
      <c r="C55" s="14" t="s">
        <v>291</v>
      </c>
    </row>
    <row r="56" spans="1:3" x14ac:dyDescent="0.25">
      <c r="A56" s="14" t="s">
        <v>308</v>
      </c>
      <c r="B56" s="14" t="s">
        <v>309</v>
      </c>
      <c r="C56" s="14" t="s">
        <v>291</v>
      </c>
    </row>
    <row r="57" spans="1:3" x14ac:dyDescent="0.25">
      <c r="A57" s="14" t="s">
        <v>310</v>
      </c>
      <c r="B57" s="14" t="s">
        <v>293</v>
      </c>
      <c r="C57" s="14" t="s">
        <v>291</v>
      </c>
    </row>
    <row r="58" spans="1:3" x14ac:dyDescent="0.25">
      <c r="A58" s="14" t="s">
        <v>311</v>
      </c>
      <c r="B58" s="14" t="s">
        <v>295</v>
      </c>
      <c r="C58" s="14" t="s">
        <v>291</v>
      </c>
    </row>
    <row r="59" spans="1:3" x14ac:dyDescent="0.25">
      <c r="A59" s="14" t="s">
        <v>312</v>
      </c>
      <c r="B59" s="14" t="s">
        <v>313</v>
      </c>
      <c r="C59" s="14" t="s">
        <v>291</v>
      </c>
    </row>
    <row r="60" spans="1:3" x14ac:dyDescent="0.25">
      <c r="A60" s="14" t="s">
        <v>314</v>
      </c>
      <c r="B60" s="14" t="s">
        <v>309</v>
      </c>
      <c r="C60" s="14" t="s">
        <v>291</v>
      </c>
    </row>
    <row r="61" spans="1:3" x14ac:dyDescent="0.25">
      <c r="A61" s="11" t="s">
        <v>315</v>
      </c>
      <c r="B61" s="11" t="s">
        <v>316</v>
      </c>
      <c r="C61" s="11" t="s">
        <v>201</v>
      </c>
    </row>
    <row r="62" spans="1:3" x14ac:dyDescent="0.25">
      <c r="A62" s="15" t="s">
        <v>317</v>
      </c>
      <c r="B62" s="15" t="s">
        <v>318</v>
      </c>
      <c r="C62" s="15" t="s">
        <v>201</v>
      </c>
    </row>
    <row r="63" spans="1:3" x14ac:dyDescent="0.25">
      <c r="A63" s="11" t="s">
        <v>319</v>
      </c>
      <c r="B63" s="11" t="s">
        <v>285</v>
      </c>
      <c r="C63" s="11" t="s">
        <v>201</v>
      </c>
    </row>
    <row r="64" spans="1:3" x14ac:dyDescent="0.25">
      <c r="A64" s="13" t="s">
        <v>320</v>
      </c>
      <c r="B64" s="13" t="s">
        <v>321</v>
      </c>
      <c r="C64" s="13" t="s">
        <v>201</v>
      </c>
    </row>
    <row r="65" spans="1:3" x14ac:dyDescent="0.25">
      <c r="A65" s="15" t="s">
        <v>322</v>
      </c>
      <c r="B65" s="15" t="s">
        <v>323</v>
      </c>
      <c r="C65" s="15" t="s">
        <v>201</v>
      </c>
    </row>
    <row r="66" spans="1:3" x14ac:dyDescent="0.25">
      <c r="A66" s="11" t="s">
        <v>324</v>
      </c>
      <c r="B66" s="11" t="s">
        <v>325</v>
      </c>
      <c r="C66" s="11" t="s">
        <v>237</v>
      </c>
    </row>
    <row r="67" spans="1:3" x14ac:dyDescent="0.25">
      <c r="A67" s="11" t="s">
        <v>326</v>
      </c>
      <c r="B67" s="11" t="s">
        <v>327</v>
      </c>
      <c r="C67" s="11" t="s">
        <v>237</v>
      </c>
    </row>
    <row r="68" spans="1:3" x14ac:dyDescent="0.25">
      <c r="A68" s="11" t="s">
        <v>328</v>
      </c>
      <c r="B68" s="11" t="s">
        <v>325</v>
      </c>
      <c r="C68" s="11" t="s">
        <v>237</v>
      </c>
    </row>
    <row r="69" spans="1:3" x14ac:dyDescent="0.25">
      <c r="A69" s="15" t="s">
        <v>329</v>
      </c>
      <c r="B69" s="15" t="s">
        <v>330</v>
      </c>
      <c r="C69" s="15" t="s">
        <v>237</v>
      </c>
    </row>
    <row r="70" spans="1:3" x14ac:dyDescent="0.25">
      <c r="A70" s="13" t="s">
        <v>331</v>
      </c>
      <c r="B70" s="13" t="s">
        <v>332</v>
      </c>
      <c r="C70" s="13" t="s">
        <v>237</v>
      </c>
    </row>
    <row r="71" spans="1:3" x14ac:dyDescent="0.25">
      <c r="A71" s="13" t="s">
        <v>333</v>
      </c>
      <c r="B71" s="13" t="s">
        <v>334</v>
      </c>
      <c r="C71" s="13" t="s">
        <v>237</v>
      </c>
    </row>
    <row r="72" spans="1:3" x14ac:dyDescent="0.25">
      <c r="A72" s="13" t="s">
        <v>335</v>
      </c>
      <c r="B72" s="13" t="s">
        <v>336</v>
      </c>
      <c r="C72" s="13" t="s">
        <v>237</v>
      </c>
    </row>
    <row r="73" spans="1:3" x14ac:dyDescent="0.25">
      <c r="A73" s="15" t="s">
        <v>337</v>
      </c>
      <c r="B73" s="15" t="s">
        <v>338</v>
      </c>
      <c r="C73" s="15" t="s">
        <v>237</v>
      </c>
    </row>
    <row r="74" spans="1:3" x14ac:dyDescent="0.25">
      <c r="A74" s="11" t="s">
        <v>339</v>
      </c>
      <c r="B74" s="11" t="s">
        <v>325</v>
      </c>
      <c r="C74" s="11" t="s">
        <v>237</v>
      </c>
    </row>
    <row r="75" spans="1:3" x14ac:dyDescent="0.25">
      <c r="A75" s="11" t="s">
        <v>340</v>
      </c>
      <c r="B75" s="11" t="s">
        <v>341</v>
      </c>
      <c r="C75" s="11" t="s">
        <v>237</v>
      </c>
    </row>
    <row r="76" spans="1:3" x14ac:dyDescent="0.25">
      <c r="A76" s="11" t="s">
        <v>342</v>
      </c>
      <c r="B76" s="11" t="s">
        <v>325</v>
      </c>
      <c r="C76" s="11" t="s">
        <v>237</v>
      </c>
    </row>
    <row r="77" spans="1:3" x14ac:dyDescent="0.25">
      <c r="A77" s="15" t="s">
        <v>343</v>
      </c>
      <c r="B77" s="15" t="s">
        <v>344</v>
      </c>
      <c r="C77" s="15" t="s">
        <v>237</v>
      </c>
    </row>
    <row r="78" spans="1:3" x14ac:dyDescent="0.25">
      <c r="A78" s="12" t="s">
        <v>345</v>
      </c>
      <c r="B78" s="12" t="s">
        <v>346</v>
      </c>
      <c r="C78" s="12" t="s">
        <v>237</v>
      </c>
    </row>
    <row r="79" spans="1:3" x14ac:dyDescent="0.25">
      <c r="A79" s="16" t="s">
        <v>347</v>
      </c>
      <c r="B79" s="16" t="s">
        <v>348</v>
      </c>
      <c r="C79" s="16" t="s">
        <v>237</v>
      </c>
    </row>
    <row r="80" spans="1:3" x14ac:dyDescent="0.25">
      <c r="A80" s="13" t="s">
        <v>349</v>
      </c>
      <c r="B80" s="13" t="s">
        <v>350</v>
      </c>
      <c r="C80" s="13" t="s">
        <v>237</v>
      </c>
    </row>
    <row r="81" spans="1:3" x14ac:dyDescent="0.25">
      <c r="A81" s="16" t="s">
        <v>351</v>
      </c>
      <c r="B81" s="16" t="s">
        <v>352</v>
      </c>
      <c r="C81" s="16" t="s">
        <v>237</v>
      </c>
    </row>
    <row r="82" spans="1:3" x14ac:dyDescent="0.25">
      <c r="A82" s="12" t="s">
        <v>353</v>
      </c>
      <c r="B82" s="12" t="s">
        <v>354</v>
      </c>
      <c r="C82" s="12" t="s">
        <v>237</v>
      </c>
    </row>
    <row r="83" spans="1:3" x14ac:dyDescent="0.25">
      <c r="A83" s="12" t="s">
        <v>355</v>
      </c>
      <c r="B83" s="12" t="s">
        <v>356</v>
      </c>
      <c r="C83" s="12" t="s">
        <v>237</v>
      </c>
    </row>
    <row r="84" spans="1:3" x14ac:dyDescent="0.25">
      <c r="A84" s="13" t="s">
        <v>357</v>
      </c>
      <c r="B84" s="13" t="s">
        <v>350</v>
      </c>
      <c r="C84" s="13" t="s">
        <v>237</v>
      </c>
    </row>
    <row r="85" spans="1:3" x14ac:dyDescent="0.25">
      <c r="A85" s="16" t="s">
        <v>358</v>
      </c>
      <c r="B85" s="16" t="s">
        <v>359</v>
      </c>
      <c r="C85" s="16" t="s">
        <v>237</v>
      </c>
    </row>
    <row r="86" spans="1:3" x14ac:dyDescent="0.25">
      <c r="A86" s="15" t="s">
        <v>360</v>
      </c>
      <c r="B86" s="15" t="s">
        <v>338</v>
      </c>
      <c r="C86" s="15" t="s">
        <v>237</v>
      </c>
    </row>
    <row r="87" spans="1:3" x14ac:dyDescent="0.25">
      <c r="A87" s="11" t="s">
        <v>361</v>
      </c>
      <c r="B87" s="11" t="s">
        <v>325</v>
      </c>
      <c r="C87" s="11" t="s">
        <v>201</v>
      </c>
    </row>
    <row r="88" spans="1:3" x14ac:dyDescent="0.25">
      <c r="A88" s="11" t="s">
        <v>362</v>
      </c>
      <c r="B88" s="11" t="s">
        <v>285</v>
      </c>
      <c r="C88" s="11" t="s">
        <v>201</v>
      </c>
    </row>
    <row r="89" spans="1:3" x14ac:dyDescent="0.25">
      <c r="A89" s="11" t="s">
        <v>363</v>
      </c>
      <c r="B89" s="11" t="s">
        <v>325</v>
      </c>
      <c r="C89" s="11" t="s">
        <v>201</v>
      </c>
    </row>
    <row r="90" spans="1:3" x14ac:dyDescent="0.25">
      <c r="A90" s="15" t="s">
        <v>364</v>
      </c>
      <c r="B90" s="15" t="s">
        <v>365</v>
      </c>
      <c r="C90" s="15" t="s">
        <v>201</v>
      </c>
    </row>
    <row r="91" spans="1:3" x14ac:dyDescent="0.25">
      <c r="A91" s="13" t="s">
        <v>366</v>
      </c>
      <c r="B91" s="13" t="s">
        <v>367</v>
      </c>
      <c r="C91" s="13" t="s">
        <v>201</v>
      </c>
    </row>
    <row r="92" spans="1:3" x14ac:dyDescent="0.25">
      <c r="A92" s="13" t="s">
        <v>368</v>
      </c>
      <c r="B92" s="13" t="s">
        <v>369</v>
      </c>
      <c r="C92" s="13" t="s">
        <v>201</v>
      </c>
    </row>
    <row r="93" spans="1:3" x14ac:dyDescent="0.25">
      <c r="A93" s="12" t="s">
        <v>370</v>
      </c>
      <c r="B93" s="12" t="s">
        <v>371</v>
      </c>
      <c r="C93" s="12" t="s">
        <v>201</v>
      </c>
    </row>
    <row r="94" spans="1:3" x14ac:dyDescent="0.25">
      <c r="A94" s="13" t="s">
        <v>372</v>
      </c>
      <c r="B94" s="13" t="s">
        <v>373</v>
      </c>
      <c r="C94" s="13" t="s">
        <v>201</v>
      </c>
    </row>
    <row r="95" spans="1:3" x14ac:dyDescent="0.25">
      <c r="A95" s="13" t="s">
        <v>374</v>
      </c>
      <c r="B95" s="13" t="s">
        <v>375</v>
      </c>
      <c r="C95" s="13" t="s">
        <v>201</v>
      </c>
    </row>
    <row r="96" spans="1:3" x14ac:dyDescent="0.25">
      <c r="A96" s="13" t="s">
        <v>376</v>
      </c>
      <c r="B96" s="13" t="s">
        <v>377</v>
      </c>
      <c r="C96" s="13" t="s">
        <v>378</v>
      </c>
    </row>
    <row r="97" spans="1:3" x14ac:dyDescent="0.25">
      <c r="A97" s="13" t="s">
        <v>379</v>
      </c>
      <c r="B97" s="13" t="s">
        <v>380</v>
      </c>
      <c r="C97" s="13" t="s">
        <v>201</v>
      </c>
    </row>
    <row r="98" spans="1:3" x14ac:dyDescent="0.25">
      <c r="A98" s="13" t="s">
        <v>381</v>
      </c>
      <c r="B98" s="13" t="s">
        <v>382</v>
      </c>
      <c r="C98" s="13" t="s">
        <v>211</v>
      </c>
    </row>
    <row r="99" spans="1:3" x14ac:dyDescent="0.25">
      <c r="A99" s="13" t="s">
        <v>383</v>
      </c>
      <c r="B99" s="13" t="s">
        <v>384</v>
      </c>
      <c r="C99" s="13" t="s">
        <v>211</v>
      </c>
    </row>
    <row r="100" spans="1:3" x14ac:dyDescent="0.25">
      <c r="A100" s="13" t="s">
        <v>385</v>
      </c>
      <c r="B100" s="13" t="s">
        <v>369</v>
      </c>
      <c r="C100" s="13" t="s">
        <v>201</v>
      </c>
    </row>
    <row r="101" spans="1:3" x14ac:dyDescent="0.25">
      <c r="A101" s="12" t="s">
        <v>386</v>
      </c>
      <c r="B101" s="12" t="s">
        <v>387</v>
      </c>
      <c r="C101" s="12" t="s">
        <v>201</v>
      </c>
    </row>
    <row r="102" spans="1:3" x14ac:dyDescent="0.25">
      <c r="A102" s="13" t="s">
        <v>388</v>
      </c>
      <c r="B102" s="13" t="s">
        <v>373</v>
      </c>
      <c r="C102" s="13" t="s">
        <v>201</v>
      </c>
    </row>
    <row r="103" spans="1:3" x14ac:dyDescent="0.25">
      <c r="A103" s="11" t="s">
        <v>389</v>
      </c>
      <c r="B103" s="11" t="s">
        <v>285</v>
      </c>
      <c r="C103" s="11" t="s">
        <v>201</v>
      </c>
    </row>
    <row r="104" spans="1:3" x14ac:dyDescent="0.25">
      <c r="A104" s="13" t="s">
        <v>390</v>
      </c>
      <c r="B104" s="13" t="s">
        <v>369</v>
      </c>
      <c r="C104" s="13" t="s">
        <v>201</v>
      </c>
    </row>
    <row r="105" spans="1:3" x14ac:dyDescent="0.25">
      <c r="A105" s="13" t="s">
        <v>391</v>
      </c>
      <c r="B105" s="13" t="s">
        <v>392</v>
      </c>
      <c r="C105" s="13" t="s">
        <v>201</v>
      </c>
    </row>
    <row r="106" spans="1:3" x14ac:dyDescent="0.25">
      <c r="A106" s="13" t="s">
        <v>393</v>
      </c>
      <c r="B106" s="13" t="s">
        <v>373</v>
      </c>
      <c r="C106" s="13" t="s">
        <v>201</v>
      </c>
    </row>
    <row r="107" spans="1:3" x14ac:dyDescent="0.25">
      <c r="A107" s="11" t="s">
        <v>394</v>
      </c>
      <c r="B107" s="11" t="s">
        <v>285</v>
      </c>
      <c r="C107" s="11" t="s">
        <v>201</v>
      </c>
    </row>
    <row r="108" spans="1:3" x14ac:dyDescent="0.25">
      <c r="A108" s="13" t="s">
        <v>395</v>
      </c>
      <c r="B108" s="13" t="s">
        <v>369</v>
      </c>
      <c r="C108" s="13" t="s">
        <v>201</v>
      </c>
    </row>
    <row r="109" spans="1:3" x14ac:dyDescent="0.25">
      <c r="A109" s="13" t="s">
        <v>396</v>
      </c>
      <c r="B109" s="13" t="s">
        <v>397</v>
      </c>
      <c r="C109" s="13" t="s">
        <v>201</v>
      </c>
    </row>
    <row r="110" spans="1:3" x14ac:dyDescent="0.25">
      <c r="A110" s="13" t="s">
        <v>398</v>
      </c>
      <c r="B110" s="13" t="s">
        <v>373</v>
      </c>
      <c r="C110" s="13" t="s">
        <v>201</v>
      </c>
    </row>
    <row r="111" spans="1:3" x14ac:dyDescent="0.25">
      <c r="A111" s="11" t="s">
        <v>399</v>
      </c>
      <c r="B111" s="11" t="s">
        <v>285</v>
      </c>
      <c r="C111" s="11" t="s">
        <v>201</v>
      </c>
    </row>
    <row r="112" spans="1:3" x14ac:dyDescent="0.25">
      <c r="A112" s="11" t="s">
        <v>400</v>
      </c>
      <c r="B112" s="11" t="s">
        <v>401</v>
      </c>
      <c r="C112" s="11" t="s">
        <v>201</v>
      </c>
    </row>
    <row r="113" spans="1:3" x14ac:dyDescent="0.25">
      <c r="A113" s="13" t="s">
        <v>402</v>
      </c>
      <c r="B113" s="13" t="s">
        <v>369</v>
      </c>
      <c r="C113" s="13" t="s">
        <v>201</v>
      </c>
    </row>
    <row r="114" spans="1:3" x14ac:dyDescent="0.25">
      <c r="A114" s="12" t="s">
        <v>403</v>
      </c>
      <c r="B114" s="12" t="s">
        <v>404</v>
      </c>
      <c r="C114" s="12" t="s">
        <v>201</v>
      </c>
    </row>
    <row r="115" spans="1:3" x14ac:dyDescent="0.25">
      <c r="A115" s="13" t="s">
        <v>405</v>
      </c>
      <c r="B115" s="13" t="s">
        <v>373</v>
      </c>
      <c r="C115" s="13" t="s">
        <v>201</v>
      </c>
    </row>
    <row r="116" spans="1:3" x14ac:dyDescent="0.25">
      <c r="A116" s="13" t="s">
        <v>406</v>
      </c>
      <c r="B116" s="13" t="s">
        <v>407</v>
      </c>
      <c r="C116" s="13" t="s">
        <v>201</v>
      </c>
    </row>
    <row r="117" spans="1:3" x14ac:dyDescent="0.25">
      <c r="A117" s="16" t="s">
        <v>408</v>
      </c>
      <c r="B117" s="16" t="s">
        <v>409</v>
      </c>
      <c r="C117" s="16" t="s">
        <v>201</v>
      </c>
    </row>
    <row r="118" spans="1:3" x14ac:dyDescent="0.25">
      <c r="A118" s="16" t="s">
        <v>410</v>
      </c>
      <c r="B118" s="16" t="s">
        <v>411</v>
      </c>
      <c r="C118" s="16" t="s">
        <v>412</v>
      </c>
    </row>
    <row r="119" spans="1:3" x14ac:dyDescent="0.25">
      <c r="A119" s="16" t="s">
        <v>413</v>
      </c>
      <c r="B119" s="16" t="s">
        <v>414</v>
      </c>
      <c r="C119" s="16" t="s">
        <v>201</v>
      </c>
    </row>
    <row r="120" spans="1:3" x14ac:dyDescent="0.25">
      <c r="A120" s="15" t="s">
        <v>415</v>
      </c>
      <c r="B120" s="15" t="s">
        <v>416</v>
      </c>
      <c r="C120" s="15" t="s">
        <v>201</v>
      </c>
    </row>
    <row r="121" spans="1:3" x14ac:dyDescent="0.25">
      <c r="A121" s="16" t="s">
        <v>417</v>
      </c>
      <c r="B121" s="16" t="s">
        <v>359</v>
      </c>
      <c r="C121" s="16" t="s">
        <v>201</v>
      </c>
    </row>
    <row r="122" spans="1:3" x14ac:dyDescent="0.25">
      <c r="A122" s="13" t="s">
        <v>418</v>
      </c>
      <c r="B122" s="13" t="s">
        <v>419</v>
      </c>
      <c r="C122" s="13" t="s">
        <v>237</v>
      </c>
    </row>
    <row r="123" spans="1:3" x14ac:dyDescent="0.25">
      <c r="A123" s="16" t="s">
        <v>420</v>
      </c>
      <c r="B123" s="16" t="s">
        <v>421</v>
      </c>
      <c r="C123" s="16" t="s">
        <v>237</v>
      </c>
    </row>
    <row r="124" spans="1:3" x14ac:dyDescent="0.25">
      <c r="A124" s="13" t="s">
        <v>422</v>
      </c>
      <c r="B124" s="13" t="s">
        <v>423</v>
      </c>
      <c r="C124" s="13" t="s">
        <v>237</v>
      </c>
    </row>
    <row r="125" spans="1:3" x14ac:dyDescent="0.25">
      <c r="A125" s="16" t="s">
        <v>424</v>
      </c>
      <c r="B125" s="16" t="s">
        <v>352</v>
      </c>
      <c r="C125" s="16" t="s">
        <v>237</v>
      </c>
    </row>
    <row r="126" spans="1:3" x14ac:dyDescent="0.25">
      <c r="A126" s="13" t="s">
        <v>425</v>
      </c>
      <c r="B126" s="13" t="s">
        <v>426</v>
      </c>
      <c r="C126" s="13" t="s">
        <v>237</v>
      </c>
    </row>
    <row r="127" spans="1:3" x14ac:dyDescent="0.25">
      <c r="A127" s="16" t="s">
        <v>427</v>
      </c>
      <c r="B127" s="16" t="s">
        <v>359</v>
      </c>
      <c r="C127" s="16" t="s">
        <v>237</v>
      </c>
    </row>
    <row r="128" spans="1:3" x14ac:dyDescent="0.25">
      <c r="A128" s="11" t="s">
        <v>428</v>
      </c>
      <c r="B128" s="11" t="s">
        <v>429</v>
      </c>
      <c r="C128" s="11" t="s">
        <v>201</v>
      </c>
    </row>
    <row r="129" spans="1:3" x14ac:dyDescent="0.25">
      <c r="A129" s="16" t="s">
        <v>430</v>
      </c>
      <c r="B129" s="16" t="s">
        <v>431</v>
      </c>
      <c r="C129" s="16" t="s">
        <v>201</v>
      </c>
    </row>
    <row r="130" spans="1:3" x14ac:dyDescent="0.25">
      <c r="A130" s="16" t="s">
        <v>432</v>
      </c>
      <c r="B130" s="16" t="s">
        <v>433</v>
      </c>
      <c r="C130" s="16" t="s">
        <v>201</v>
      </c>
    </row>
    <row r="131" spans="1:3" x14ac:dyDescent="0.25">
      <c r="A131" s="15" t="s">
        <v>434</v>
      </c>
      <c r="B131" s="15" t="s">
        <v>416</v>
      </c>
      <c r="C131" s="15" t="s">
        <v>201</v>
      </c>
    </row>
    <row r="132" spans="1:3" x14ac:dyDescent="0.25">
      <c r="A132" s="16" t="s">
        <v>435</v>
      </c>
      <c r="B132" s="16" t="s">
        <v>436</v>
      </c>
      <c r="C132" s="16" t="s">
        <v>201</v>
      </c>
    </row>
    <row r="133" spans="1:3" x14ac:dyDescent="0.25">
      <c r="A133" s="11" t="s">
        <v>437</v>
      </c>
      <c r="B133" s="11" t="s">
        <v>429</v>
      </c>
      <c r="C133" s="11" t="s">
        <v>201</v>
      </c>
    </row>
    <row r="134" spans="1:3" x14ac:dyDescent="0.25">
      <c r="A134" s="13" t="s">
        <v>438</v>
      </c>
      <c r="B134" s="13" t="s">
        <v>439</v>
      </c>
      <c r="C134" s="13" t="s">
        <v>201</v>
      </c>
    </row>
    <row r="135" spans="1:3" x14ac:dyDescent="0.25">
      <c r="A135" s="13" t="s">
        <v>440</v>
      </c>
      <c r="B135" s="13" t="s">
        <v>441</v>
      </c>
      <c r="C135" s="13" t="s">
        <v>201</v>
      </c>
    </row>
    <row r="136" spans="1:3" x14ac:dyDescent="0.25">
      <c r="A136" s="12" t="s">
        <v>442</v>
      </c>
      <c r="B136" s="12" t="s">
        <v>443</v>
      </c>
      <c r="C136" s="12" t="s">
        <v>201</v>
      </c>
    </row>
    <row r="137" spans="1:3" x14ac:dyDescent="0.25">
      <c r="A137" s="13" t="s">
        <v>444</v>
      </c>
      <c r="B137" s="13" t="s">
        <v>445</v>
      </c>
      <c r="C137" s="13" t="s">
        <v>201</v>
      </c>
    </row>
    <row r="138" spans="1:3" x14ac:dyDescent="0.25">
      <c r="A138" s="16" t="s">
        <v>446</v>
      </c>
      <c r="B138" s="16" t="s">
        <v>447</v>
      </c>
      <c r="C138" s="16" t="s">
        <v>201</v>
      </c>
    </row>
    <row r="139" spans="1:3" x14ac:dyDescent="0.25">
      <c r="A139" s="13" t="s">
        <v>448</v>
      </c>
      <c r="B139" s="13" t="s">
        <v>449</v>
      </c>
      <c r="C139" s="13" t="s">
        <v>201</v>
      </c>
    </row>
    <row r="140" spans="1:3" x14ac:dyDescent="0.25">
      <c r="A140" s="16" t="s">
        <v>450</v>
      </c>
      <c r="B140" s="16" t="s">
        <v>359</v>
      </c>
      <c r="C140" s="16" t="s">
        <v>201</v>
      </c>
    </row>
    <row r="141" spans="1:3" x14ac:dyDescent="0.25">
      <c r="A141" s="11" t="s">
        <v>451</v>
      </c>
      <c r="B141" s="11" t="s">
        <v>429</v>
      </c>
      <c r="C141" s="11" t="s">
        <v>201</v>
      </c>
    </row>
    <row r="142" spans="1:3" x14ac:dyDescent="0.25">
      <c r="A142" s="14" t="s">
        <v>452</v>
      </c>
      <c r="B142" s="14" t="s">
        <v>453</v>
      </c>
      <c r="C142" s="14" t="s">
        <v>201</v>
      </c>
    </row>
    <row r="143" spans="1:3" x14ac:dyDescent="0.25">
      <c r="A143" s="14" t="s">
        <v>454</v>
      </c>
      <c r="B143" s="14" t="s">
        <v>455</v>
      </c>
      <c r="C143" s="14" t="s">
        <v>201</v>
      </c>
    </row>
    <row r="144" spans="1:3" x14ac:dyDescent="0.25">
      <c r="A144" s="14" t="s">
        <v>456</v>
      </c>
      <c r="B144" s="14" t="s">
        <v>457</v>
      </c>
      <c r="C144" s="14" t="s">
        <v>201</v>
      </c>
    </row>
    <row r="145" spans="1:3" x14ac:dyDescent="0.25">
      <c r="A145" s="14" t="s">
        <v>458</v>
      </c>
      <c r="B145" s="14" t="s">
        <v>459</v>
      </c>
      <c r="C145" s="14" t="s">
        <v>201</v>
      </c>
    </row>
    <row r="146" spans="1:3" x14ac:dyDescent="0.25">
      <c r="A146" s="12" t="s">
        <v>460</v>
      </c>
      <c r="B146" s="12" t="s">
        <v>461</v>
      </c>
      <c r="C146" s="12" t="s">
        <v>201</v>
      </c>
    </row>
    <row r="147" spans="1:3" x14ac:dyDescent="0.25">
      <c r="A147" s="16" t="s">
        <v>462</v>
      </c>
      <c r="B147" s="16" t="s">
        <v>352</v>
      </c>
      <c r="C147" s="16" t="s">
        <v>412</v>
      </c>
    </row>
    <row r="148" spans="1:3" x14ac:dyDescent="0.25">
      <c r="A148" s="16" t="s">
        <v>463</v>
      </c>
      <c r="B148" s="16" t="s">
        <v>414</v>
      </c>
      <c r="C148" s="16" t="s">
        <v>412</v>
      </c>
    </row>
    <row r="149" spans="1:3" x14ac:dyDescent="0.25">
      <c r="A149" s="15" t="s">
        <v>464</v>
      </c>
      <c r="B149" s="15" t="s">
        <v>416</v>
      </c>
      <c r="C149" s="15" t="s">
        <v>412</v>
      </c>
    </row>
    <row r="150" spans="1:3" x14ac:dyDescent="0.25">
      <c r="A150" s="16" t="s">
        <v>465</v>
      </c>
      <c r="B150" s="16" t="s">
        <v>359</v>
      </c>
      <c r="C150" s="16" t="s">
        <v>412</v>
      </c>
    </row>
    <row r="151" spans="1:3" x14ac:dyDescent="0.25">
      <c r="A151" s="16" t="s">
        <v>466</v>
      </c>
      <c r="B151" s="16" t="s">
        <v>431</v>
      </c>
      <c r="C151" s="16" t="s">
        <v>412</v>
      </c>
    </row>
    <row r="152" spans="1:3" x14ac:dyDescent="0.25">
      <c r="A152" s="16" t="s">
        <v>467</v>
      </c>
      <c r="B152" s="16" t="s">
        <v>433</v>
      </c>
      <c r="C152" s="16" t="s">
        <v>412</v>
      </c>
    </row>
    <row r="153" spans="1:3" x14ac:dyDescent="0.25">
      <c r="A153" s="15" t="s">
        <v>468</v>
      </c>
      <c r="B153" s="15" t="s">
        <v>469</v>
      </c>
      <c r="C153" s="15" t="s">
        <v>412</v>
      </c>
    </row>
    <row r="154" spans="1:3" x14ac:dyDescent="0.25">
      <c r="A154" s="16" t="s">
        <v>470</v>
      </c>
      <c r="B154" s="16" t="s">
        <v>471</v>
      </c>
      <c r="C154" s="16" t="s">
        <v>412</v>
      </c>
    </row>
    <row r="155" spans="1:3" x14ac:dyDescent="0.25">
      <c r="A155" s="12" t="s">
        <v>472</v>
      </c>
      <c r="B155" s="12" t="s">
        <v>473</v>
      </c>
      <c r="C155" s="12" t="s">
        <v>412</v>
      </c>
    </row>
    <row r="156" spans="1:3" x14ac:dyDescent="0.25">
      <c r="A156" s="16" t="s">
        <v>474</v>
      </c>
      <c r="B156" s="16" t="s">
        <v>359</v>
      </c>
      <c r="C156" s="16" t="s">
        <v>412</v>
      </c>
    </row>
    <row r="157" spans="1:3" x14ac:dyDescent="0.25">
      <c r="A157" s="12" t="s">
        <v>475</v>
      </c>
      <c r="B157" s="12" t="s">
        <v>476</v>
      </c>
      <c r="C157" s="12" t="s">
        <v>412</v>
      </c>
    </row>
    <row r="158" spans="1:3" x14ac:dyDescent="0.25">
      <c r="A158" s="15" t="s">
        <v>477</v>
      </c>
      <c r="B158" s="15" t="s">
        <v>416</v>
      </c>
      <c r="C158" s="15" t="s">
        <v>412</v>
      </c>
    </row>
    <row r="159" spans="1:3" x14ac:dyDescent="0.25">
      <c r="A159" s="16" t="s">
        <v>478</v>
      </c>
      <c r="B159" s="16" t="s">
        <v>479</v>
      </c>
      <c r="C159" s="16" t="s">
        <v>412</v>
      </c>
    </row>
    <row r="160" spans="1:3" x14ac:dyDescent="0.25">
      <c r="A160" s="15" t="s">
        <v>480</v>
      </c>
      <c r="B160" s="15" t="s">
        <v>469</v>
      </c>
      <c r="C160" s="15" t="s">
        <v>412</v>
      </c>
    </row>
    <row r="161" spans="1:3" x14ac:dyDescent="0.25">
      <c r="A161" s="15" t="s">
        <v>481</v>
      </c>
      <c r="B161" s="15" t="s">
        <v>416</v>
      </c>
      <c r="C161" s="15" t="s">
        <v>412</v>
      </c>
    </row>
    <row r="162" spans="1:3" x14ac:dyDescent="0.25">
      <c r="A162" s="16" t="s">
        <v>482</v>
      </c>
      <c r="B162" s="16" t="s">
        <v>436</v>
      </c>
      <c r="C162" s="16" t="s">
        <v>412</v>
      </c>
    </row>
    <row r="163" spans="1:3" x14ac:dyDescent="0.25">
      <c r="A163" s="11" t="s">
        <v>483</v>
      </c>
      <c r="B163" s="11" t="s">
        <v>285</v>
      </c>
      <c r="C163" s="11" t="s">
        <v>201</v>
      </c>
    </row>
    <row r="164" spans="1:3" x14ac:dyDescent="0.25">
      <c r="A164" s="13" t="s">
        <v>484</v>
      </c>
      <c r="B164" s="13" t="s">
        <v>485</v>
      </c>
      <c r="C164" s="13" t="s">
        <v>201</v>
      </c>
    </row>
    <row r="165" spans="1:3" x14ac:dyDescent="0.25">
      <c r="A165" s="13" t="s">
        <v>486</v>
      </c>
      <c r="B165" s="13" t="s">
        <v>487</v>
      </c>
      <c r="C165" s="13" t="s">
        <v>201</v>
      </c>
    </row>
    <row r="166" spans="1:3" x14ac:dyDescent="0.25">
      <c r="A166" s="13" t="s">
        <v>488</v>
      </c>
      <c r="B166" s="13" t="s">
        <v>489</v>
      </c>
      <c r="C166" s="13" t="s">
        <v>201</v>
      </c>
    </row>
    <row r="167" spans="1:3" x14ac:dyDescent="0.25">
      <c r="A167" s="13" t="s">
        <v>490</v>
      </c>
      <c r="B167" s="13" t="s">
        <v>491</v>
      </c>
      <c r="C167" s="13" t="s">
        <v>201</v>
      </c>
    </row>
    <row r="168" spans="1:3" x14ac:dyDescent="0.25">
      <c r="A168" s="13" t="s">
        <v>492</v>
      </c>
      <c r="B168" s="13" t="s">
        <v>493</v>
      </c>
      <c r="C168" s="13" t="s">
        <v>201</v>
      </c>
    </row>
    <row r="169" spans="1:3" x14ac:dyDescent="0.25">
      <c r="A169" s="13" t="s">
        <v>494</v>
      </c>
      <c r="B169" s="13" t="s">
        <v>495</v>
      </c>
      <c r="C169" s="13" t="s">
        <v>201</v>
      </c>
    </row>
    <row r="170" spans="1:3" x14ac:dyDescent="0.25">
      <c r="A170" s="13" t="s">
        <v>496</v>
      </c>
      <c r="B170" s="13" t="s">
        <v>497</v>
      </c>
      <c r="C170" s="13" t="s">
        <v>201</v>
      </c>
    </row>
    <row r="171" spans="1:3" x14ac:dyDescent="0.25">
      <c r="A171" s="13" t="s">
        <v>498</v>
      </c>
      <c r="B171" s="13" t="s">
        <v>499</v>
      </c>
      <c r="C171" s="13" t="s">
        <v>201</v>
      </c>
    </row>
    <row r="172" spans="1:3" x14ac:dyDescent="0.25">
      <c r="A172" s="13" t="s">
        <v>500</v>
      </c>
      <c r="B172" s="13" t="s">
        <v>501</v>
      </c>
      <c r="C172" s="13" t="s">
        <v>201</v>
      </c>
    </row>
    <row r="173" spans="1:3" x14ac:dyDescent="0.25">
      <c r="A173" s="16" t="s">
        <v>502</v>
      </c>
      <c r="B173" s="16" t="s">
        <v>359</v>
      </c>
      <c r="C173" s="16" t="s">
        <v>412</v>
      </c>
    </row>
    <row r="174" spans="1:3" x14ac:dyDescent="0.25">
      <c r="A174" s="11" t="s">
        <v>503</v>
      </c>
      <c r="B174" s="11" t="s">
        <v>285</v>
      </c>
      <c r="C174" s="11" t="s">
        <v>201</v>
      </c>
    </row>
    <row r="175" spans="1:3" x14ac:dyDescent="0.25">
      <c r="A175" s="13" t="s">
        <v>504</v>
      </c>
      <c r="B175" s="13" t="s">
        <v>369</v>
      </c>
      <c r="C175" s="13" t="s">
        <v>201</v>
      </c>
    </row>
    <row r="176" spans="1:3" x14ac:dyDescent="0.25">
      <c r="A176" s="12" t="s">
        <v>505</v>
      </c>
      <c r="B176" s="12" t="s">
        <v>404</v>
      </c>
      <c r="C176" s="12" t="s">
        <v>201</v>
      </c>
    </row>
    <row r="177" spans="1:3" x14ac:dyDescent="0.25">
      <c r="A177" s="13" t="s">
        <v>506</v>
      </c>
      <c r="B177" s="13" t="s">
        <v>373</v>
      </c>
      <c r="C177" s="13" t="s">
        <v>201</v>
      </c>
    </row>
    <row r="178" spans="1:3" x14ac:dyDescent="0.25">
      <c r="A178" s="16" t="s">
        <v>507</v>
      </c>
      <c r="B178" s="16" t="s">
        <v>508</v>
      </c>
      <c r="C178" s="16" t="s">
        <v>201</v>
      </c>
    </row>
    <row r="179" spans="1:3" x14ac:dyDescent="0.25">
      <c r="A179" s="11" t="s">
        <v>509</v>
      </c>
      <c r="B179" s="11" t="s">
        <v>285</v>
      </c>
      <c r="C179" s="11" t="s">
        <v>201</v>
      </c>
    </row>
    <row r="180" spans="1:3" x14ac:dyDescent="0.25">
      <c r="A180" s="11" t="s">
        <v>510</v>
      </c>
      <c r="B180" s="11" t="s">
        <v>285</v>
      </c>
      <c r="C180" s="11" t="s">
        <v>201</v>
      </c>
    </row>
    <row r="181" spans="1:3" x14ac:dyDescent="0.25">
      <c r="A181" s="11" t="s">
        <v>511</v>
      </c>
      <c r="B181" s="11" t="s">
        <v>512</v>
      </c>
      <c r="C181" s="11" t="s">
        <v>201</v>
      </c>
    </row>
    <row r="182" spans="1:3" x14ac:dyDescent="0.25">
      <c r="A182" s="13" t="s">
        <v>513</v>
      </c>
      <c r="B182" s="13" t="s">
        <v>369</v>
      </c>
      <c r="C182" s="13" t="s">
        <v>201</v>
      </c>
    </row>
    <row r="183" spans="1:3" x14ac:dyDescent="0.25">
      <c r="A183" s="13" t="s">
        <v>514</v>
      </c>
      <c r="B183" s="13" t="s">
        <v>392</v>
      </c>
      <c r="C183" s="13" t="s">
        <v>201</v>
      </c>
    </row>
    <row r="184" spans="1:3" x14ac:dyDescent="0.25">
      <c r="A184" s="13" t="s">
        <v>515</v>
      </c>
      <c r="B184" s="13" t="s">
        <v>373</v>
      </c>
      <c r="C184" s="13" t="s">
        <v>201</v>
      </c>
    </row>
    <row r="185" spans="1:3" x14ac:dyDescent="0.25">
      <c r="A185" s="11" t="s">
        <v>516</v>
      </c>
      <c r="B185" s="11" t="s">
        <v>429</v>
      </c>
      <c r="C185" s="11" t="s">
        <v>201</v>
      </c>
    </row>
    <row r="186" spans="1:3" x14ac:dyDescent="0.25">
      <c r="A186" s="16" t="s">
        <v>517</v>
      </c>
      <c r="B186" s="16" t="s">
        <v>518</v>
      </c>
      <c r="C186" s="16" t="s">
        <v>412</v>
      </c>
    </row>
    <row r="187" spans="1:3" x14ac:dyDescent="0.25">
      <c r="A187" s="15" t="s">
        <v>519</v>
      </c>
      <c r="B187" s="15" t="s">
        <v>469</v>
      </c>
      <c r="C187" s="15" t="s">
        <v>412</v>
      </c>
    </row>
    <row r="188" spans="1:3" x14ac:dyDescent="0.25">
      <c r="A188" s="16" t="s">
        <v>520</v>
      </c>
      <c r="B188" s="16" t="s">
        <v>521</v>
      </c>
      <c r="C188" s="16" t="s">
        <v>412</v>
      </c>
    </row>
    <row r="189" spans="1:3" x14ac:dyDescent="0.25">
      <c r="A189" s="12" t="s">
        <v>522</v>
      </c>
      <c r="B189" s="12" t="s">
        <v>473</v>
      </c>
      <c r="C189" s="12" t="s">
        <v>412</v>
      </c>
    </row>
    <row r="190" spans="1:3" x14ac:dyDescent="0.25">
      <c r="A190" s="16" t="s">
        <v>523</v>
      </c>
      <c r="B190" s="16" t="s">
        <v>359</v>
      </c>
      <c r="C190" s="16" t="s">
        <v>412</v>
      </c>
    </row>
    <row r="191" spans="1:3" x14ac:dyDescent="0.25">
      <c r="A191" s="12" t="s">
        <v>524</v>
      </c>
      <c r="B191" s="12" t="s">
        <v>525</v>
      </c>
      <c r="C191" s="12" t="s">
        <v>412</v>
      </c>
    </row>
    <row r="192" spans="1:3" x14ac:dyDescent="0.25">
      <c r="A192" s="16" t="s">
        <v>526</v>
      </c>
      <c r="B192" s="16" t="s">
        <v>359</v>
      </c>
      <c r="C192" s="16" t="s">
        <v>412</v>
      </c>
    </row>
    <row r="193" spans="1:3" x14ac:dyDescent="0.25">
      <c r="A193" s="11" t="s">
        <v>527</v>
      </c>
      <c r="B193" s="11" t="s">
        <v>429</v>
      </c>
      <c r="C193" s="11" t="s">
        <v>201</v>
      </c>
    </row>
    <row r="194" spans="1:3" x14ac:dyDescent="0.25">
      <c r="A194" s="15" t="s">
        <v>528</v>
      </c>
      <c r="B194" s="15" t="s">
        <v>338</v>
      </c>
      <c r="C194" s="15" t="s">
        <v>201</v>
      </c>
    </row>
    <row r="195" spans="1:3" x14ac:dyDescent="0.25">
      <c r="A195" s="11" t="s">
        <v>529</v>
      </c>
      <c r="B195" s="11" t="s">
        <v>325</v>
      </c>
      <c r="C195" s="11" t="s">
        <v>201</v>
      </c>
    </row>
    <row r="196" spans="1:3" x14ac:dyDescent="0.25">
      <c r="A196" s="11" t="s">
        <v>530</v>
      </c>
      <c r="B196" s="11" t="s">
        <v>285</v>
      </c>
      <c r="C196" s="11" t="s">
        <v>201</v>
      </c>
    </row>
    <row r="197" spans="1:3" x14ac:dyDescent="0.25">
      <c r="A197" s="11" t="s">
        <v>531</v>
      </c>
      <c r="B197" s="11" t="s">
        <v>325</v>
      </c>
      <c r="C197" s="11" t="s">
        <v>201</v>
      </c>
    </row>
    <row r="198" spans="1:3" x14ac:dyDescent="0.25">
      <c r="A198" s="15" t="s">
        <v>532</v>
      </c>
      <c r="B198" s="15" t="s">
        <v>533</v>
      </c>
      <c r="C198" s="15" t="s">
        <v>201</v>
      </c>
    </row>
    <row r="199" spans="1:3" x14ac:dyDescent="0.25">
      <c r="A199" s="11" t="s">
        <v>534</v>
      </c>
      <c r="B199" s="11" t="s">
        <v>285</v>
      </c>
      <c r="C199" s="11" t="s">
        <v>201</v>
      </c>
    </row>
    <row r="200" spans="1:3" x14ac:dyDescent="0.25">
      <c r="A200" s="13" t="s">
        <v>535</v>
      </c>
      <c r="B200" s="13" t="s">
        <v>536</v>
      </c>
      <c r="C200" s="13" t="s">
        <v>201</v>
      </c>
    </row>
    <row r="201" spans="1:3" x14ac:dyDescent="0.25">
      <c r="A201" s="13" t="s">
        <v>537</v>
      </c>
      <c r="B201" s="13" t="s">
        <v>538</v>
      </c>
      <c r="C201" s="13" t="s">
        <v>201</v>
      </c>
    </row>
    <row r="202" spans="1:3" x14ac:dyDescent="0.25">
      <c r="A202" s="13" t="s">
        <v>539</v>
      </c>
      <c r="B202" s="13" t="s">
        <v>540</v>
      </c>
      <c r="C202" s="13" t="s">
        <v>201</v>
      </c>
    </row>
    <row r="203" spans="1:3" x14ac:dyDescent="0.25">
      <c r="A203" s="13" t="s">
        <v>541</v>
      </c>
      <c r="B203" s="13" t="s">
        <v>542</v>
      </c>
      <c r="C203" s="13" t="s">
        <v>201</v>
      </c>
    </row>
    <row r="204" spans="1:3" x14ac:dyDescent="0.25">
      <c r="A204" s="11" t="s">
        <v>543</v>
      </c>
      <c r="B204" s="11" t="s">
        <v>285</v>
      </c>
      <c r="C204" s="11" t="s">
        <v>201</v>
      </c>
    </row>
    <row r="205" spans="1:3" x14ac:dyDescent="0.25">
      <c r="A205" s="13" t="s">
        <v>544</v>
      </c>
      <c r="B205" s="13" t="s">
        <v>545</v>
      </c>
      <c r="C205" s="13" t="s">
        <v>201</v>
      </c>
    </row>
    <row r="206" spans="1:3" x14ac:dyDescent="0.25">
      <c r="A206" s="12" t="s">
        <v>546</v>
      </c>
      <c r="B206" s="12" t="s">
        <v>547</v>
      </c>
      <c r="C206" s="12" t="s">
        <v>201</v>
      </c>
    </row>
    <row r="207" spans="1:3" x14ac:dyDescent="0.25">
      <c r="A207" s="13" t="s">
        <v>548</v>
      </c>
      <c r="B207" s="13" t="s">
        <v>549</v>
      </c>
      <c r="C207" s="13" t="s">
        <v>201</v>
      </c>
    </row>
    <row r="208" spans="1:3" x14ac:dyDescent="0.25">
      <c r="A208" s="11" t="s">
        <v>550</v>
      </c>
      <c r="B208" s="11" t="s">
        <v>285</v>
      </c>
      <c r="C208" s="11" t="s">
        <v>201</v>
      </c>
    </row>
    <row r="209" spans="1:3" x14ac:dyDescent="0.25">
      <c r="A209" s="13" t="s">
        <v>551</v>
      </c>
      <c r="B209" s="13" t="s">
        <v>552</v>
      </c>
      <c r="C209" s="13" t="s">
        <v>412</v>
      </c>
    </row>
    <row r="210" spans="1:3" x14ac:dyDescent="0.25">
      <c r="A210" s="13" t="s">
        <v>553</v>
      </c>
      <c r="B210" s="13" t="s">
        <v>554</v>
      </c>
      <c r="C210" s="13" t="s">
        <v>412</v>
      </c>
    </row>
    <row r="211" spans="1:3" x14ac:dyDescent="0.25">
      <c r="A211" s="15" t="s">
        <v>555</v>
      </c>
      <c r="B211" s="15" t="s">
        <v>338</v>
      </c>
      <c r="C211" s="15" t="s">
        <v>201</v>
      </c>
    </row>
    <row r="212" spans="1:3" x14ac:dyDescent="0.25">
      <c r="A212" s="11" t="s">
        <v>556</v>
      </c>
      <c r="B212" s="11" t="s">
        <v>325</v>
      </c>
      <c r="C212" s="11" t="s">
        <v>201</v>
      </c>
    </row>
    <row r="213" spans="1:3" x14ac:dyDescent="0.25">
      <c r="A213" s="11" t="s">
        <v>557</v>
      </c>
      <c r="B213" s="11" t="s">
        <v>285</v>
      </c>
      <c r="C213" s="11" t="s">
        <v>201</v>
      </c>
    </row>
    <row r="214" spans="1:3" x14ac:dyDescent="0.25">
      <c r="A214" s="11" t="s">
        <v>558</v>
      </c>
      <c r="B214" s="11" t="s">
        <v>325</v>
      </c>
      <c r="C214" s="11" t="s">
        <v>201</v>
      </c>
    </row>
    <row r="215" spans="1:3" x14ac:dyDescent="0.25">
      <c r="A215" s="15" t="s">
        <v>559</v>
      </c>
      <c r="B215" s="15" t="s">
        <v>560</v>
      </c>
      <c r="C215" s="15" t="s">
        <v>201</v>
      </c>
    </row>
    <row r="216" spans="1:3" x14ac:dyDescent="0.25">
      <c r="A216" s="11" t="s">
        <v>561</v>
      </c>
      <c r="B216" s="11" t="s">
        <v>285</v>
      </c>
      <c r="C216" s="11" t="s">
        <v>201</v>
      </c>
    </row>
    <row r="217" spans="1:3" x14ac:dyDescent="0.25">
      <c r="A217" s="16" t="s">
        <v>562</v>
      </c>
      <c r="B217" s="16" t="s">
        <v>563</v>
      </c>
      <c r="C217" s="16" t="s">
        <v>412</v>
      </c>
    </row>
    <row r="218" spans="1:3" x14ac:dyDescent="0.25">
      <c r="A218" s="12" t="s">
        <v>564</v>
      </c>
      <c r="B218" s="12" t="s">
        <v>565</v>
      </c>
      <c r="C218" s="12" t="s">
        <v>201</v>
      </c>
    </row>
    <row r="219" spans="1:3" x14ac:dyDescent="0.25">
      <c r="A219" s="16" t="s">
        <v>566</v>
      </c>
      <c r="B219" s="16" t="s">
        <v>352</v>
      </c>
      <c r="C219" s="16" t="s">
        <v>412</v>
      </c>
    </row>
    <row r="220" spans="1:3" x14ac:dyDescent="0.25">
      <c r="A220" s="16" t="s">
        <v>567</v>
      </c>
      <c r="B220" s="16" t="s">
        <v>568</v>
      </c>
      <c r="C220" s="16" t="s">
        <v>412</v>
      </c>
    </row>
    <row r="221" spans="1:3" x14ac:dyDescent="0.25">
      <c r="A221" s="12" t="s">
        <v>569</v>
      </c>
      <c r="B221" s="12" t="s">
        <v>565</v>
      </c>
      <c r="C221" s="12" t="s">
        <v>412</v>
      </c>
    </row>
    <row r="222" spans="1:3" x14ac:dyDescent="0.25">
      <c r="A222" s="16" t="s">
        <v>570</v>
      </c>
      <c r="B222" s="16" t="s">
        <v>359</v>
      </c>
      <c r="C222" s="16" t="s">
        <v>412</v>
      </c>
    </row>
    <row r="223" spans="1:3" x14ac:dyDescent="0.25">
      <c r="A223" s="12" t="s">
        <v>571</v>
      </c>
      <c r="B223" s="12" t="s">
        <v>473</v>
      </c>
      <c r="C223" s="12" t="s">
        <v>412</v>
      </c>
    </row>
    <row r="224" spans="1:3" x14ac:dyDescent="0.25">
      <c r="A224" s="16" t="s">
        <v>572</v>
      </c>
      <c r="B224" s="16" t="s">
        <v>359</v>
      </c>
      <c r="C224" s="16" t="s">
        <v>412</v>
      </c>
    </row>
    <row r="225" spans="1:3" x14ac:dyDescent="0.25">
      <c r="A225" s="11" t="s">
        <v>573</v>
      </c>
      <c r="B225" s="11" t="s">
        <v>285</v>
      </c>
      <c r="C225" s="11" t="s">
        <v>201</v>
      </c>
    </row>
    <row r="226" spans="1:3" x14ac:dyDescent="0.25">
      <c r="A226" s="16" t="s">
        <v>574</v>
      </c>
      <c r="B226" s="16" t="s">
        <v>575</v>
      </c>
      <c r="C226" s="16" t="s">
        <v>412</v>
      </c>
    </row>
    <row r="227" spans="1:3" x14ac:dyDescent="0.25">
      <c r="A227" s="13" t="s">
        <v>576</v>
      </c>
      <c r="B227" s="13" t="s">
        <v>577</v>
      </c>
      <c r="C227" s="13" t="s">
        <v>201</v>
      </c>
    </row>
    <row r="228" spans="1:3" x14ac:dyDescent="0.25">
      <c r="A228" s="13" t="s">
        <v>578</v>
      </c>
      <c r="B228" s="13" t="s">
        <v>579</v>
      </c>
      <c r="C228" s="13" t="s">
        <v>201</v>
      </c>
    </row>
    <row r="229" spans="1:3" x14ac:dyDescent="0.25">
      <c r="A229" s="13" t="s">
        <v>580</v>
      </c>
      <c r="B229" s="13" t="s">
        <v>581</v>
      </c>
      <c r="C229" s="13" t="s">
        <v>201</v>
      </c>
    </row>
    <row r="230" spans="1:3" x14ac:dyDescent="0.25">
      <c r="A230" s="13" t="s">
        <v>582</v>
      </c>
      <c r="B230" s="13" t="s">
        <v>583</v>
      </c>
      <c r="C230" s="13" t="s">
        <v>201</v>
      </c>
    </row>
    <row r="231" spans="1:3" x14ac:dyDescent="0.25">
      <c r="A231" s="16" t="s">
        <v>584</v>
      </c>
      <c r="B231" s="16" t="s">
        <v>359</v>
      </c>
      <c r="C231" s="16" t="s">
        <v>412</v>
      </c>
    </row>
    <row r="232" spans="1:3" x14ac:dyDescent="0.25">
      <c r="A232" s="11" t="s">
        <v>585</v>
      </c>
      <c r="B232" s="11" t="s">
        <v>285</v>
      </c>
      <c r="C232" s="11" t="s">
        <v>201</v>
      </c>
    </row>
    <row r="233" spans="1:3" x14ac:dyDescent="0.25">
      <c r="A233" s="14" t="s">
        <v>586</v>
      </c>
      <c r="B233" s="14" t="s">
        <v>587</v>
      </c>
      <c r="C233" s="14" t="s">
        <v>412</v>
      </c>
    </row>
    <row r="234" spans="1:3" x14ac:dyDescent="0.25">
      <c r="A234" s="15" t="s">
        <v>588</v>
      </c>
      <c r="B234" s="15" t="s">
        <v>338</v>
      </c>
      <c r="C234" s="15" t="s">
        <v>201</v>
      </c>
    </row>
    <row r="235" spans="1:3" x14ac:dyDescent="0.25">
      <c r="A235" s="11" t="s">
        <v>589</v>
      </c>
      <c r="B235" s="11" t="s">
        <v>325</v>
      </c>
      <c r="C235" s="11" t="s">
        <v>201</v>
      </c>
    </row>
    <row r="236" spans="1:3" x14ac:dyDescent="0.25">
      <c r="A236" s="11" t="s">
        <v>590</v>
      </c>
      <c r="B236" s="11" t="s">
        <v>285</v>
      </c>
      <c r="C236" s="11" t="s">
        <v>201</v>
      </c>
    </row>
    <row r="237" spans="1:3" x14ac:dyDescent="0.25">
      <c r="A237" s="11" t="s">
        <v>591</v>
      </c>
      <c r="B237" s="11" t="s">
        <v>325</v>
      </c>
      <c r="C237" s="11" t="s">
        <v>201</v>
      </c>
    </row>
    <row r="238" spans="1:3" x14ac:dyDescent="0.25">
      <c r="A238" s="15" t="s">
        <v>592</v>
      </c>
      <c r="B238" s="15" t="s">
        <v>593</v>
      </c>
      <c r="C238" s="15" t="s">
        <v>201</v>
      </c>
    </row>
    <row r="239" spans="1:3" x14ac:dyDescent="0.25">
      <c r="A239" s="13" t="s">
        <v>594</v>
      </c>
      <c r="B239" s="13" t="s">
        <v>595</v>
      </c>
      <c r="C239" s="13" t="s">
        <v>201</v>
      </c>
    </row>
    <row r="240" spans="1:3" x14ac:dyDescent="0.25">
      <c r="A240" s="13" t="s">
        <v>596</v>
      </c>
      <c r="B240" s="13" t="s">
        <v>597</v>
      </c>
      <c r="C240" s="13" t="s">
        <v>201</v>
      </c>
    </row>
    <row r="241" spans="1:3" x14ac:dyDescent="0.25">
      <c r="A241" s="13" t="s">
        <v>598</v>
      </c>
      <c r="B241" s="13" t="s">
        <v>599</v>
      </c>
      <c r="C241" s="13" t="s">
        <v>201</v>
      </c>
    </row>
    <row r="242" spans="1:3" x14ac:dyDescent="0.25">
      <c r="A242" s="13" t="s">
        <v>600</v>
      </c>
      <c r="B242" s="13" t="s">
        <v>601</v>
      </c>
      <c r="C242" s="13" t="s">
        <v>412</v>
      </c>
    </row>
    <row r="243" spans="1:3" x14ac:dyDescent="0.25">
      <c r="A243" s="13" t="s">
        <v>602</v>
      </c>
      <c r="B243" s="13" t="s">
        <v>603</v>
      </c>
      <c r="C243" s="13" t="s">
        <v>211</v>
      </c>
    </row>
    <row r="244" spans="1:3" x14ac:dyDescent="0.25">
      <c r="A244" s="13" t="s">
        <v>604</v>
      </c>
      <c r="B244" s="13" t="s">
        <v>605</v>
      </c>
      <c r="C244" s="13" t="s">
        <v>201</v>
      </c>
    </row>
    <row r="245" spans="1:3" x14ac:dyDescent="0.25">
      <c r="A245" s="13" t="s">
        <v>606</v>
      </c>
      <c r="B245" s="13" t="s">
        <v>607</v>
      </c>
      <c r="C245" s="13" t="s">
        <v>201</v>
      </c>
    </row>
    <row r="246" spans="1:3" x14ac:dyDescent="0.25">
      <c r="A246" s="13" t="s">
        <v>608</v>
      </c>
      <c r="B246" s="13" t="s">
        <v>609</v>
      </c>
      <c r="C246" s="13" t="s">
        <v>201</v>
      </c>
    </row>
    <row r="247" spans="1:3" x14ac:dyDescent="0.25">
      <c r="A247" s="11" t="s">
        <v>610</v>
      </c>
      <c r="B247" s="11" t="s">
        <v>429</v>
      </c>
      <c r="C247" s="11" t="s">
        <v>201</v>
      </c>
    </row>
    <row r="248" spans="1:3" x14ac:dyDescent="0.25">
      <c r="A248" s="13" t="s">
        <v>611</v>
      </c>
      <c r="B248" s="13" t="s">
        <v>612</v>
      </c>
      <c r="C248" s="13" t="s">
        <v>237</v>
      </c>
    </row>
    <row r="249" spans="1:3" x14ac:dyDescent="0.25">
      <c r="A249" s="13" t="s">
        <v>613</v>
      </c>
      <c r="B249" s="13" t="s">
        <v>614</v>
      </c>
      <c r="C249" s="13" t="s">
        <v>237</v>
      </c>
    </row>
    <row r="250" spans="1:3" x14ac:dyDescent="0.25">
      <c r="A250" s="13" t="s">
        <v>615</v>
      </c>
      <c r="B250" s="13" t="s">
        <v>616</v>
      </c>
      <c r="C250" s="13" t="s">
        <v>237</v>
      </c>
    </row>
    <row r="251" spans="1:3" x14ac:dyDescent="0.25">
      <c r="A251" s="13" t="s">
        <v>617</v>
      </c>
      <c r="B251" s="13" t="s">
        <v>618</v>
      </c>
      <c r="C251" s="13" t="s">
        <v>237</v>
      </c>
    </row>
    <row r="252" spans="1:3" x14ac:dyDescent="0.25">
      <c r="A252" s="13" t="s">
        <v>619</v>
      </c>
      <c r="B252" s="13" t="s">
        <v>620</v>
      </c>
      <c r="C252" s="13" t="s">
        <v>237</v>
      </c>
    </row>
    <row r="253" spans="1:3" x14ac:dyDescent="0.25">
      <c r="A253" s="13" t="s">
        <v>621</v>
      </c>
      <c r="B253" s="13" t="s">
        <v>622</v>
      </c>
      <c r="C253" s="13" t="s">
        <v>237</v>
      </c>
    </row>
    <row r="254" spans="1:3" x14ac:dyDescent="0.25">
      <c r="A254" s="13" t="s">
        <v>623</v>
      </c>
      <c r="B254" s="13" t="s">
        <v>624</v>
      </c>
      <c r="C254" s="13" t="s">
        <v>237</v>
      </c>
    </row>
    <row r="255" spans="1:3" x14ac:dyDescent="0.25">
      <c r="A255" s="13" t="s">
        <v>625</v>
      </c>
      <c r="B255" s="13" t="s">
        <v>626</v>
      </c>
      <c r="C255" s="13" t="s">
        <v>237</v>
      </c>
    </row>
    <row r="256" spans="1:3" x14ac:dyDescent="0.25">
      <c r="A256" s="11" t="s">
        <v>627</v>
      </c>
      <c r="B256" s="11" t="s">
        <v>628</v>
      </c>
      <c r="C256" s="11" t="s">
        <v>237</v>
      </c>
    </row>
    <row r="257" spans="1:3" x14ac:dyDescent="0.25">
      <c r="A257" s="13" t="s">
        <v>629</v>
      </c>
      <c r="B257" s="13" t="s">
        <v>630</v>
      </c>
      <c r="C257" s="13" t="s">
        <v>201</v>
      </c>
    </row>
    <row r="258" spans="1:3" x14ac:dyDescent="0.25">
      <c r="A258" s="13" t="s">
        <v>631</v>
      </c>
      <c r="B258" s="13" t="s">
        <v>632</v>
      </c>
      <c r="C258" s="13" t="s">
        <v>633</v>
      </c>
    </row>
    <row r="259" spans="1:3" x14ac:dyDescent="0.25">
      <c r="A259" s="11" t="s">
        <v>634</v>
      </c>
      <c r="B259" s="11" t="s">
        <v>429</v>
      </c>
      <c r="C259" s="11" t="s">
        <v>201</v>
      </c>
    </row>
    <row r="260" spans="1:3" x14ac:dyDescent="0.25">
      <c r="A260" s="13" t="s">
        <v>635</v>
      </c>
      <c r="B260" s="13" t="s">
        <v>636</v>
      </c>
      <c r="C260" s="13" t="s">
        <v>201</v>
      </c>
    </row>
    <row r="261" spans="1:3" x14ac:dyDescent="0.25">
      <c r="A261" s="13" t="s">
        <v>637</v>
      </c>
      <c r="B261" s="13" t="s">
        <v>638</v>
      </c>
      <c r="C261" s="13" t="s">
        <v>201</v>
      </c>
    </row>
    <row r="262" spans="1:3" x14ac:dyDescent="0.25">
      <c r="A262" s="13" t="s">
        <v>639</v>
      </c>
      <c r="B262" s="13" t="s">
        <v>640</v>
      </c>
      <c r="C262" s="13" t="s">
        <v>201</v>
      </c>
    </row>
    <row r="263" spans="1:3" x14ac:dyDescent="0.25">
      <c r="A263" s="13" t="s">
        <v>641</v>
      </c>
      <c r="B263" s="13" t="s">
        <v>642</v>
      </c>
      <c r="C263" s="13" t="s">
        <v>201</v>
      </c>
    </row>
    <row r="264" spans="1:3" x14ac:dyDescent="0.25">
      <c r="A264" s="11" t="s">
        <v>643</v>
      </c>
      <c r="B264" s="11" t="s">
        <v>285</v>
      </c>
      <c r="C264" s="11" t="s">
        <v>201</v>
      </c>
    </row>
    <row r="265" spans="1:3" x14ac:dyDescent="0.25">
      <c r="A265" s="13" t="s">
        <v>644</v>
      </c>
      <c r="B265" s="13" t="s">
        <v>645</v>
      </c>
      <c r="C265" s="13" t="s">
        <v>201</v>
      </c>
    </row>
    <row r="266" spans="1:3" x14ac:dyDescent="0.25">
      <c r="A266" s="13" t="s">
        <v>646</v>
      </c>
      <c r="B266" s="13" t="s">
        <v>647</v>
      </c>
      <c r="C266" s="13" t="s">
        <v>201</v>
      </c>
    </row>
    <row r="267" spans="1:3" x14ac:dyDescent="0.25">
      <c r="A267" s="13" t="s">
        <v>648</v>
      </c>
      <c r="B267" s="13" t="s">
        <v>649</v>
      </c>
      <c r="C267" s="13" t="s">
        <v>201</v>
      </c>
    </row>
    <row r="268" spans="1:3" x14ac:dyDescent="0.25">
      <c r="A268" s="11" t="s">
        <v>650</v>
      </c>
      <c r="B268" s="11" t="s">
        <v>285</v>
      </c>
      <c r="C268" s="11" t="s">
        <v>201</v>
      </c>
    </row>
    <row r="269" spans="1:3" x14ac:dyDescent="0.25">
      <c r="A269" s="13" t="s">
        <v>651</v>
      </c>
      <c r="B269" s="13" t="s">
        <v>652</v>
      </c>
      <c r="C269" s="13" t="s">
        <v>201</v>
      </c>
    </row>
    <row r="270" spans="1:3" x14ac:dyDescent="0.25">
      <c r="A270" s="13" t="s">
        <v>653</v>
      </c>
      <c r="B270" s="13" t="s">
        <v>654</v>
      </c>
      <c r="C270" s="13" t="s">
        <v>201</v>
      </c>
    </row>
    <row r="271" spans="1:3" x14ac:dyDescent="0.25">
      <c r="A271" s="12" t="s">
        <v>655</v>
      </c>
      <c r="B271" s="12" t="s">
        <v>656</v>
      </c>
      <c r="C271" s="12" t="s">
        <v>201</v>
      </c>
    </row>
    <row r="272" spans="1:3" x14ac:dyDescent="0.25">
      <c r="A272" s="13" t="s">
        <v>657</v>
      </c>
      <c r="B272" s="13" t="s">
        <v>658</v>
      </c>
      <c r="C272" s="13" t="s">
        <v>201</v>
      </c>
    </row>
    <row r="273" spans="1:3" x14ac:dyDescent="0.25">
      <c r="A273" s="13" t="s">
        <v>659</v>
      </c>
      <c r="B273" s="13" t="s">
        <v>652</v>
      </c>
      <c r="C273" s="13" t="s">
        <v>201</v>
      </c>
    </row>
    <row r="274" spans="1:3" x14ac:dyDescent="0.25">
      <c r="A274" s="13" t="s">
        <v>660</v>
      </c>
      <c r="B274" s="13" t="s">
        <v>661</v>
      </c>
      <c r="C274" s="13" t="s">
        <v>201</v>
      </c>
    </row>
    <row r="275" spans="1:3" x14ac:dyDescent="0.25">
      <c r="A275" s="12" t="s">
        <v>662</v>
      </c>
      <c r="B275" s="12" t="s">
        <v>656</v>
      </c>
      <c r="C275" s="12" t="s">
        <v>201</v>
      </c>
    </row>
    <row r="276" spans="1:3" x14ac:dyDescent="0.25">
      <c r="A276" s="13" t="s">
        <v>663</v>
      </c>
      <c r="B276" s="13" t="s">
        <v>664</v>
      </c>
      <c r="C276" s="13" t="s">
        <v>201</v>
      </c>
    </row>
    <row r="277" spans="1:3" x14ac:dyDescent="0.25">
      <c r="A277" s="11" t="s">
        <v>665</v>
      </c>
      <c r="B277" s="11" t="s">
        <v>285</v>
      </c>
      <c r="C277" s="11" t="s">
        <v>201</v>
      </c>
    </row>
    <row r="278" spans="1:3" x14ac:dyDescent="0.25">
      <c r="A278" s="13" t="s">
        <v>666</v>
      </c>
      <c r="B278" s="13" t="s">
        <v>667</v>
      </c>
      <c r="C278" s="13" t="s">
        <v>412</v>
      </c>
    </row>
    <row r="279" spans="1:3" x14ac:dyDescent="0.25">
      <c r="A279" s="15" t="s">
        <v>668</v>
      </c>
      <c r="B279" s="15" t="s">
        <v>669</v>
      </c>
      <c r="C279" s="15" t="s">
        <v>412</v>
      </c>
    </row>
    <row r="280" spans="1:3" x14ac:dyDescent="0.25">
      <c r="A280" s="15" t="s">
        <v>670</v>
      </c>
      <c r="B280" s="15" t="s">
        <v>671</v>
      </c>
      <c r="C280" s="15" t="s">
        <v>412</v>
      </c>
    </row>
    <row r="281" spans="1:3" x14ac:dyDescent="0.25">
      <c r="A281" s="13" t="s">
        <v>672</v>
      </c>
      <c r="B281" s="13" t="s">
        <v>673</v>
      </c>
      <c r="C281" s="13" t="s">
        <v>211</v>
      </c>
    </row>
    <row r="282" spans="1:3" x14ac:dyDescent="0.25">
      <c r="A282" s="13" t="s">
        <v>674</v>
      </c>
      <c r="B282" s="13" t="s">
        <v>675</v>
      </c>
      <c r="C282" s="13" t="s">
        <v>211</v>
      </c>
    </row>
    <row r="283" spans="1:3" x14ac:dyDescent="0.25">
      <c r="A283" s="12" t="s">
        <v>676</v>
      </c>
      <c r="B283" s="12" t="s">
        <v>677</v>
      </c>
      <c r="C283" s="12" t="s">
        <v>678</v>
      </c>
    </row>
    <row r="284" spans="1:3" x14ac:dyDescent="0.25">
      <c r="A284" s="15" t="s">
        <v>679</v>
      </c>
      <c r="B284" s="15" t="s">
        <v>338</v>
      </c>
      <c r="C284" s="15" t="s">
        <v>201</v>
      </c>
    </row>
    <row r="285" spans="1:3" x14ac:dyDescent="0.25">
      <c r="A285" s="11" t="s">
        <v>680</v>
      </c>
      <c r="B285" s="11" t="s">
        <v>681</v>
      </c>
      <c r="C285" s="11" t="s">
        <v>201</v>
      </c>
    </row>
    <row r="286" spans="1:3" x14ac:dyDescent="0.25">
      <c r="A286" s="11" t="s">
        <v>682</v>
      </c>
      <c r="B286" s="11" t="s">
        <v>683</v>
      </c>
      <c r="C286" s="11" t="s">
        <v>201</v>
      </c>
    </row>
    <row r="287" spans="1:3" x14ac:dyDescent="0.25">
      <c r="A287" s="11" t="s">
        <v>684</v>
      </c>
      <c r="B287" s="11" t="s">
        <v>681</v>
      </c>
      <c r="C287" s="11" t="s">
        <v>201</v>
      </c>
    </row>
    <row r="288" spans="1:3" x14ac:dyDescent="0.25">
      <c r="A288" s="12" t="s">
        <v>685</v>
      </c>
      <c r="B288" s="12" t="s">
        <v>686</v>
      </c>
      <c r="C288" s="12" t="s">
        <v>201</v>
      </c>
    </row>
    <row r="289" spans="1:3" x14ac:dyDescent="0.25">
      <c r="A289" s="12" t="s">
        <v>687</v>
      </c>
      <c r="B289" s="12" t="s">
        <v>688</v>
      </c>
      <c r="C289" s="12" t="s">
        <v>201</v>
      </c>
    </row>
    <row r="290" spans="1:3" x14ac:dyDescent="0.25">
      <c r="A290" s="12" t="s">
        <v>689</v>
      </c>
      <c r="B290" s="12" t="s">
        <v>690</v>
      </c>
      <c r="C290" s="12" t="s">
        <v>412</v>
      </c>
    </row>
    <row r="291" spans="1:3" x14ac:dyDescent="0.25">
      <c r="A291" s="12" t="s">
        <v>691</v>
      </c>
      <c r="B291" s="12" t="s">
        <v>692</v>
      </c>
      <c r="C291" s="12" t="s">
        <v>412</v>
      </c>
    </row>
    <row r="292" spans="1:3" x14ac:dyDescent="0.25">
      <c r="A292" s="12" t="s">
        <v>693</v>
      </c>
      <c r="B292" s="12" t="s">
        <v>694</v>
      </c>
      <c r="C292" s="12" t="s">
        <v>412</v>
      </c>
    </row>
    <row r="293" spans="1:3" x14ac:dyDescent="0.25">
      <c r="A293" s="12" t="s">
        <v>695</v>
      </c>
      <c r="B293" s="12" t="s">
        <v>696</v>
      </c>
      <c r="C293" s="12" t="s">
        <v>412</v>
      </c>
    </row>
    <row r="294" spans="1:3" x14ac:dyDescent="0.25">
      <c r="A294" s="12" t="s">
        <v>697</v>
      </c>
      <c r="B294" s="12" t="s">
        <v>698</v>
      </c>
      <c r="C294" s="12" t="s">
        <v>201</v>
      </c>
    </row>
    <row r="295" spans="1:3" x14ac:dyDescent="0.25">
      <c r="A295" s="12" t="s">
        <v>699</v>
      </c>
      <c r="B295" s="12" t="s">
        <v>700</v>
      </c>
      <c r="C295" s="12" t="s">
        <v>201</v>
      </c>
    </row>
    <row r="296" spans="1:3" x14ac:dyDescent="0.25">
      <c r="A296" s="12" t="s">
        <v>701</v>
      </c>
      <c r="B296" s="12" t="s">
        <v>702</v>
      </c>
      <c r="C296" s="12" t="s">
        <v>678</v>
      </c>
    </row>
    <row r="297" spans="1:3" x14ac:dyDescent="0.25">
      <c r="A297" s="12" t="s">
        <v>703</v>
      </c>
      <c r="B297" s="12" t="s">
        <v>704</v>
      </c>
      <c r="C297" s="12" t="s">
        <v>412</v>
      </c>
    </row>
    <row r="298" spans="1:3" x14ac:dyDescent="0.25">
      <c r="A298" s="12" t="s">
        <v>705</v>
      </c>
      <c r="B298" s="12" t="s">
        <v>706</v>
      </c>
      <c r="C298" s="12" t="s">
        <v>412</v>
      </c>
    </row>
    <row r="299" spans="1:3" x14ac:dyDescent="0.25">
      <c r="A299" s="12" t="s">
        <v>707</v>
      </c>
      <c r="B299" s="12" t="s">
        <v>708</v>
      </c>
      <c r="C299" s="12" t="s">
        <v>412</v>
      </c>
    </row>
    <row r="300" spans="1:3" x14ac:dyDescent="0.25">
      <c r="A300" s="12" t="s">
        <v>709</v>
      </c>
      <c r="B300" s="12" t="s">
        <v>698</v>
      </c>
      <c r="C300" s="12" t="s">
        <v>201</v>
      </c>
    </row>
    <row r="301" spans="1:3" x14ac:dyDescent="0.25">
      <c r="A301" s="12" t="s">
        <v>710</v>
      </c>
      <c r="B301" s="12" t="s">
        <v>711</v>
      </c>
      <c r="C301" s="12" t="s">
        <v>201</v>
      </c>
    </row>
    <row r="302" spans="1:3" x14ac:dyDescent="0.25">
      <c r="A302" s="12" t="s">
        <v>712</v>
      </c>
      <c r="B302" s="12" t="s">
        <v>713</v>
      </c>
      <c r="C302" s="12" t="s">
        <v>412</v>
      </c>
    </row>
    <row r="303" spans="1:3" x14ac:dyDescent="0.25">
      <c r="A303" s="12" t="s">
        <v>714</v>
      </c>
      <c r="B303" s="12" t="s">
        <v>715</v>
      </c>
      <c r="C303" s="12" t="s">
        <v>412</v>
      </c>
    </row>
    <row r="304" spans="1:3" x14ac:dyDescent="0.25">
      <c r="A304" s="12" t="s">
        <v>716</v>
      </c>
      <c r="B304" s="12" t="s">
        <v>717</v>
      </c>
      <c r="C304" s="12" t="s">
        <v>412</v>
      </c>
    </row>
    <row r="305" spans="1:3" x14ac:dyDescent="0.25">
      <c r="A305" s="12" t="s">
        <v>718</v>
      </c>
      <c r="B305" s="12" t="s">
        <v>719</v>
      </c>
      <c r="C305" s="12" t="s">
        <v>412</v>
      </c>
    </row>
    <row r="306" spans="1:3" x14ac:dyDescent="0.25">
      <c r="A306" s="12" t="s">
        <v>720</v>
      </c>
      <c r="B306" s="12" t="s">
        <v>698</v>
      </c>
      <c r="C306" s="12" t="s">
        <v>201</v>
      </c>
    </row>
    <row r="307" spans="1:3" x14ac:dyDescent="0.25">
      <c r="A307" s="12" t="s">
        <v>721</v>
      </c>
      <c r="B307" s="12" t="s">
        <v>722</v>
      </c>
      <c r="C307" s="12" t="s">
        <v>201</v>
      </c>
    </row>
    <row r="308" spans="1:3" x14ac:dyDescent="0.25">
      <c r="A308" s="12" t="s">
        <v>723</v>
      </c>
      <c r="B308" s="12" t="s">
        <v>698</v>
      </c>
      <c r="C308" s="12" t="s">
        <v>201</v>
      </c>
    </row>
    <row r="309" spans="1:3" x14ac:dyDescent="0.25">
      <c r="A309" s="12" t="s">
        <v>724</v>
      </c>
      <c r="B309" s="12" t="s">
        <v>725</v>
      </c>
      <c r="C309" s="12" t="s">
        <v>633</v>
      </c>
    </row>
    <row r="310" spans="1:3" x14ac:dyDescent="0.25">
      <c r="A310" s="12" t="s">
        <v>726</v>
      </c>
      <c r="B310" s="12" t="s">
        <v>727</v>
      </c>
      <c r="C310" s="12" t="s">
        <v>633</v>
      </c>
    </row>
    <row r="311" spans="1:3" x14ac:dyDescent="0.25">
      <c r="A311" s="12" t="s">
        <v>728</v>
      </c>
      <c r="B311" s="12" t="s">
        <v>729</v>
      </c>
      <c r="C311" s="12" t="s">
        <v>633</v>
      </c>
    </row>
    <row r="312" spans="1:3" x14ac:dyDescent="0.25">
      <c r="A312" s="12" t="s">
        <v>730</v>
      </c>
      <c r="B312" s="12" t="s">
        <v>731</v>
      </c>
      <c r="C312" s="12" t="s">
        <v>633</v>
      </c>
    </row>
    <row r="313" spans="1:3" x14ac:dyDescent="0.25">
      <c r="A313" s="12" t="s">
        <v>732</v>
      </c>
      <c r="B313" s="12" t="s">
        <v>733</v>
      </c>
      <c r="C313" s="12" t="s">
        <v>633</v>
      </c>
    </row>
    <row r="314" spans="1:3" x14ac:dyDescent="0.25">
      <c r="A314" s="12" t="s">
        <v>734</v>
      </c>
      <c r="B314" s="12" t="s">
        <v>735</v>
      </c>
      <c r="C314" s="12" t="s">
        <v>633</v>
      </c>
    </row>
    <row r="315" spans="1:3" x14ac:dyDescent="0.25">
      <c r="A315" s="12" t="s">
        <v>736</v>
      </c>
      <c r="B315" s="12" t="s">
        <v>737</v>
      </c>
      <c r="C315" s="12" t="s">
        <v>633</v>
      </c>
    </row>
    <row r="316" spans="1:3" x14ac:dyDescent="0.25">
      <c r="A316" s="12" t="s">
        <v>738</v>
      </c>
      <c r="B316" s="12" t="s">
        <v>739</v>
      </c>
      <c r="C316" s="12" t="s">
        <v>633</v>
      </c>
    </row>
    <row r="317" spans="1:3" x14ac:dyDescent="0.25">
      <c r="A317" s="12" t="s">
        <v>740</v>
      </c>
      <c r="B317" s="12" t="s">
        <v>741</v>
      </c>
      <c r="C317" s="12" t="s">
        <v>633</v>
      </c>
    </row>
    <row r="318" spans="1:3" x14ac:dyDescent="0.25">
      <c r="A318" s="12" t="s">
        <v>742</v>
      </c>
      <c r="B318" s="12" t="s">
        <v>743</v>
      </c>
      <c r="C318" s="12" t="s">
        <v>633</v>
      </c>
    </row>
    <row r="319" spans="1:3" x14ac:dyDescent="0.25">
      <c r="A319" s="12" t="s">
        <v>744</v>
      </c>
      <c r="B319" s="12" t="s">
        <v>745</v>
      </c>
      <c r="C319" s="12" t="s">
        <v>746</v>
      </c>
    </row>
    <row r="320" spans="1:3" x14ac:dyDescent="0.25">
      <c r="A320" s="12" t="s">
        <v>747</v>
      </c>
      <c r="B320" s="12" t="s">
        <v>748</v>
      </c>
      <c r="C320" s="12" t="s">
        <v>746</v>
      </c>
    </row>
    <row r="321" spans="1:3" x14ac:dyDescent="0.25">
      <c r="A321" s="12" t="s">
        <v>749</v>
      </c>
      <c r="B321" s="12" t="s">
        <v>698</v>
      </c>
      <c r="C321" s="12" t="s">
        <v>201</v>
      </c>
    </row>
    <row r="322" spans="1:3" x14ac:dyDescent="0.25">
      <c r="A322" s="12" t="s">
        <v>750</v>
      </c>
      <c r="B322" s="12" t="s">
        <v>722</v>
      </c>
      <c r="C322" s="12" t="s">
        <v>201</v>
      </c>
    </row>
    <row r="323" spans="1:3" x14ac:dyDescent="0.25">
      <c r="A323" s="12" t="s">
        <v>751</v>
      </c>
      <c r="B323" s="12" t="s">
        <v>752</v>
      </c>
      <c r="C323" s="12" t="s">
        <v>201</v>
      </c>
    </row>
    <row r="324" spans="1:3" x14ac:dyDescent="0.25">
      <c r="A324" s="12" t="s">
        <v>753</v>
      </c>
      <c r="B324" s="22" t="s">
        <v>754</v>
      </c>
      <c r="C324" s="12" t="s">
        <v>237</v>
      </c>
    </row>
    <row r="325" spans="1:3" x14ac:dyDescent="0.25">
      <c r="A325" s="12" t="s">
        <v>755</v>
      </c>
      <c r="B325" s="22" t="s">
        <v>756</v>
      </c>
      <c r="C325" s="12" t="s">
        <v>237</v>
      </c>
    </row>
    <row r="326" spans="1:3" x14ac:dyDescent="0.25">
      <c r="A326" s="12" t="s">
        <v>757</v>
      </c>
      <c r="B326" s="22" t="s">
        <v>758</v>
      </c>
      <c r="C326" s="12" t="s">
        <v>237</v>
      </c>
    </row>
    <row r="327" spans="1:3" x14ac:dyDescent="0.25">
      <c r="A327" s="12" t="s">
        <v>759</v>
      </c>
      <c r="B327" s="22" t="s">
        <v>760</v>
      </c>
      <c r="C327" s="12" t="s">
        <v>237</v>
      </c>
    </row>
    <row r="328" spans="1:3" x14ac:dyDescent="0.25">
      <c r="A328" s="12" t="s">
        <v>761</v>
      </c>
      <c r="B328" s="22" t="s">
        <v>762</v>
      </c>
      <c r="C328" s="12" t="s">
        <v>237</v>
      </c>
    </row>
    <row r="329" spans="1:3" x14ac:dyDescent="0.25">
      <c r="A329" s="12" t="s">
        <v>763</v>
      </c>
      <c r="B329" s="22" t="s">
        <v>764</v>
      </c>
      <c r="C329" s="12" t="s">
        <v>237</v>
      </c>
    </row>
    <row r="330" spans="1:3" x14ac:dyDescent="0.25">
      <c r="A330" s="12" t="s">
        <v>765</v>
      </c>
      <c r="B330" s="22" t="s">
        <v>766</v>
      </c>
      <c r="C330" s="12" t="s">
        <v>237</v>
      </c>
    </row>
    <row r="331" spans="1:3" x14ac:dyDescent="0.25">
      <c r="A331" s="12" t="s">
        <v>767</v>
      </c>
      <c r="B331" s="22" t="s">
        <v>768</v>
      </c>
      <c r="C331" s="12" t="s">
        <v>237</v>
      </c>
    </row>
    <row r="332" spans="1:3" x14ac:dyDescent="0.25">
      <c r="A332" s="12" t="s">
        <v>769</v>
      </c>
      <c r="B332" s="22" t="s">
        <v>770</v>
      </c>
      <c r="C332" s="12" t="s">
        <v>237</v>
      </c>
    </row>
    <row r="333" spans="1:3" x14ac:dyDescent="0.25">
      <c r="A333" s="12" t="s">
        <v>771</v>
      </c>
      <c r="B333" s="22" t="s">
        <v>772</v>
      </c>
      <c r="C333" s="12" t="s">
        <v>237</v>
      </c>
    </row>
    <row r="334" spans="1:3" x14ac:dyDescent="0.25">
      <c r="A334" s="12" t="s">
        <v>773</v>
      </c>
      <c r="B334" s="22" t="s">
        <v>774</v>
      </c>
      <c r="C334" s="12" t="s">
        <v>237</v>
      </c>
    </row>
    <row r="335" spans="1:3" x14ac:dyDescent="0.25">
      <c r="A335" s="12" t="s">
        <v>775</v>
      </c>
      <c r="B335" s="22" t="s">
        <v>776</v>
      </c>
      <c r="C335" s="12" t="s">
        <v>237</v>
      </c>
    </row>
    <row r="336" spans="1:3" x14ac:dyDescent="0.25">
      <c r="A336" s="12" t="s">
        <v>777</v>
      </c>
      <c r="B336" s="22" t="s">
        <v>778</v>
      </c>
      <c r="C336" s="12" t="s">
        <v>412</v>
      </c>
    </row>
    <row r="337" spans="1:3" x14ac:dyDescent="0.25">
      <c r="A337" s="12" t="s">
        <v>779</v>
      </c>
      <c r="B337" s="22" t="s">
        <v>780</v>
      </c>
      <c r="C337" s="12" t="s">
        <v>412</v>
      </c>
    </row>
    <row r="338" spans="1:3" x14ac:dyDescent="0.25">
      <c r="A338" s="12" t="s">
        <v>781</v>
      </c>
      <c r="B338" s="22" t="s">
        <v>782</v>
      </c>
      <c r="C338" s="12" t="s">
        <v>746</v>
      </c>
    </row>
    <row r="339" spans="1:3" x14ac:dyDescent="0.25">
      <c r="A339" s="11" t="s">
        <v>783</v>
      </c>
      <c r="B339" s="11" t="s">
        <v>784</v>
      </c>
      <c r="C339" s="11" t="s">
        <v>201</v>
      </c>
    </row>
    <row r="340" spans="1:3" x14ac:dyDescent="0.25">
      <c r="A340" s="11" t="s">
        <v>785</v>
      </c>
      <c r="B340" s="11" t="s">
        <v>786</v>
      </c>
      <c r="C340" s="11" t="s">
        <v>237</v>
      </c>
    </row>
    <row r="341" spans="1:3" x14ac:dyDescent="0.25">
      <c r="A341" s="11" t="s">
        <v>787</v>
      </c>
      <c r="B341" s="11" t="s">
        <v>788</v>
      </c>
      <c r="C341" s="11" t="s">
        <v>237</v>
      </c>
    </row>
    <row r="342" spans="1:3" x14ac:dyDescent="0.25">
      <c r="A342" s="11" t="s">
        <v>789</v>
      </c>
      <c r="B342" s="11" t="s">
        <v>790</v>
      </c>
      <c r="C342" s="11" t="s">
        <v>237</v>
      </c>
    </row>
    <row r="343" spans="1:3" x14ac:dyDescent="0.25">
      <c r="A343" s="11" t="s">
        <v>791</v>
      </c>
      <c r="B343" s="11" t="s">
        <v>792</v>
      </c>
      <c r="C343" s="11" t="s">
        <v>237</v>
      </c>
    </row>
    <row r="344" spans="1:3" x14ac:dyDescent="0.25">
      <c r="A344" s="11" t="s">
        <v>793</v>
      </c>
      <c r="B344" s="11" t="s">
        <v>794</v>
      </c>
      <c r="C344" s="11" t="s">
        <v>237</v>
      </c>
    </row>
    <row r="345" spans="1:3" x14ac:dyDescent="0.25">
      <c r="A345" s="11" t="s">
        <v>795</v>
      </c>
      <c r="B345" s="11" t="s">
        <v>796</v>
      </c>
      <c r="C345" s="11" t="s">
        <v>237</v>
      </c>
    </row>
    <row r="346" spans="1:3" x14ac:dyDescent="0.25">
      <c r="A346" s="11" t="s">
        <v>797</v>
      </c>
      <c r="B346" s="11" t="s">
        <v>798</v>
      </c>
      <c r="C346" s="11" t="s">
        <v>237</v>
      </c>
    </row>
    <row r="347" spans="1:3" x14ac:dyDescent="0.25">
      <c r="A347" s="11" t="s">
        <v>799</v>
      </c>
      <c r="B347" s="11" t="s">
        <v>786</v>
      </c>
      <c r="C347" s="11" t="s">
        <v>201</v>
      </c>
    </row>
    <row r="348" spans="1:3" x14ac:dyDescent="0.25">
      <c r="A348" s="11" t="s">
        <v>800</v>
      </c>
      <c r="B348" s="11" t="s">
        <v>801</v>
      </c>
      <c r="C348" s="11" t="s">
        <v>201</v>
      </c>
    </row>
    <row r="349" spans="1:3" x14ac:dyDescent="0.25">
      <c r="A349" s="11" t="s">
        <v>802</v>
      </c>
      <c r="B349" s="11" t="s">
        <v>784</v>
      </c>
      <c r="C349" s="11" t="s">
        <v>201</v>
      </c>
    </row>
    <row r="350" spans="1:3" x14ac:dyDescent="0.25">
      <c r="A350" s="12" t="s">
        <v>803</v>
      </c>
      <c r="B350" s="12" t="s">
        <v>804</v>
      </c>
      <c r="C350" s="12" t="s">
        <v>412</v>
      </c>
    </row>
    <row r="351" spans="1:3" x14ac:dyDescent="0.25">
      <c r="A351" s="12" t="s">
        <v>805</v>
      </c>
      <c r="B351" s="12" t="s">
        <v>722</v>
      </c>
      <c r="C351" s="12" t="s">
        <v>201</v>
      </c>
    </row>
    <row r="352" spans="1:3" x14ac:dyDescent="0.25">
      <c r="A352" s="12" t="s">
        <v>806</v>
      </c>
      <c r="B352" s="12" t="s">
        <v>807</v>
      </c>
      <c r="C352" s="12" t="s">
        <v>201</v>
      </c>
    </row>
    <row r="353" spans="1:3" x14ac:dyDescent="0.25">
      <c r="A353" s="12" t="s">
        <v>808</v>
      </c>
      <c r="B353" s="12" t="s">
        <v>809</v>
      </c>
      <c r="C353" s="12" t="s">
        <v>201</v>
      </c>
    </row>
    <row r="354" spans="1:3" x14ac:dyDescent="0.25">
      <c r="A354" s="12" t="s">
        <v>810</v>
      </c>
      <c r="B354" s="12" t="s">
        <v>811</v>
      </c>
      <c r="C354" s="12" t="s">
        <v>201</v>
      </c>
    </row>
    <row r="355" spans="1:3" x14ac:dyDescent="0.25">
      <c r="A355" s="12" t="s">
        <v>812</v>
      </c>
      <c r="B355" s="12" t="s">
        <v>813</v>
      </c>
      <c r="C355" s="12" t="s">
        <v>201</v>
      </c>
    </row>
    <row r="356" spans="1:3" x14ac:dyDescent="0.25">
      <c r="A356" s="12" t="s">
        <v>814</v>
      </c>
      <c r="B356" s="12" t="s">
        <v>815</v>
      </c>
      <c r="C356" s="12" t="s">
        <v>201</v>
      </c>
    </row>
    <row r="357" spans="1:3" x14ac:dyDescent="0.25">
      <c r="A357" s="12" t="s">
        <v>816</v>
      </c>
      <c r="B357" s="12" t="s">
        <v>817</v>
      </c>
      <c r="C357" s="12" t="s">
        <v>201</v>
      </c>
    </row>
    <row r="358" spans="1:3" x14ac:dyDescent="0.25">
      <c r="A358" s="12" t="s">
        <v>818</v>
      </c>
      <c r="B358" s="12" t="s">
        <v>819</v>
      </c>
      <c r="C358" s="12" t="s">
        <v>412</v>
      </c>
    </row>
    <row r="359" spans="1:3" x14ac:dyDescent="0.25">
      <c r="A359" s="12" t="s">
        <v>820</v>
      </c>
      <c r="B359" s="12" t="s">
        <v>821</v>
      </c>
      <c r="C359" s="12" t="s">
        <v>201</v>
      </c>
    </row>
    <row r="360" spans="1:3" x14ac:dyDescent="0.25">
      <c r="A360" s="12" t="s">
        <v>822</v>
      </c>
      <c r="B360" s="12" t="s">
        <v>823</v>
      </c>
      <c r="C360" s="12" t="s">
        <v>201</v>
      </c>
    </row>
    <row r="361" spans="1:3" x14ac:dyDescent="0.25">
      <c r="A361" s="12" t="s">
        <v>824</v>
      </c>
      <c r="B361" s="12" t="s">
        <v>813</v>
      </c>
      <c r="C361" s="12" t="s">
        <v>201</v>
      </c>
    </row>
    <row r="362" spans="1:3" x14ac:dyDescent="0.25">
      <c r="A362" s="12" t="s">
        <v>825</v>
      </c>
      <c r="B362" s="12" t="s">
        <v>826</v>
      </c>
      <c r="C362" s="12" t="s">
        <v>201</v>
      </c>
    </row>
    <row r="363" spans="1:3" x14ac:dyDescent="0.25">
      <c r="A363" s="12" t="s">
        <v>827</v>
      </c>
      <c r="B363" s="12" t="s">
        <v>828</v>
      </c>
      <c r="C363" s="12" t="s">
        <v>201</v>
      </c>
    </row>
    <row r="364" spans="1:3" x14ac:dyDescent="0.25">
      <c r="A364" s="12" t="s">
        <v>829</v>
      </c>
      <c r="B364" s="12" t="s">
        <v>830</v>
      </c>
      <c r="C364" s="12" t="s">
        <v>412</v>
      </c>
    </row>
    <row r="365" spans="1:3" x14ac:dyDescent="0.25">
      <c r="A365" s="12" t="s">
        <v>831</v>
      </c>
      <c r="B365" s="12" t="s">
        <v>722</v>
      </c>
      <c r="C365" s="12" t="s">
        <v>201</v>
      </c>
    </row>
    <row r="366" spans="1:3" x14ac:dyDescent="0.25">
      <c r="A366" s="11" t="s">
        <v>832</v>
      </c>
      <c r="B366" s="11" t="s">
        <v>784</v>
      </c>
      <c r="C366" s="11" t="s">
        <v>201</v>
      </c>
    </row>
    <row r="367" spans="1:3" x14ac:dyDescent="0.25">
      <c r="A367" s="11" t="s">
        <v>833</v>
      </c>
      <c r="B367" s="11" t="s">
        <v>683</v>
      </c>
      <c r="C367" s="11" t="s">
        <v>201</v>
      </c>
    </row>
    <row r="368" spans="1:3" x14ac:dyDescent="0.25">
      <c r="A368" s="12" t="s">
        <v>834</v>
      </c>
      <c r="B368" s="12" t="s">
        <v>835</v>
      </c>
      <c r="C368" s="12" t="s">
        <v>412</v>
      </c>
    </row>
    <row r="369" spans="1:3" x14ac:dyDescent="0.25">
      <c r="A369" s="12" t="s">
        <v>836</v>
      </c>
      <c r="B369" s="12" t="s">
        <v>722</v>
      </c>
      <c r="C369" s="12" t="s">
        <v>412</v>
      </c>
    </row>
    <row r="370" spans="1:3" x14ac:dyDescent="0.25">
      <c r="A370" s="12" t="s">
        <v>837</v>
      </c>
      <c r="B370" s="12" t="s">
        <v>835</v>
      </c>
      <c r="C370" s="12" t="s">
        <v>201</v>
      </c>
    </row>
    <row r="371" spans="1:3" x14ac:dyDescent="0.25">
      <c r="A371" s="12" t="s">
        <v>838</v>
      </c>
      <c r="B371" s="12" t="s">
        <v>839</v>
      </c>
      <c r="C371" s="12" t="s">
        <v>201</v>
      </c>
    </row>
    <row r="372" spans="1:3" x14ac:dyDescent="0.25">
      <c r="A372" s="12" t="s">
        <v>840</v>
      </c>
      <c r="B372" s="12" t="s">
        <v>841</v>
      </c>
      <c r="C372" s="12" t="s">
        <v>201</v>
      </c>
    </row>
    <row r="373" spans="1:3" x14ac:dyDescent="0.25">
      <c r="A373" s="12" t="s">
        <v>842</v>
      </c>
      <c r="B373" s="12" t="s">
        <v>843</v>
      </c>
      <c r="C373" s="12" t="s">
        <v>201</v>
      </c>
    </row>
    <row r="374" spans="1:3" x14ac:dyDescent="0.25">
      <c r="A374" s="12" t="s">
        <v>844</v>
      </c>
      <c r="B374" s="12" t="s">
        <v>835</v>
      </c>
      <c r="C374" s="12" t="s">
        <v>412</v>
      </c>
    </row>
    <row r="375" spans="1:3" x14ac:dyDescent="0.25">
      <c r="A375" s="12" t="s">
        <v>845</v>
      </c>
      <c r="B375" s="12" t="s">
        <v>846</v>
      </c>
      <c r="C375" s="12" t="s">
        <v>201</v>
      </c>
    </row>
    <row r="376" spans="1:3" x14ac:dyDescent="0.25">
      <c r="A376" s="12" t="s">
        <v>847</v>
      </c>
      <c r="B376" s="12" t="s">
        <v>848</v>
      </c>
      <c r="C376" s="12" t="s">
        <v>201</v>
      </c>
    </row>
    <row r="377" spans="1:3" x14ac:dyDescent="0.25">
      <c r="A377" s="12" t="s">
        <v>849</v>
      </c>
      <c r="B377" s="12" t="s">
        <v>850</v>
      </c>
      <c r="C377" s="12" t="s">
        <v>201</v>
      </c>
    </row>
    <row r="378" spans="1:3" x14ac:dyDescent="0.25">
      <c r="A378" s="12" t="s">
        <v>851</v>
      </c>
      <c r="B378" s="12" t="s">
        <v>835</v>
      </c>
      <c r="C378" s="12" t="s">
        <v>412</v>
      </c>
    </row>
    <row r="379" spans="1:3" x14ac:dyDescent="0.25">
      <c r="A379" s="12" t="s">
        <v>852</v>
      </c>
      <c r="B379" s="12" t="s">
        <v>722</v>
      </c>
      <c r="C379" s="12" t="s">
        <v>201</v>
      </c>
    </row>
    <row r="380" spans="1:3" x14ac:dyDescent="0.25">
      <c r="A380" s="12" t="s">
        <v>853</v>
      </c>
      <c r="B380" s="12" t="s">
        <v>854</v>
      </c>
      <c r="C380" s="12" t="s">
        <v>201</v>
      </c>
    </row>
    <row r="381" spans="1:3" x14ac:dyDescent="0.25">
      <c r="A381" s="12" t="s">
        <v>855</v>
      </c>
      <c r="B381" s="12" t="s">
        <v>856</v>
      </c>
      <c r="C381" s="12" t="s">
        <v>201</v>
      </c>
    </row>
    <row r="382" spans="1:3" x14ac:dyDescent="0.25">
      <c r="A382" s="12" t="s">
        <v>857</v>
      </c>
      <c r="B382" s="12" t="s">
        <v>858</v>
      </c>
      <c r="C382" s="12" t="s">
        <v>201</v>
      </c>
    </row>
    <row r="383" spans="1:3" x14ac:dyDescent="0.25">
      <c r="A383" s="12" t="s">
        <v>859</v>
      </c>
      <c r="B383" s="12" t="s">
        <v>860</v>
      </c>
      <c r="C383" s="12" t="s">
        <v>412</v>
      </c>
    </row>
    <row r="384" spans="1:3" x14ac:dyDescent="0.25">
      <c r="A384" s="12" t="s">
        <v>861</v>
      </c>
      <c r="B384" s="12" t="s">
        <v>862</v>
      </c>
      <c r="C384" s="12" t="s">
        <v>633</v>
      </c>
    </row>
    <row r="385" spans="1:3" x14ac:dyDescent="0.25">
      <c r="A385" s="12" t="s">
        <v>863</v>
      </c>
      <c r="B385" s="12" t="s">
        <v>864</v>
      </c>
      <c r="C385" s="12" t="s">
        <v>201</v>
      </c>
    </row>
    <row r="386" spans="1:3" x14ac:dyDescent="0.25">
      <c r="A386" s="17"/>
      <c r="B386" s="17"/>
      <c r="C38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93D7-99F4-4B5E-AF95-262003999416}">
  <dimension ref="A2:C84"/>
  <sheetViews>
    <sheetView tabSelected="1" topLeftCell="A10" zoomScale="115" zoomScaleNormal="115" workbookViewId="0">
      <selection activeCell="A16" sqref="A16"/>
    </sheetView>
  </sheetViews>
  <sheetFormatPr baseColWidth="10" defaultColWidth="11.42578125" defaultRowHeight="15" x14ac:dyDescent="0.25"/>
  <cols>
    <col min="1" max="1" width="77.85546875" bestFit="1" customWidth="1"/>
  </cols>
  <sheetData>
    <row r="2" spans="1:2" x14ac:dyDescent="0.25">
      <c r="A2" t="e" cm="1">
        <f t="array" ref="A2">-- Parametros definidos en el WITH inicial</f>
        <v>#NAME?</v>
      </c>
    </row>
    <row r="3" spans="1:2" x14ac:dyDescent="0.25">
      <c r="A3" t="s">
        <v>865</v>
      </c>
    </row>
    <row r="4" spans="1:2" x14ac:dyDescent="0.25">
      <c r="A4" t="s">
        <v>866</v>
      </c>
    </row>
    <row r="5" spans="1:2" x14ac:dyDescent="0.25">
      <c r="A5" t="s">
        <v>867</v>
      </c>
      <c r="B5" t="s">
        <v>868</v>
      </c>
    </row>
    <row r="6" spans="1:2" x14ac:dyDescent="0.25">
      <c r="A6" t="s">
        <v>869</v>
      </c>
    </row>
    <row r="7" spans="1:2" x14ac:dyDescent="0.25">
      <c r="A7" t="s">
        <v>126</v>
      </c>
    </row>
    <row r="9" spans="1:2" x14ac:dyDescent="0.25">
      <c r="A9" t="s">
        <v>870</v>
      </c>
      <c r="B9" t="s">
        <v>871</v>
      </c>
    </row>
    <row r="10" spans="1:2" x14ac:dyDescent="0.25">
      <c r="A10" t="s">
        <v>872</v>
      </c>
    </row>
    <row r="11" spans="1:2" x14ac:dyDescent="0.25">
      <c r="A11" t="s">
        <v>873</v>
      </c>
    </row>
    <row r="12" spans="1:2" x14ac:dyDescent="0.25">
      <c r="A12" t="s">
        <v>874</v>
      </c>
    </row>
    <row r="13" spans="1:2" x14ac:dyDescent="0.25">
      <c r="A13" t="s">
        <v>875</v>
      </c>
    </row>
    <row r="14" spans="1:2" x14ac:dyDescent="0.25">
      <c r="A14" t="s">
        <v>876</v>
      </c>
    </row>
    <row r="15" spans="1:2" x14ac:dyDescent="0.25">
      <c r="A15" t="s">
        <v>877</v>
      </c>
    </row>
    <row r="16" spans="1:2" x14ac:dyDescent="0.25">
      <c r="A16" t="s">
        <v>878</v>
      </c>
      <c r="B16" t="s">
        <v>879</v>
      </c>
    </row>
    <row r="17" spans="1:2" x14ac:dyDescent="0.25">
      <c r="A17" t="s">
        <v>880</v>
      </c>
    </row>
    <row r="18" spans="1:2" x14ac:dyDescent="0.25">
      <c r="A18" t="s">
        <v>881</v>
      </c>
    </row>
    <row r="19" spans="1:2" x14ac:dyDescent="0.25">
      <c r="A19" t="s">
        <v>882</v>
      </c>
    </row>
    <row r="20" spans="1:2" x14ac:dyDescent="0.25">
      <c r="A20" t="s">
        <v>883</v>
      </c>
    </row>
    <row r="21" spans="1:2" x14ac:dyDescent="0.25">
      <c r="A21" t="s">
        <v>884</v>
      </c>
    </row>
    <row r="22" spans="1:2" x14ac:dyDescent="0.25">
      <c r="A22" t="s">
        <v>885</v>
      </c>
    </row>
    <row r="23" spans="1:2" x14ac:dyDescent="0.25">
      <c r="A23" t="s">
        <v>886</v>
      </c>
    </row>
    <row r="24" spans="1:2" x14ac:dyDescent="0.25">
      <c r="A24" t="s">
        <v>887</v>
      </c>
    </row>
    <row r="25" spans="1:2" x14ac:dyDescent="0.25">
      <c r="A25" t="s">
        <v>888</v>
      </c>
    </row>
    <row r="26" spans="1:2" x14ac:dyDescent="0.25">
      <c r="A26" t="s">
        <v>889</v>
      </c>
      <c r="B26" t="s">
        <v>890</v>
      </c>
    </row>
    <row r="27" spans="1:2" x14ac:dyDescent="0.25">
      <c r="A27" t="s">
        <v>891</v>
      </c>
      <c r="B27" t="s">
        <v>892</v>
      </c>
    </row>
    <row r="28" spans="1:2" x14ac:dyDescent="0.25">
      <c r="A28" t="s">
        <v>893</v>
      </c>
      <c r="B28" t="s">
        <v>894</v>
      </c>
    </row>
    <row r="29" spans="1:2" x14ac:dyDescent="0.25">
      <c r="A29" t="s">
        <v>895</v>
      </c>
    </row>
    <row r="30" spans="1:2" x14ac:dyDescent="0.25">
      <c r="A30" t="s">
        <v>896</v>
      </c>
    </row>
    <row r="31" spans="1:2" x14ac:dyDescent="0.25">
      <c r="A31" t="s">
        <v>897</v>
      </c>
    </row>
    <row r="32" spans="1:2" x14ac:dyDescent="0.25">
      <c r="A32" t="s">
        <v>898</v>
      </c>
    </row>
    <row r="33" spans="1:3" x14ac:dyDescent="0.25">
      <c r="A33" t="s">
        <v>899</v>
      </c>
    </row>
    <row r="34" spans="1:3" x14ac:dyDescent="0.25">
      <c r="A34" t="s">
        <v>900</v>
      </c>
    </row>
    <row r="35" spans="1:3" x14ac:dyDescent="0.25">
      <c r="A35" t="s">
        <v>901</v>
      </c>
    </row>
    <row r="36" spans="1:3" x14ac:dyDescent="0.25">
      <c r="A36" t="s">
        <v>902</v>
      </c>
    </row>
    <row r="37" spans="1:3" x14ac:dyDescent="0.25">
      <c r="A37" t="s">
        <v>903</v>
      </c>
    </row>
    <row r="38" spans="1:3" x14ac:dyDescent="0.25">
      <c r="A38" t="s">
        <v>126</v>
      </c>
    </row>
    <row r="40" spans="1:3" x14ac:dyDescent="0.25">
      <c r="A40" t="s">
        <v>904</v>
      </c>
      <c r="B40" t="s">
        <v>905</v>
      </c>
      <c r="C40" t="s">
        <v>906</v>
      </c>
    </row>
    <row r="41" spans="1:3" x14ac:dyDescent="0.25">
      <c r="A41" t="s">
        <v>907</v>
      </c>
    </row>
    <row r="42" spans="1:3" x14ac:dyDescent="0.25">
      <c r="A42" t="s">
        <v>873</v>
      </c>
    </row>
    <row r="43" spans="1:3" x14ac:dyDescent="0.25">
      <c r="A43" t="s">
        <v>908</v>
      </c>
      <c r="B43" t="s">
        <v>909</v>
      </c>
    </row>
    <row r="44" spans="1:3" x14ac:dyDescent="0.25">
      <c r="A44" t="s">
        <v>910</v>
      </c>
    </row>
    <row r="45" spans="1:3" x14ac:dyDescent="0.25">
      <c r="A45" t="s">
        <v>911</v>
      </c>
    </row>
    <row r="46" spans="1:3" x14ac:dyDescent="0.25">
      <c r="A46" t="s">
        <v>912</v>
      </c>
    </row>
    <row r="47" spans="1:3" x14ac:dyDescent="0.25">
      <c r="A47" t="s">
        <v>895</v>
      </c>
    </row>
    <row r="48" spans="1:3" x14ac:dyDescent="0.25">
      <c r="A48" t="s">
        <v>913</v>
      </c>
    </row>
    <row r="49" spans="1:1" x14ac:dyDescent="0.25">
      <c r="A49" t="s">
        <v>900</v>
      </c>
    </row>
    <row r="50" spans="1:1" x14ac:dyDescent="0.25">
      <c r="A50" t="s">
        <v>914</v>
      </c>
    </row>
    <row r="51" spans="1:1" x14ac:dyDescent="0.25">
      <c r="A51" t="s">
        <v>915</v>
      </c>
    </row>
    <row r="52" spans="1:1" x14ac:dyDescent="0.25">
      <c r="A52" t="s">
        <v>916</v>
      </c>
    </row>
    <row r="53" spans="1:1" x14ac:dyDescent="0.25">
      <c r="A53" t="s">
        <v>917</v>
      </c>
    </row>
    <row r="54" spans="1:1" x14ac:dyDescent="0.25">
      <c r="A54" t="s">
        <v>126</v>
      </c>
    </row>
    <row r="56" spans="1:1" x14ac:dyDescent="0.25">
      <c r="A56" t="s">
        <v>918</v>
      </c>
    </row>
    <row r="57" spans="1:1" x14ac:dyDescent="0.25">
      <c r="A57" t="s">
        <v>21</v>
      </c>
    </row>
    <row r="58" spans="1:1" x14ac:dyDescent="0.25">
      <c r="A58" t="s">
        <v>919</v>
      </c>
    </row>
    <row r="59" spans="1:1" x14ac:dyDescent="0.25">
      <c r="A59" t="s">
        <v>920</v>
      </c>
    </row>
    <row r="60" spans="1:1" x14ac:dyDescent="0.25">
      <c r="A60" t="s">
        <v>921</v>
      </c>
    </row>
    <row r="61" spans="1:1" x14ac:dyDescent="0.25">
      <c r="A61" t="s">
        <v>922</v>
      </c>
    </row>
    <row r="62" spans="1:1" x14ac:dyDescent="0.25">
      <c r="A62" t="s">
        <v>923</v>
      </c>
    </row>
    <row r="63" spans="1:1" x14ac:dyDescent="0.25">
      <c r="A63" t="s">
        <v>924</v>
      </c>
    </row>
    <row r="64" spans="1:1" x14ac:dyDescent="0.25">
      <c r="A64" t="s">
        <v>925</v>
      </c>
    </row>
    <row r="65" spans="1:3" x14ac:dyDescent="0.25">
      <c r="A65" t="s">
        <v>926</v>
      </c>
    </row>
    <row r="66" spans="1:3" x14ac:dyDescent="0.25">
      <c r="A66" t="s">
        <v>927</v>
      </c>
      <c r="B66" t="s">
        <v>928</v>
      </c>
    </row>
    <row r="67" spans="1:3" x14ac:dyDescent="0.25">
      <c r="A67" t="s">
        <v>929</v>
      </c>
      <c r="B67" t="s">
        <v>928</v>
      </c>
    </row>
    <row r="68" spans="1:3" x14ac:dyDescent="0.25">
      <c r="A68" t="s">
        <v>930</v>
      </c>
    </row>
    <row r="69" spans="1:3" x14ac:dyDescent="0.25">
      <c r="A69" t="s">
        <v>931</v>
      </c>
    </row>
    <row r="70" spans="1:3" x14ac:dyDescent="0.25">
      <c r="A70" t="s">
        <v>932</v>
      </c>
    </row>
    <row r="71" spans="1:3" x14ac:dyDescent="0.25">
      <c r="A71" t="s">
        <v>933</v>
      </c>
      <c r="B71" t="s">
        <v>934</v>
      </c>
      <c r="C71" t="s">
        <v>935</v>
      </c>
    </row>
    <row r="72" spans="1:3" x14ac:dyDescent="0.25">
      <c r="A72" t="s">
        <v>933</v>
      </c>
      <c r="B72" t="s">
        <v>934</v>
      </c>
      <c r="C72" t="s">
        <v>936</v>
      </c>
    </row>
    <row r="73" spans="1:3" x14ac:dyDescent="0.25">
      <c r="A73" t="s">
        <v>937</v>
      </c>
    </row>
    <row r="74" spans="1:3" x14ac:dyDescent="0.25">
      <c r="A74" t="s">
        <v>938</v>
      </c>
    </row>
    <row r="75" spans="1:3" x14ac:dyDescent="0.25">
      <c r="A75" t="s">
        <v>939</v>
      </c>
    </row>
    <row r="76" spans="1:3" x14ac:dyDescent="0.25">
      <c r="A76" t="s">
        <v>36</v>
      </c>
    </row>
    <row r="77" spans="1:3" x14ac:dyDescent="0.25">
      <c r="A77" t="s">
        <v>940</v>
      </c>
    </row>
    <row r="78" spans="1:3" x14ac:dyDescent="0.25">
      <c r="A78" t="s">
        <v>941</v>
      </c>
    </row>
    <row r="79" spans="1:3" x14ac:dyDescent="0.25">
      <c r="A79" t="s">
        <v>942</v>
      </c>
    </row>
    <row r="80" spans="1:3" x14ac:dyDescent="0.25">
      <c r="A80" t="s">
        <v>943</v>
      </c>
    </row>
    <row r="81" spans="1:1" x14ac:dyDescent="0.25">
      <c r="A81" t="s">
        <v>944</v>
      </c>
    </row>
    <row r="82" spans="1:1" x14ac:dyDescent="0.25">
      <c r="A82" t="s">
        <v>945</v>
      </c>
    </row>
    <row r="83" spans="1:1" x14ac:dyDescent="0.25">
      <c r="A83" t="s">
        <v>919</v>
      </c>
    </row>
    <row r="84" spans="1:1" x14ac:dyDescent="0.25">
      <c r="A84" t="s">
        <v>946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A12" zoomScale="115" zoomScaleNormal="115" workbookViewId="0">
      <selection activeCell="C41" sqref="C41"/>
    </sheetView>
  </sheetViews>
  <sheetFormatPr baseColWidth="10" defaultColWidth="8.7109375" defaultRowHeight="15" x14ac:dyDescent="0.25"/>
  <cols>
    <col min="1" max="1" width="9.5703125" bestFit="1" customWidth="1"/>
    <col min="2" max="2" width="17" customWidth="1"/>
    <col min="3" max="3" width="71.5703125" style="9" customWidth="1"/>
    <col min="4" max="4" width="46.7109375" style="9" customWidth="1"/>
    <col min="5" max="5" width="16.42578125" bestFit="1" customWidth="1"/>
    <col min="6" max="6" width="16.42578125" customWidth="1"/>
    <col min="7" max="7" width="14.7109375" customWidth="1"/>
    <col min="9" max="9" width="20.7109375" customWidth="1"/>
  </cols>
  <sheetData>
    <row r="1" spans="1:9" ht="30" x14ac:dyDescent="0.25">
      <c r="A1" s="1" t="s">
        <v>947</v>
      </c>
      <c r="B1" s="2" t="s">
        <v>948</v>
      </c>
      <c r="C1" s="3" t="s">
        <v>949</v>
      </c>
      <c r="D1" s="3" t="s">
        <v>950</v>
      </c>
      <c r="E1" s="3" t="s">
        <v>951</v>
      </c>
      <c r="F1" s="3" t="s">
        <v>952</v>
      </c>
      <c r="G1" s="1" t="s">
        <v>953</v>
      </c>
      <c r="H1" s="1" t="s">
        <v>954</v>
      </c>
      <c r="I1" s="1" t="s">
        <v>955</v>
      </c>
    </row>
    <row r="2" spans="1:9" ht="36.75" x14ac:dyDescent="0.25">
      <c r="A2" s="4" t="s">
        <v>956</v>
      </c>
      <c r="B2" s="5" t="s">
        <v>56</v>
      </c>
      <c r="C2" s="6" t="s">
        <v>957</v>
      </c>
      <c r="D2" s="18" t="s">
        <v>958</v>
      </c>
      <c r="E2" s="6" t="s">
        <v>959</v>
      </c>
      <c r="F2" s="6" t="s">
        <v>960</v>
      </c>
      <c r="G2" s="4">
        <v>0</v>
      </c>
      <c r="H2" s="4">
        <v>0</v>
      </c>
      <c r="I2" s="6" t="s">
        <v>961</v>
      </c>
    </row>
    <row r="3" spans="1:9" ht="36" x14ac:dyDescent="0.25">
      <c r="A3" s="4" t="s">
        <v>962</v>
      </c>
      <c r="B3" s="5" t="s">
        <v>37</v>
      </c>
      <c r="C3" s="6" t="s">
        <v>963</v>
      </c>
      <c r="D3" s="6" t="s">
        <v>964</v>
      </c>
      <c r="E3" s="6" t="s">
        <v>965</v>
      </c>
      <c r="F3" s="6" t="s">
        <v>966</v>
      </c>
      <c r="G3" s="4">
        <v>0</v>
      </c>
      <c r="H3" s="4">
        <v>0</v>
      </c>
      <c r="I3" s="6" t="s">
        <v>961</v>
      </c>
    </row>
    <row r="4" spans="1:9" ht="24" x14ac:dyDescent="0.25">
      <c r="A4" s="19" t="s">
        <v>967</v>
      </c>
      <c r="B4" s="20" t="s">
        <v>113</v>
      </c>
      <c r="C4" s="21" t="s">
        <v>968</v>
      </c>
      <c r="D4" s="21" t="s">
        <v>969</v>
      </c>
      <c r="E4" s="21" t="s">
        <v>970</v>
      </c>
      <c r="F4" s="21" t="s">
        <v>966</v>
      </c>
      <c r="G4" s="19">
        <v>1</v>
      </c>
      <c r="H4" s="19">
        <v>1</v>
      </c>
      <c r="I4" s="21" t="s">
        <v>971</v>
      </c>
    </row>
    <row r="5" spans="1:9" ht="24" x14ac:dyDescent="0.25">
      <c r="A5" s="4" t="s">
        <v>972</v>
      </c>
      <c r="B5" s="5" t="s">
        <v>119</v>
      </c>
      <c r="C5" s="6" t="s">
        <v>973</v>
      </c>
      <c r="D5" s="6" t="s">
        <v>974</v>
      </c>
      <c r="E5" s="6" t="s">
        <v>970</v>
      </c>
      <c r="F5" s="6" t="s">
        <v>966</v>
      </c>
      <c r="G5" s="4">
        <v>0</v>
      </c>
      <c r="H5" s="4">
        <v>0</v>
      </c>
      <c r="I5" s="6" t="s">
        <v>961</v>
      </c>
    </row>
    <row r="6" spans="1:9" ht="24" x14ac:dyDescent="0.25">
      <c r="A6" s="19" t="s">
        <v>975</v>
      </c>
      <c r="B6" s="20" t="s">
        <v>976</v>
      </c>
      <c r="C6" s="21" t="s">
        <v>977</v>
      </c>
      <c r="D6" s="21" t="s">
        <v>978</v>
      </c>
      <c r="E6" s="21" t="s">
        <v>970</v>
      </c>
      <c r="F6" s="21" t="s">
        <v>966</v>
      </c>
      <c r="G6" s="19">
        <v>1</v>
      </c>
      <c r="H6" s="19">
        <v>1</v>
      </c>
      <c r="I6" s="21" t="s">
        <v>979</v>
      </c>
    </row>
    <row r="7" spans="1:9" ht="36" x14ac:dyDescent="0.25">
      <c r="A7" s="4" t="s">
        <v>980</v>
      </c>
      <c r="B7" s="7" t="s">
        <v>981</v>
      </c>
      <c r="C7" s="8" t="s">
        <v>982</v>
      </c>
      <c r="D7" s="8" t="s">
        <v>983</v>
      </c>
      <c r="E7" s="8" t="s">
        <v>984</v>
      </c>
      <c r="F7" s="8"/>
      <c r="G7" s="4">
        <v>0</v>
      </c>
      <c r="H7" s="4">
        <v>0</v>
      </c>
      <c r="I7" s="6" t="s">
        <v>985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98ED-4BBF-4AC0-9482-28E1B1B88936}">
  <dimension ref="A1:M63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10.85546875" customWidth="1"/>
    <col min="3" max="3" width="1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0</v>
      </c>
      <c r="F2" t="s">
        <v>8</v>
      </c>
    </row>
    <row r="3" spans="1:6" x14ac:dyDescent="0.25">
      <c r="A3" t="s">
        <v>4</v>
      </c>
      <c r="B3" t="s">
        <v>9</v>
      </c>
      <c r="C3" t="s">
        <v>6</v>
      </c>
      <c r="D3" t="s">
        <v>10</v>
      </c>
    </row>
    <row r="4" spans="1:6" x14ac:dyDescent="0.25">
      <c r="A4" t="s">
        <v>4</v>
      </c>
      <c r="B4" t="s">
        <v>11</v>
      </c>
      <c r="C4" t="s">
        <v>6</v>
      </c>
      <c r="D4" t="s">
        <v>12</v>
      </c>
      <c r="E4" t="s">
        <v>13</v>
      </c>
    </row>
    <row r="6" spans="1:6" x14ac:dyDescent="0.25">
      <c r="A6" t="s">
        <v>0</v>
      </c>
      <c r="B6" t="s">
        <v>14</v>
      </c>
      <c r="C6" t="s">
        <v>15</v>
      </c>
      <c r="D6" t="s">
        <v>16</v>
      </c>
      <c r="E6" t="s">
        <v>17</v>
      </c>
    </row>
    <row r="7" spans="1:6" x14ac:dyDescent="0.25">
      <c r="A7" t="s">
        <v>18</v>
      </c>
      <c r="B7" t="s">
        <v>17</v>
      </c>
      <c r="C7" t="s">
        <v>19</v>
      </c>
      <c r="D7" t="s">
        <v>20</v>
      </c>
    </row>
    <row r="8" spans="1:6" x14ac:dyDescent="0.25">
      <c r="B8" t="s">
        <v>21</v>
      </c>
    </row>
    <row r="9" spans="1:6" x14ac:dyDescent="0.25">
      <c r="B9" t="s">
        <v>22</v>
      </c>
      <c r="C9" t="s">
        <v>19</v>
      </c>
      <c r="D9" t="s">
        <v>23</v>
      </c>
      <c r="E9" t="s">
        <v>19</v>
      </c>
      <c r="F9" t="s">
        <v>24</v>
      </c>
    </row>
    <row r="10" spans="1:6" x14ac:dyDescent="0.25">
      <c r="B10" t="s">
        <v>25</v>
      </c>
      <c r="C10" t="s">
        <v>19</v>
      </c>
      <c r="D10" t="s">
        <v>23</v>
      </c>
      <c r="E10" t="s">
        <v>19</v>
      </c>
      <c r="F10" t="s">
        <v>26</v>
      </c>
    </row>
    <row r="11" spans="1:6" x14ac:dyDescent="0.25">
      <c r="B11" t="s">
        <v>27</v>
      </c>
      <c r="C11" t="s">
        <v>19</v>
      </c>
      <c r="D11" t="s">
        <v>23</v>
      </c>
      <c r="E11" t="s">
        <v>19</v>
      </c>
      <c r="F11" t="s">
        <v>28</v>
      </c>
    </row>
    <row r="12" spans="1:6" x14ac:dyDescent="0.25">
      <c r="A12" t="s">
        <v>29</v>
      </c>
    </row>
    <row r="13" spans="1:6" x14ac:dyDescent="0.25">
      <c r="A13" t="s">
        <v>0</v>
      </c>
      <c r="B13" t="s">
        <v>30</v>
      </c>
      <c r="C13" t="s">
        <v>31</v>
      </c>
      <c r="D13" t="s">
        <v>2</v>
      </c>
      <c r="E13" t="s">
        <v>32</v>
      </c>
    </row>
    <row r="14" spans="1:6" x14ac:dyDescent="0.25">
      <c r="A14" t="s">
        <v>33</v>
      </c>
      <c r="B14" t="s">
        <v>19</v>
      </c>
      <c r="C14" t="s">
        <v>20</v>
      </c>
    </row>
    <row r="15" spans="1:6" x14ac:dyDescent="0.25">
      <c r="B15" t="s">
        <v>21</v>
      </c>
      <c r="C15" t="s">
        <v>34</v>
      </c>
      <c r="D15" t="s">
        <v>19</v>
      </c>
      <c r="E15" t="s">
        <v>35</v>
      </c>
    </row>
    <row r="16" spans="1:6" x14ac:dyDescent="0.25">
      <c r="B16" t="s">
        <v>36</v>
      </c>
      <c r="C16" t="s">
        <v>37</v>
      </c>
    </row>
    <row r="17" spans="1:8" x14ac:dyDescent="0.25">
      <c r="B17" t="s">
        <v>38</v>
      </c>
      <c r="C17" t="s">
        <v>39</v>
      </c>
      <c r="D17" t="s">
        <v>6</v>
      </c>
      <c r="E17" t="s">
        <v>40</v>
      </c>
    </row>
    <row r="18" spans="1:8" x14ac:dyDescent="0.25">
      <c r="B18" t="s">
        <v>41</v>
      </c>
      <c r="C18" t="s">
        <v>42</v>
      </c>
      <c r="D18" t="s">
        <v>6</v>
      </c>
      <c r="E18" t="s">
        <v>43</v>
      </c>
    </row>
    <row r="19" spans="1:8" x14ac:dyDescent="0.25">
      <c r="B19" t="s">
        <v>41</v>
      </c>
      <c r="C19" t="s">
        <v>44</v>
      </c>
      <c r="D19" t="s">
        <v>6</v>
      </c>
      <c r="E19" t="s">
        <v>45</v>
      </c>
    </row>
    <row r="20" spans="1:8" x14ac:dyDescent="0.25">
      <c r="B20" t="s">
        <v>41</v>
      </c>
      <c r="C20" t="s">
        <v>28</v>
      </c>
      <c r="D20" t="s">
        <v>6</v>
      </c>
      <c r="E20" t="s">
        <v>46</v>
      </c>
      <c r="F20" t="s">
        <v>28</v>
      </c>
      <c r="G20" t="s">
        <v>36</v>
      </c>
      <c r="H20" t="s">
        <v>47</v>
      </c>
    </row>
    <row r="21" spans="1:8" x14ac:dyDescent="0.25">
      <c r="B21" t="s">
        <v>41</v>
      </c>
      <c r="C21" t="s">
        <v>48</v>
      </c>
      <c r="D21" t="s">
        <v>6</v>
      </c>
      <c r="E21" t="s">
        <v>46</v>
      </c>
      <c r="F21" t="s">
        <v>48</v>
      </c>
      <c r="G21" t="s">
        <v>36</v>
      </c>
      <c r="H21" t="s">
        <v>47</v>
      </c>
    </row>
    <row r="22" spans="1:8" x14ac:dyDescent="0.25">
      <c r="B22" t="s">
        <v>41</v>
      </c>
      <c r="C22" t="s">
        <v>49</v>
      </c>
      <c r="D22" t="s">
        <v>6</v>
      </c>
      <c r="E22" t="s">
        <v>46</v>
      </c>
      <c r="F22" t="s">
        <v>49</v>
      </c>
      <c r="G22" t="s">
        <v>36</v>
      </c>
      <c r="H22" t="s">
        <v>47</v>
      </c>
    </row>
    <row r="23" spans="1:8" x14ac:dyDescent="0.25">
      <c r="B23" t="s">
        <v>50</v>
      </c>
      <c r="C23">
        <v>1</v>
      </c>
    </row>
    <row r="24" spans="1:8" x14ac:dyDescent="0.25">
      <c r="A24" t="s">
        <v>29</v>
      </c>
    </row>
    <row r="25" spans="1:8" x14ac:dyDescent="0.25">
      <c r="A25" t="s">
        <v>0</v>
      </c>
      <c r="B25" t="s">
        <v>51</v>
      </c>
      <c r="C25" t="s">
        <v>52</v>
      </c>
      <c r="D25" t="s">
        <v>2</v>
      </c>
      <c r="E25" t="s">
        <v>53</v>
      </c>
    </row>
    <row r="26" spans="1:8" x14ac:dyDescent="0.25">
      <c r="A26" t="s">
        <v>54</v>
      </c>
      <c r="B26" t="s">
        <v>19</v>
      </c>
      <c r="C26" t="s">
        <v>20</v>
      </c>
    </row>
    <row r="27" spans="1:8" x14ac:dyDescent="0.25">
      <c r="B27" t="s">
        <v>21</v>
      </c>
      <c r="C27" t="s">
        <v>55</v>
      </c>
    </row>
    <row r="28" spans="1:8" x14ac:dyDescent="0.25">
      <c r="B28" t="s">
        <v>36</v>
      </c>
      <c r="C28" t="s">
        <v>56</v>
      </c>
    </row>
    <row r="29" spans="1:8" x14ac:dyDescent="0.25">
      <c r="B29" t="s">
        <v>38</v>
      </c>
      <c r="C29" t="s">
        <v>57</v>
      </c>
      <c r="D29" t="s">
        <v>6</v>
      </c>
      <c r="E29" t="s">
        <v>9</v>
      </c>
    </row>
    <row r="30" spans="1:8" x14ac:dyDescent="0.25">
      <c r="B30" t="s">
        <v>41</v>
      </c>
      <c r="C30" t="s">
        <v>58</v>
      </c>
      <c r="D30" t="s">
        <v>59</v>
      </c>
      <c r="E30">
        <v>71</v>
      </c>
      <c r="F30" t="s">
        <v>41</v>
      </c>
      <c r="G30">
        <v>78</v>
      </c>
    </row>
    <row r="31" spans="1:8" x14ac:dyDescent="0.25">
      <c r="B31" t="s">
        <v>41</v>
      </c>
      <c r="C31" t="s">
        <v>60</v>
      </c>
      <c r="D31" t="s">
        <v>6</v>
      </c>
      <c r="E31" t="s">
        <v>61</v>
      </c>
    </row>
    <row r="32" spans="1:8" x14ac:dyDescent="0.25">
      <c r="B32" t="s">
        <v>41</v>
      </c>
      <c r="C32" t="s">
        <v>62</v>
      </c>
      <c r="D32" t="s">
        <v>6</v>
      </c>
      <c r="E32" t="s">
        <v>11</v>
      </c>
    </row>
    <row r="33" spans="1:7" x14ac:dyDescent="0.25">
      <c r="A33" t="s">
        <v>29</v>
      </c>
    </row>
    <row r="34" spans="1:7" x14ac:dyDescent="0.25">
      <c r="A34" t="s">
        <v>0</v>
      </c>
      <c r="B34" t="s">
        <v>63</v>
      </c>
      <c r="C34" t="s">
        <v>64</v>
      </c>
      <c r="D34" t="s">
        <v>2</v>
      </c>
      <c r="E34" t="s">
        <v>65</v>
      </c>
      <c r="F34" t="s">
        <v>66</v>
      </c>
      <c r="G34" t="s">
        <v>67</v>
      </c>
    </row>
    <row r="35" spans="1:7" x14ac:dyDescent="0.25">
      <c r="A35" t="s">
        <v>68</v>
      </c>
      <c r="B35" t="s">
        <v>19</v>
      </c>
      <c r="C35" t="s">
        <v>20</v>
      </c>
    </row>
    <row r="36" spans="1:7" x14ac:dyDescent="0.25">
      <c r="B36" t="s">
        <v>21</v>
      </c>
    </row>
    <row r="37" spans="1:7" x14ac:dyDescent="0.25">
      <c r="B37" t="s">
        <v>69</v>
      </c>
      <c r="C37" t="s">
        <v>19</v>
      </c>
      <c r="D37" t="s">
        <v>70</v>
      </c>
    </row>
    <row r="38" spans="1:7" x14ac:dyDescent="0.25">
      <c r="B38" t="s">
        <v>71</v>
      </c>
      <c r="C38" t="s">
        <v>19</v>
      </c>
      <c r="D38" t="s">
        <v>72</v>
      </c>
    </row>
    <row r="39" spans="1:7" x14ac:dyDescent="0.25">
      <c r="B39" t="s">
        <v>73</v>
      </c>
      <c r="C39" t="s">
        <v>19</v>
      </c>
      <c r="D39" t="s">
        <v>74</v>
      </c>
    </row>
    <row r="40" spans="1:7" x14ac:dyDescent="0.25">
      <c r="B40" t="s">
        <v>75</v>
      </c>
      <c r="C40" t="s">
        <v>19</v>
      </c>
      <c r="D40" t="s">
        <v>76</v>
      </c>
    </row>
    <row r="41" spans="1:7" x14ac:dyDescent="0.25">
      <c r="B41" t="s">
        <v>77</v>
      </c>
      <c r="C41" t="s">
        <v>19</v>
      </c>
      <c r="D41" t="s">
        <v>78</v>
      </c>
      <c r="E41" t="s">
        <v>79</v>
      </c>
    </row>
    <row r="42" spans="1:7" x14ac:dyDescent="0.25">
      <c r="B42" t="s">
        <v>80</v>
      </c>
      <c r="C42" t="s">
        <v>19</v>
      </c>
      <c r="D42" t="s">
        <v>81</v>
      </c>
      <c r="E42" t="s">
        <v>82</v>
      </c>
      <c r="F42" t="s">
        <v>83</v>
      </c>
    </row>
    <row r="43" spans="1:7" x14ac:dyDescent="0.25">
      <c r="B43" t="s">
        <v>84</v>
      </c>
      <c r="C43" t="s">
        <v>19</v>
      </c>
      <c r="D43" t="s">
        <v>85</v>
      </c>
    </row>
    <row r="44" spans="1:7" x14ac:dyDescent="0.25">
      <c r="B44" t="s">
        <v>86</v>
      </c>
    </row>
    <row r="45" spans="1:7" x14ac:dyDescent="0.25">
      <c r="B45" t="s">
        <v>87</v>
      </c>
      <c r="C45" t="s">
        <v>88</v>
      </c>
      <c r="D45" t="s">
        <v>6</v>
      </c>
      <c r="E45" t="s">
        <v>89</v>
      </c>
    </row>
    <row r="46" spans="1:7" x14ac:dyDescent="0.25">
      <c r="B46" t="s">
        <v>90</v>
      </c>
      <c r="C46" t="s">
        <v>84</v>
      </c>
      <c r="D46" t="s">
        <v>55</v>
      </c>
      <c r="E46" t="s">
        <v>91</v>
      </c>
    </row>
    <row r="47" spans="1:7" x14ac:dyDescent="0.25">
      <c r="B47" t="s">
        <v>92</v>
      </c>
      <c r="C47" t="s">
        <v>84</v>
      </c>
    </row>
    <row r="48" spans="1:7" x14ac:dyDescent="0.25">
      <c r="B48" t="s">
        <v>93</v>
      </c>
      <c r="C48" t="s">
        <v>19</v>
      </c>
      <c r="D48" t="s">
        <v>94</v>
      </c>
    </row>
    <row r="49" spans="1:13" x14ac:dyDescent="0.25">
      <c r="B49" t="s">
        <v>88</v>
      </c>
      <c r="C49" t="s">
        <v>19</v>
      </c>
      <c r="D49" t="s">
        <v>95</v>
      </c>
    </row>
    <row r="50" spans="1:13" x14ac:dyDescent="0.25">
      <c r="B50" t="s">
        <v>96</v>
      </c>
      <c r="C50" t="s">
        <v>19</v>
      </c>
      <c r="D50" t="s">
        <v>97</v>
      </c>
    </row>
    <row r="51" spans="1:13" x14ac:dyDescent="0.25">
      <c r="B51" t="s">
        <v>98</v>
      </c>
      <c r="C51" t="s">
        <v>19</v>
      </c>
      <c r="D51" t="s">
        <v>99</v>
      </c>
    </row>
    <row r="52" spans="1:13" x14ac:dyDescent="0.25">
      <c r="B52" t="s">
        <v>100</v>
      </c>
      <c r="C52" t="s">
        <v>19</v>
      </c>
      <c r="D52" t="s">
        <v>101</v>
      </c>
    </row>
    <row r="53" spans="1:13" x14ac:dyDescent="0.25">
      <c r="B53" t="s">
        <v>102</v>
      </c>
      <c r="C53" t="s">
        <v>19</v>
      </c>
      <c r="D53" t="s">
        <v>103</v>
      </c>
    </row>
    <row r="54" spans="1:13" x14ac:dyDescent="0.25">
      <c r="B54" t="s">
        <v>104</v>
      </c>
      <c r="C54" t="s">
        <v>19</v>
      </c>
      <c r="D54" t="s">
        <v>105</v>
      </c>
    </row>
    <row r="55" spans="1:13" x14ac:dyDescent="0.25">
      <c r="B55" t="s">
        <v>106</v>
      </c>
      <c r="C55" t="s">
        <v>19</v>
      </c>
      <c r="D55" t="s">
        <v>107</v>
      </c>
    </row>
    <row r="56" spans="1:13" x14ac:dyDescent="0.25">
      <c r="B56" t="s">
        <v>36</v>
      </c>
      <c r="C56" t="s">
        <v>54</v>
      </c>
      <c r="D56" t="s">
        <v>108</v>
      </c>
    </row>
    <row r="57" spans="1:13" x14ac:dyDescent="0.25">
      <c r="B57" t="s">
        <v>109</v>
      </c>
      <c r="C57" t="s">
        <v>110</v>
      </c>
      <c r="D57" t="s">
        <v>33</v>
      </c>
      <c r="E57" t="s">
        <v>111</v>
      </c>
    </row>
    <row r="58" spans="1:13" x14ac:dyDescent="0.25">
      <c r="B58" t="s">
        <v>112</v>
      </c>
      <c r="C58" t="s">
        <v>110</v>
      </c>
      <c r="D58" t="s">
        <v>113</v>
      </c>
      <c r="E58" t="s">
        <v>114</v>
      </c>
      <c r="F58" t="s">
        <v>115</v>
      </c>
      <c r="G58" t="s">
        <v>116</v>
      </c>
      <c r="H58" t="s">
        <v>6</v>
      </c>
      <c r="I58" t="s">
        <v>69</v>
      </c>
      <c r="J58" t="s">
        <v>0</v>
      </c>
      <c r="K58" t="s">
        <v>117</v>
      </c>
      <c r="L58" t="s">
        <v>2</v>
      </c>
      <c r="M58" t="s">
        <v>118</v>
      </c>
    </row>
    <row r="59" spans="1:13" x14ac:dyDescent="0.25">
      <c r="B59" t="s">
        <v>112</v>
      </c>
      <c r="C59" t="s">
        <v>110</v>
      </c>
      <c r="D59" t="s">
        <v>119</v>
      </c>
      <c r="E59" t="s">
        <v>120</v>
      </c>
      <c r="F59" t="s">
        <v>115</v>
      </c>
      <c r="G59" t="s">
        <v>121</v>
      </c>
      <c r="H59" t="s">
        <v>6</v>
      </c>
      <c r="I59" t="s">
        <v>106</v>
      </c>
      <c r="J59" t="s">
        <v>0</v>
      </c>
      <c r="K59" t="s">
        <v>117</v>
      </c>
      <c r="L59" t="s">
        <v>2</v>
      </c>
      <c r="M59" t="s">
        <v>122</v>
      </c>
    </row>
    <row r="60" spans="1:13" x14ac:dyDescent="0.25">
      <c r="B60" t="s">
        <v>123</v>
      </c>
      <c r="C60" t="s">
        <v>124</v>
      </c>
      <c r="D60" t="s">
        <v>125</v>
      </c>
      <c r="E60" t="s">
        <v>88</v>
      </c>
    </row>
    <row r="61" spans="1:13" x14ac:dyDescent="0.25">
      <c r="A61" t="s">
        <v>126</v>
      </c>
    </row>
    <row r="63" spans="1:13" x14ac:dyDescent="0.25">
      <c r="A63" t="s">
        <v>21</v>
      </c>
      <c r="B63" t="s">
        <v>55</v>
      </c>
      <c r="C63" t="s">
        <v>36</v>
      </c>
      <c r="D63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B3C8-B6A0-4FC6-8751-F63CC2D2F616}">
  <dimension ref="A1"/>
  <sheetViews>
    <sheetView workbookViewId="0">
      <selection activeCell="L22" sqref="L22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62B72-73BC-46AB-81A6-41EBD0CC6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84FC71-1D45-4B10-AD4A-900C9C4EF1B4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F5D1583C-16F0-4954-BE4F-3A42A7965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Logica_SQL_v2</vt:lpstr>
      <vt:lpstr>Logica_SQL_v3</vt:lpstr>
      <vt:lpstr>logica_RPG</vt:lpstr>
      <vt:lpstr>logica_v4</vt:lpstr>
      <vt:lpstr>tablas</vt:lpstr>
      <vt:lpstr>Logica_SQL</vt:lpstr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YUPANQUI</dc:creator>
  <cp:keywords/>
  <dc:description/>
  <cp:lastModifiedBy>ANGELLO BRAVO</cp:lastModifiedBy>
  <cp:revision/>
  <dcterms:created xsi:type="dcterms:W3CDTF">2015-06-05T18:19:34Z</dcterms:created>
  <dcterms:modified xsi:type="dcterms:W3CDTF">2025-08-29T22:48:20Z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