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5" codeName="{00000000-0000-0000-0000-000000000000}"/>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42 Carga Fraudes a Monitor Adquirente/Capa Master/"/>
    </mc:Choice>
  </mc:AlternateContent>
  <xr:revisionPtr revIDLastSave="218" documentId="8_{1DCF88E8-8811-44D0-8773-D3AB89B02E57}" xr6:coauthVersionLast="47" xr6:coauthVersionMax="47" xr10:uidLastSave="{671AFED4-1E23-408E-9F16-9D242E2E0C12}"/>
  <bookViews>
    <workbookView xWindow="-108" yWindow="-108" windowWidth="23256" windowHeight="12456" firstSheet="2" activeTab="2" xr2:uid="{00000000-000D-0000-FFFF-FFFF00000000}"/>
  </bookViews>
  <sheets>
    <sheet name="Datos Sensibles" sheetId="4" r:id="rId1"/>
    <sheet name="Estructuras del Modelo" sheetId="1" r:id="rId2"/>
    <sheet name="m_consolidacion_fraudes" sheetId="2" r:id="rId3"/>
    <sheet name="m_consolidacion_fraudes_h" sheetId="6" r:id="rId4"/>
    <sheet name="m_fraudes_externos" sheetId="5" r:id="rId5"/>
    <sheet name="m_fraudes_externos_h" sheetId="7" r:id="rId6"/>
  </sheets>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7" i="7" l="1"/>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7" i="2"/>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3" i="5"/>
  <c r="E30" i="2"/>
  <c r="E29" i="2"/>
  <c r="E28" i="2"/>
  <c r="E27" i="2"/>
  <c r="E26" i="2"/>
  <c r="E25" i="2"/>
  <c r="E24" i="2"/>
  <c r="E23" i="2"/>
  <c r="E22" i="2"/>
  <c r="E21" i="2"/>
  <c r="E20" i="2"/>
  <c r="E19" i="2"/>
  <c r="E18" i="2"/>
  <c r="E17" i="2"/>
  <c r="E47" i="5"/>
  <c r="E46" i="5"/>
  <c r="E45" i="5"/>
  <c r="E44" i="5"/>
  <c r="E33" i="2"/>
  <c r="E32" i="2"/>
  <c r="E31" i="2"/>
  <c r="E16" i="2"/>
  <c r="E15" i="2"/>
  <c r="E14" i="2"/>
  <c r="E13" i="2"/>
  <c r="E12" i="2"/>
  <c r="E11" i="2"/>
  <c r="E10" i="2"/>
  <c r="E9" i="2"/>
  <c r="E8" i="2"/>
  <c r="E6" i="2"/>
  <c r="E5" i="2"/>
  <c r="E4" i="2"/>
  <c r="E3" i="2"/>
</calcChain>
</file>

<file path=xl/sharedStrings.xml><?xml version="1.0" encoding="utf-8"?>
<sst xmlns="http://schemas.openxmlformats.org/spreadsheetml/2006/main" count="1905" uniqueCount="236">
  <si>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</si>
  <si>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</si>
  <si>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</si>
  <si>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</si>
  <si>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</si>
  <si>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</si>
  <si>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</si>
  <si>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</si>
  <si>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</si>
  <si>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</si>
  <si>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</si>
  <si>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</si>
  <si>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</si>
  <si>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</si>
  <si>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</si>
  <si>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</si>
  <si>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</si>
  <si>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</si>
  <si>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</si>
  <si>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</si>
  <si>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</si>
  <si>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</si>
  <si>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</si>
  <si>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</si>
  <si>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</si>
  <si>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</si>
  <si>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</si>
  <si>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</si>
  <si>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</si>
  <si>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</si>
  <si>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</si>
  <si>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</si>
  <si>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</si>
  <si>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</si>
  <si>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</si>
  <si>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</si>
  <si>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</si>
  <si>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</si>
  <si>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</si>
  <si>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</si>
  <si>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</si>
  <si>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</si>
  <si>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</si>
  <si>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</si>
  <si>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</si>
  <si>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</si>
  <si>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</si>
  <si>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</si>
  <si>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FRAUDES</t>
  </si>
  <si>
    <t>prd-izipay-data-storage-pv</t>
  </si>
  <si>
    <t>master_risk</t>
  </si>
  <si>
    <t>m_consolidacion_fraudes</t>
  </si>
  <si>
    <t>Tabla que contiene el status de los fraudes que están involucrados en el proceso</t>
  </si>
  <si>
    <t>Última foto</t>
  </si>
  <si>
    <t>Diario</t>
  </si>
  <si>
    <t>mc2103@izipay.pe</t>
  </si>
  <si>
    <t>N</t>
  </si>
  <si>
    <t>prod</t>
  </si>
  <si>
    <t>Master</t>
  </si>
  <si>
    <t>Riesgos</t>
  </si>
  <si>
    <t>m_consolidacion_fraudes_h</t>
  </si>
  <si>
    <t>Tabla histórica que contiene el status de los fraudes que están involucrados en el proceso</t>
  </si>
  <si>
    <t>Incremental</t>
  </si>
  <si>
    <t>m_fraudes_externos</t>
  </si>
  <si>
    <t>Tabla final con los fraudes que se cargan al servidor de produccion de Monitor</t>
  </si>
  <si>
    <t>m_fraudes_externos_h</t>
  </si>
  <si>
    <t>Tabla histórica final con los fraudes que se cargan al servidor de produccion de Monitor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</si>
  <si>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</si>
  <si>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</si>
  <si>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</si>
  <si>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</si>
  <si>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</si>
  <si>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</si>
  <si>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</si>
  <si>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</si>
  <si>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</si>
  <si>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</si>
  <si>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</si>
  <si>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</si>
  <si>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</si>
  <si>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</si>
  <si>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</si>
  <si>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</si>
  <si>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</si>
  <si>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</si>
  <si>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</si>
  <si>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</si>
  <si>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</si>
  <si>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</si>
  <si>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</si>
  <si>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</si>
  <si>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</si>
  <si>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</si>
  <si>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</si>
  <si>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</si>
  <si>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fecha_trx</t>
  </si>
  <si>
    <t>Fecha en la que se realizó la transacción asociada al caso de fraude</t>
  </si>
  <si>
    <t>tarjeta_encriptada</t>
  </si>
  <si>
    <t>Identificador encriptado o enmascarado de la tarjeta involucrada en la transacción</t>
  </si>
  <si>
    <t>STRING</t>
  </si>
  <si>
    <t>cod_comercio</t>
  </si>
  <si>
    <t>Código que identifica al comercio donde se efectuó la transacción</t>
  </si>
  <si>
    <t>cod_respuesta</t>
  </si>
  <si>
    <t>Código de respuesta asignada a la ransacción</t>
  </si>
  <si>
    <t>cod_autorizacion</t>
  </si>
  <si>
    <t>Código de autorización asignado a la transacción</t>
  </si>
  <si>
    <t>mto_fraude_soles</t>
  </si>
  <si>
    <t>Monto del fraude expresado en moneda nacional (soles)</t>
  </si>
  <si>
    <t>FLOAT64</t>
  </si>
  <si>
    <t>nom_comercio</t>
  </si>
  <si>
    <t>Nombre comercial del establecimiento donde ocurrió la transacción</t>
  </si>
  <si>
    <t>accion_tomada</t>
  </si>
  <si>
    <t>Acción ejecutada como resultado del análisis o gestión del caso</t>
  </si>
  <si>
    <t>tipo_fraude_marcado</t>
  </si>
  <si>
    <t>Tipo o categoría de fraude asignada a la transacción</t>
  </si>
  <si>
    <t>fecha_carga</t>
  </si>
  <si>
    <t>Fecha en la que el registro fue cargado al repositorio o sistema</t>
  </si>
  <si>
    <t>estado_fraude</t>
  </si>
  <si>
    <t>Estado actual del caso de fraude dentro del flujo de gestión (Filtro: Marcado Alerta, Enviado, Filtro: Cruce Transaccional, Segundo_Reproceso_Enviado, Segundo_Reproceso_Filtro: Cruce Transaccional)</t>
  </si>
  <si>
    <t>fecha_envio</t>
  </si>
  <si>
    <t>Fecha en la que la información del caso fue enviada a otra entidad o sistema</t>
  </si>
  <si>
    <t>nom_entidad</t>
  </si>
  <si>
    <t>Entidad que procesa el fraude: ADQ (Adquirente) o EMISOR</t>
  </si>
  <si>
    <t>proceso</t>
  </si>
  <si>
    <t>Hace referencia al tipo de carga que se está realizando, para diferenciarlo de cargas masivas</t>
  </si>
  <si>
    <t>tarjeta_sha256_trx</t>
  </si>
  <si>
    <t>Hash SHA256 de la tarjeta obtenido del sistema transaccional. Se popula únicamente en estados Enviado y Segundo_Reproceso_Enviado</t>
  </si>
  <si>
    <t>hora_trx</t>
  </si>
  <si>
    <t>Hora exacta de la transacción obtenida del sistema transaccional</t>
  </si>
  <si>
    <t>mto_trx</t>
  </si>
  <si>
    <t>Monto real de la transacción confirmado desde el sistema transaccional</t>
  </si>
  <si>
    <t>codigo_cio_trx</t>
  </si>
  <si>
    <t>Código completo del comercio (CIO) tal como aparece en el sistema transaccional</t>
  </si>
  <si>
    <t>nom_cio_trx</t>
  </si>
  <si>
    <t>Nombre del comercio obtenido del sistema transaccional</t>
  </si>
  <si>
    <t>cod_giro_comercio_trx</t>
  </si>
  <si>
    <t>Código MCC (Merchant Category Code) del comercio — rubro o giro del negocio</t>
  </si>
  <si>
    <t>bin_trx</t>
  </si>
  <si>
    <t>BIN (Bank Identification Number) de la tarjeta registrado en el sistema transaccional</t>
  </si>
  <si>
    <t>id_cliente_trx</t>
  </si>
  <si>
    <t>Identificador único del cliente titular de la tarjeta, proveniente del sistema transaccional</t>
  </si>
  <si>
    <t>entry_mode_trx</t>
  </si>
  <si>
    <t>Modo de ingreso de la tarjeta en la transacción (chip, banda magnética, contactless, manual, etc.)</t>
  </si>
  <si>
    <t>ucaf_trx</t>
  </si>
  <si>
    <t>Universal Cardholder Authentication Field — dato de autenticación del portador de la tarjeta</t>
  </si>
  <si>
    <t>canal_trx</t>
  </si>
  <si>
    <t>Canal por el cual se realizó la transacción (presencial, web, app, MOTO, etc.)</t>
  </si>
  <si>
    <t>id_comercio_trx</t>
  </si>
  <si>
    <t>Identificador interno del comercio en el sistema transaccional</t>
  </si>
  <si>
    <t>tarjetaregistro750_trx</t>
  </si>
  <si>
    <t>Tarjeta enmascarada en formato 750 (PAN enmascarado) proveniente del sistema transaccional</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</si>
  <si>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</si>
  <si>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</si>
  <si>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</si>
  <si>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</si>
  <si>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</si>
  <si>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</si>
  <si>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</si>
  <si>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</si>
  <si>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</si>
  <si>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</si>
  <si>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cod_reclamo</t>
  </si>
  <si>
    <t>Código de Reclamo</t>
  </si>
  <si>
    <t>correlativo</t>
  </si>
  <si>
    <t>Correlativo único del registro. Formato YYMMDD + secuencia de 4 dígitos</t>
  </si>
  <si>
    <t>usuario_reclamo</t>
  </si>
  <si>
    <t>Usuario que tomó el Reclamo</t>
  </si>
  <si>
    <t>sucursal_reclamo</t>
  </si>
  <si>
    <t>Sucursal de Reclamo</t>
  </si>
  <si>
    <t>fecha_reclamo</t>
  </si>
  <si>
    <t>Fecha del Reclamo</t>
  </si>
  <si>
    <t>hora_reclamo</t>
  </si>
  <si>
    <t>Hora del Reclamo</t>
  </si>
  <si>
    <t>detalle_reclamo</t>
  </si>
  <si>
    <t>Detalle del Reclamo — fuente del fraude (TC40, Safe, Asbanc, Contracargos)</t>
  </si>
  <si>
    <t>medio_canal_reclamo</t>
  </si>
  <si>
    <t>Medio o Canal del Reclamo</t>
  </si>
  <si>
    <t>fuente_reclamo</t>
  </si>
  <si>
    <t>Fuente del Reclamo</t>
  </si>
  <si>
    <t>departamento_division</t>
  </si>
  <si>
    <t>Departamento / División / Área</t>
  </si>
  <si>
    <t>cod_evento</t>
  </si>
  <si>
    <t>Código de Evento — identifica el rol: 8751 ADQ, 8750 EMISOR</t>
  </si>
  <si>
    <t>id_cliente</t>
  </si>
  <si>
    <t>ID del Cliente titular de la tarjeta</t>
  </si>
  <si>
    <t>tarjeta_sha256</t>
  </si>
  <si>
    <t>Número de Tarjeta en encripción SHA256</t>
  </si>
  <si>
    <t>Fecha de la Transacción</t>
  </si>
  <si>
    <t>Hora de la Transacción</t>
  </si>
  <si>
    <t>Monto de la Transacción</t>
  </si>
  <si>
    <t>Identificación de Transacción / Número de Autorización</t>
  </si>
  <si>
    <t>Código de Respuesta</t>
  </si>
  <si>
    <t>resultado_reclamo</t>
  </si>
  <si>
    <t>Resultado del Reclamo</t>
  </si>
  <si>
    <t>Código de Comercio (ACF)</t>
  </si>
  <si>
    <t>tarjeta_registro750</t>
  </si>
  <si>
    <t>Tarjeta Registro 750 — PAN enmascarado</t>
  </si>
  <si>
    <t>Nombre del Comercio</t>
  </si>
  <si>
    <t>cod_giro_comercio</t>
  </si>
  <si>
    <t>MCC — Merchant Category Code (rubro del comercio)</t>
  </si>
  <si>
    <t>bin_6</t>
  </si>
  <si>
    <t>BIN de la tarjeta (primeros 6 dígitos)</t>
  </si>
  <si>
    <t>modo_ingreso</t>
  </si>
  <si>
    <t>Entry Mode — modo de ingreso de la tarjeta</t>
  </si>
  <si>
    <t>ucaf</t>
  </si>
  <si>
    <t>UCAF — Universal Cardholder Authentication Field</t>
  </si>
  <si>
    <t>Canal de la transacción</t>
  </si>
  <si>
    <t>id_comercio</t>
  </si>
  <si>
    <t>ID del Comercio en el sistema transaccional</t>
  </si>
  <si>
    <t>disponible1</t>
  </si>
  <si>
    <t>Campo disponible para uso futuro 1</t>
  </si>
  <si>
    <t>disponible2</t>
  </si>
  <si>
    <t>Campo disponible para uso futuro 2</t>
  </si>
  <si>
    <t>disponible3</t>
  </si>
  <si>
    <t>Campo disponible para uso futuro 3</t>
  </si>
  <si>
    <t>disponible4</t>
  </si>
  <si>
    <t>Campo disponible para uso futuro 4</t>
  </si>
  <si>
    <t>disponible5</t>
  </si>
  <si>
    <t>Campo disponible para uso futuro 5</t>
  </si>
  <si>
    <t>disponible6</t>
  </si>
  <si>
    <t>Campo disponible para uso futuro 6</t>
  </si>
  <si>
    <t>cod_resultado</t>
  </si>
  <si>
    <t>Código del Resultado de la investigación</t>
  </si>
  <si>
    <t>detalle_investigacion</t>
  </si>
  <si>
    <t>Detalle de la Investigación del Reclamo — tipo de fraude marcado</t>
  </si>
  <si>
    <t>usuario_investigador</t>
  </si>
  <si>
    <t>Usuario que investigó el Reclamo</t>
  </si>
  <si>
    <t>cod_institucion</t>
  </si>
  <si>
    <t>Código de la Institución</t>
  </si>
  <si>
    <t>fecha_investigacion</t>
  </si>
  <si>
    <t>Fecha de Investigación del Reclamo</t>
  </si>
  <si>
    <t>hora_investigacion</t>
  </si>
  <si>
    <t>Hora de Investigación del Reclamo</t>
  </si>
  <si>
    <t>detectado_monitoreo</t>
  </si>
  <si>
    <t>Detectado por Sistema de Monitoreo (0=No, 1=Sí)</t>
  </si>
  <si>
    <t>as400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</si>
</sst>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5" fillId="0" borderId="1" xfId="1" applyBorder="1" applyAlignment="1">
      <alignment vertical="center"/>
    </xf>
    <xf numFmtId="0" fontId="3" fillId="2" borderId="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1" fillId="0" borderId="0" xfId="0" applyFont="1" applyAlignment="1">
      <alignment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mailto:mc2103@izipay.pe" TargetMode="External"/><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 Id="rId4"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3"/>
  <sheetViews>
    <sheetView showGridLines="0" workbookViewId="0">
      <selection activeCell="G20" sqref="G12:G20"/>
    </sheetView>
  </sheetViews>
  <sheetFormatPr defaultColWidth="11.42578125" defaultRowHeight="14.45"/>
  <cols>
    <col min="1" max="1" width="7.28515625" customWidth="1"/>
    <col min="2" max="5" width="23.28515625" customWidth="1"/>
    <col min="6" max="6" width="27.85546875" customWidth="1"/>
    <col min="7" max="7" width="23.28515625" customWidth="1"/>
  </cols>
  <sheetData>
    <row r="1" spans="1:7">
      <c r="A1" s="1"/>
      <c r="B1" s="1"/>
      <c r="C1" s="1"/>
      <c r="D1" s="1"/>
      <c r="E1" s="1"/>
      <c r="F1" s="1"/>
      <c r="G1" s="1"/>
    </row>
    <row r="2" spans="1:7" ht="29.45">
      <c r="A2" s="5" t="s">
        <v>0</v>
      </c>
      <c r="B2" s="1"/>
      <c r="C2" s="1"/>
      <c r="D2" s="1"/>
      <c r="E2" s="1"/>
      <c r="F2" s="1"/>
      <c r="G2" s="1"/>
    </row>
    <row r="3" spans="1:7" s="1" customFormat="1" ht="66" customHeight="1">
      <c r="A3" s="26" t="s">
        <v>1</v>
      </c>
      <c r="B3" s="26"/>
      <c r="C3" s="26"/>
      <c r="D3" s="26"/>
      <c r="E3" s="26"/>
      <c r="F3" s="26"/>
      <c r="G3" s="26"/>
    </row>
    <row r="4" spans="1:7">
      <c r="A4" s="1"/>
      <c r="B4" s="1"/>
      <c r="C4" s="1"/>
      <c r="D4" s="1"/>
      <c r="E4" s="1"/>
      <c r="F4" s="1"/>
      <c r="G4" s="1"/>
    </row>
    <row r="5" spans="1:7">
      <c r="A5" s="6" t="s">
        <v>2</v>
      </c>
      <c r="B5" s="6" t="s">
        <v>3</v>
      </c>
      <c r="C5" s="6" t="s">
        <v>4</v>
      </c>
      <c r="D5" s="6" t="s">
        <v>5</v>
      </c>
      <c r="E5" s="6" t="s">
        <v>6</v>
      </c>
      <c r="F5" s="6" t="s">
        <v>7</v>
      </c>
      <c r="G5" s="6" t="s">
        <v>8</v>
      </c>
    </row>
    <row r="6" spans="1:7">
      <c r="A6" s="7"/>
      <c r="B6" s="4"/>
      <c r="C6" s="4"/>
      <c r="D6" s="4"/>
      <c r="E6" s="4"/>
      <c r="F6" s="8"/>
      <c r="G6" s="9"/>
    </row>
    <row r="7" spans="1:7">
      <c r="A7" s="7"/>
      <c r="B7" s="4"/>
      <c r="C7" s="4"/>
      <c r="D7" s="4"/>
      <c r="E7" s="4"/>
      <c r="F7" s="8"/>
      <c r="G7" s="9"/>
    </row>
    <row r="8" spans="1:7">
      <c r="A8" s="7"/>
      <c r="B8" s="4"/>
      <c r="C8" s="4"/>
      <c r="D8" s="4"/>
      <c r="E8" s="4"/>
      <c r="F8" s="8"/>
      <c r="G8" s="9"/>
    </row>
    <row r="9" spans="1:7">
      <c r="A9" s="7"/>
      <c r="B9" s="4"/>
      <c r="C9" s="4"/>
      <c r="D9" s="4"/>
      <c r="E9" s="4"/>
      <c r="F9" s="8"/>
      <c r="G9" s="9"/>
    </row>
    <row r="10" spans="1:7">
      <c r="A10" s="7"/>
      <c r="B10" s="4"/>
      <c r="C10" s="4"/>
      <c r="D10" s="4"/>
      <c r="E10" s="4"/>
      <c r="F10" s="8"/>
      <c r="G10" s="9"/>
    </row>
    <row r="11" spans="1:7">
      <c r="A11" s="7"/>
      <c r="B11" s="4"/>
      <c r="C11" s="4"/>
      <c r="D11" s="4"/>
      <c r="E11" s="4"/>
      <c r="F11" s="8"/>
      <c r="G11" s="9"/>
    </row>
    <row r="12" spans="1:7">
      <c r="A12" s="1"/>
      <c r="B12" s="1"/>
      <c r="C12" s="1"/>
      <c r="D12" s="1"/>
      <c r="E12" s="1"/>
      <c r="F12" s="1"/>
      <c r="G12" s="1"/>
    </row>
    <row r="13" spans="1:7">
      <c r="A13" s="1"/>
      <c r="B13" s="1"/>
      <c r="C13" s="1"/>
      <c r="D13" s="1"/>
      <c r="E13" s="1"/>
      <c r="F13" s="1"/>
      <c r="G13"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3"/>
  <sheetViews>
    <sheetView showGridLines="0" topLeftCell="B1" workbookViewId="0">
      <selection activeCell="R17" sqref="R17"/>
    </sheetView>
  </sheetViews>
  <sheetFormatPr defaultColWidth="9.140625" defaultRowHeight="14.45"/>
  <cols>
    <col min="1" max="8" width="33.28515625" style="2" customWidth="1"/>
    <col min="9" max="9" width="55.42578125" style="2" customWidth="1"/>
    <col min="10" max="20" width="33.28515625" style="2" customWidth="1"/>
    <col min="21" max="16384" width="9.140625" style="2"/>
  </cols>
  <sheetData>
    <row r="1" spans="1:20">
      <c r="A1" s="6" t="s">
        <v>9</v>
      </c>
      <c r="B1" s="6" t="s">
        <v>10</v>
      </c>
      <c r="C1" s="6" t="s">
        <v>11</v>
      </c>
      <c r="D1" s="6" t="s">
        <v>12</v>
      </c>
      <c r="E1" s="6" t="s">
        <v>13</v>
      </c>
      <c r="F1" s="21" t="s">
        <v>14</v>
      </c>
      <c r="G1" s="6" t="s">
        <v>15</v>
      </c>
      <c r="H1" s="6" t="s">
        <v>6</v>
      </c>
      <c r="I1" s="6" t="s">
        <v>8</v>
      </c>
      <c r="J1" s="6" t="s">
        <v>16</v>
      </c>
      <c r="K1" s="6" t="s">
        <v>17</v>
      </c>
      <c r="L1" s="6" t="s">
        <v>18</v>
      </c>
      <c r="M1" s="6" t="s">
        <v>19</v>
      </c>
      <c r="N1" s="6" t="s">
        <v>20</v>
      </c>
      <c r="O1" s="6" t="s">
        <v>21</v>
      </c>
      <c r="P1" s="6" t="s">
        <v>22</v>
      </c>
      <c r="Q1" s="6" t="s">
        <v>23</v>
      </c>
      <c r="R1" s="6" t="s">
        <v>24</v>
      </c>
      <c r="S1" s="6" t="s">
        <v>25</v>
      </c>
      <c r="T1" s="6" t="s">
        <v>26</v>
      </c>
    </row>
    <row r="2" spans="1:20" ht="41.45">
      <c r="A2" s="10" t="s">
        <v>27</v>
      </c>
      <c r="B2" s="10" t="s">
        <v>28</v>
      </c>
      <c r="C2" s="10" t="s">
        <v>29</v>
      </c>
      <c r="D2" s="10" t="s">
        <v>30</v>
      </c>
      <c r="E2" s="10" t="s">
        <v>31</v>
      </c>
      <c r="F2" s="10" t="s">
        <v>32</v>
      </c>
      <c r="G2" s="10" t="s">
        <v>33</v>
      </c>
      <c r="H2" s="10" t="s">
        <v>34</v>
      </c>
      <c r="I2" s="10" t="s">
        <v>35</v>
      </c>
      <c r="J2" s="11" t="s">
        <v>36</v>
      </c>
      <c r="K2" s="11" t="s">
        <v>37</v>
      </c>
      <c r="L2" s="12"/>
      <c r="M2" s="10" t="s">
        <v>38</v>
      </c>
      <c r="N2" s="10" t="s">
        <v>39</v>
      </c>
      <c r="O2" s="10" t="s">
        <v>40</v>
      </c>
      <c r="P2" s="10" t="s">
        <v>41</v>
      </c>
      <c r="Q2" s="10" t="s">
        <v>42</v>
      </c>
      <c r="R2" s="10" t="s">
        <v>43</v>
      </c>
      <c r="S2" s="10" t="s">
        <v>44</v>
      </c>
      <c r="T2" s="10" t="s">
        <v>45</v>
      </c>
    </row>
    <row r="3" spans="1:20" ht="28.9">
      <c r="A3" s="22" t="s">
        <v>46</v>
      </c>
      <c r="B3" s="22" t="s">
        <v>47</v>
      </c>
      <c r="C3" s="22" t="s">
        <v>48</v>
      </c>
      <c r="D3" s="22" t="s">
        <v>47</v>
      </c>
      <c r="E3" s="22" t="s">
        <v>48</v>
      </c>
      <c r="F3" s="22" t="s">
        <v>49</v>
      </c>
      <c r="G3" s="22" t="s">
        <v>50</v>
      </c>
      <c r="H3" s="23" t="s">
        <v>51</v>
      </c>
      <c r="I3" s="24" t="s">
        <v>52</v>
      </c>
      <c r="J3" s="22" t="s">
        <v>53</v>
      </c>
      <c r="K3" s="22" t="s">
        <v>54</v>
      </c>
      <c r="L3" s="24"/>
      <c r="M3" s="23" t="s">
        <v>55</v>
      </c>
      <c r="N3" s="22" t="s">
        <v>56</v>
      </c>
      <c r="O3" s="22" t="s">
        <v>57</v>
      </c>
      <c r="P3" s="22" t="s">
        <v>58</v>
      </c>
      <c r="Q3" s="22" t="s">
        <v>59</v>
      </c>
      <c r="R3" s="22"/>
      <c r="S3" s="22"/>
      <c r="T3" s="22"/>
    </row>
    <row r="4" spans="1:20" ht="28.9">
      <c r="A4" s="22" t="s">
        <v>46</v>
      </c>
      <c r="B4" s="22" t="s">
        <v>47</v>
      </c>
      <c r="C4" s="22" t="s">
        <v>48</v>
      </c>
      <c r="D4" s="22" t="s">
        <v>47</v>
      </c>
      <c r="E4" s="22" t="s">
        <v>48</v>
      </c>
      <c r="F4" s="22" t="s">
        <v>49</v>
      </c>
      <c r="G4" s="22" t="s">
        <v>50</v>
      </c>
      <c r="H4" s="23" t="s">
        <v>60</v>
      </c>
      <c r="I4" s="24" t="s">
        <v>61</v>
      </c>
      <c r="J4" s="22" t="s">
        <v>62</v>
      </c>
      <c r="K4" s="22" t="s">
        <v>54</v>
      </c>
      <c r="L4" s="24"/>
      <c r="M4" s="23" t="s">
        <v>55</v>
      </c>
      <c r="N4" s="22" t="s">
        <v>56</v>
      </c>
      <c r="O4" s="22" t="s">
        <v>57</v>
      </c>
      <c r="P4" s="22" t="s">
        <v>58</v>
      </c>
      <c r="Q4" s="22" t="s">
        <v>59</v>
      </c>
      <c r="R4" s="22"/>
      <c r="S4" s="22"/>
      <c r="T4" s="22"/>
    </row>
    <row r="5" spans="1:20" ht="28.9">
      <c r="A5" s="22" t="s">
        <v>46</v>
      </c>
      <c r="B5" s="22" t="s">
        <v>47</v>
      </c>
      <c r="C5" s="22" t="s">
        <v>48</v>
      </c>
      <c r="D5" s="22" t="s">
        <v>47</v>
      </c>
      <c r="E5" s="22" t="s">
        <v>48</v>
      </c>
      <c r="F5" s="22" t="s">
        <v>49</v>
      </c>
      <c r="G5" s="22" t="s">
        <v>50</v>
      </c>
      <c r="H5" s="23" t="s">
        <v>63</v>
      </c>
      <c r="I5" s="24" t="s">
        <v>64</v>
      </c>
      <c r="J5" s="22" t="s">
        <v>53</v>
      </c>
      <c r="K5" s="22" t="s">
        <v>54</v>
      </c>
      <c r="L5" s="24"/>
      <c r="M5" s="23" t="s">
        <v>55</v>
      </c>
      <c r="N5" s="22" t="s">
        <v>56</v>
      </c>
      <c r="O5" s="22" t="s">
        <v>57</v>
      </c>
      <c r="P5" s="22" t="s">
        <v>58</v>
      </c>
      <c r="Q5" s="22" t="s">
        <v>59</v>
      </c>
      <c r="R5" s="22"/>
      <c r="S5" s="22"/>
      <c r="T5" s="22"/>
    </row>
    <row r="6" spans="1:20" ht="28.9">
      <c r="A6" s="22" t="s">
        <v>46</v>
      </c>
      <c r="B6" s="22" t="s">
        <v>47</v>
      </c>
      <c r="C6" s="22" t="s">
        <v>48</v>
      </c>
      <c r="D6" s="22" t="s">
        <v>47</v>
      </c>
      <c r="E6" s="22" t="s">
        <v>48</v>
      </c>
      <c r="F6" s="22" t="s">
        <v>49</v>
      </c>
      <c r="G6" s="22" t="s">
        <v>50</v>
      </c>
      <c r="H6" s="23" t="s">
        <v>65</v>
      </c>
      <c r="I6" s="24" t="s">
        <v>66</v>
      </c>
      <c r="J6" s="22" t="s">
        <v>62</v>
      </c>
      <c r="K6" s="22" t="s">
        <v>54</v>
      </c>
      <c r="L6" s="24"/>
      <c r="M6" s="23" t="s">
        <v>55</v>
      </c>
      <c r="N6" s="22" t="s">
        <v>56</v>
      </c>
      <c r="O6" s="22" t="s">
        <v>57</v>
      </c>
      <c r="P6" s="22" t="s">
        <v>58</v>
      </c>
      <c r="Q6" s="22" t="s">
        <v>59</v>
      </c>
      <c r="R6" s="22"/>
      <c r="S6" s="22"/>
      <c r="T6" s="22"/>
    </row>
    <row r="7" spans="1:20">
      <c r="A7" s="3"/>
      <c r="B7" s="3"/>
      <c r="C7" s="3"/>
      <c r="D7" s="3"/>
      <c r="E7" s="3"/>
      <c r="F7" s="3"/>
      <c r="G7" s="3"/>
      <c r="H7" s="3"/>
      <c r="I7" s="3"/>
      <c r="J7" s="3"/>
      <c r="K7" s="3"/>
      <c r="L7" s="3"/>
      <c r="M7" s="3"/>
      <c r="N7" s="3"/>
      <c r="O7" s="3"/>
      <c r="P7" s="3"/>
      <c r="Q7" s="3"/>
      <c r="R7" s="3"/>
      <c r="S7" s="3"/>
      <c r="T7" s="3"/>
    </row>
    <row r="8" spans="1:20">
      <c r="A8" s="25" t="s">
        <v>67</v>
      </c>
      <c r="B8" s="3"/>
      <c r="C8" s="3"/>
      <c r="D8" s="3"/>
      <c r="E8" s="3"/>
      <c r="F8" s="3"/>
      <c r="G8" s="3"/>
      <c r="H8" s="3"/>
      <c r="I8" s="3"/>
      <c r="J8" s="3"/>
      <c r="K8" s="3"/>
      <c r="L8" s="3"/>
      <c r="M8" s="3"/>
      <c r="N8" s="3"/>
      <c r="O8" s="3"/>
      <c r="P8" s="3"/>
      <c r="Q8" s="3"/>
      <c r="R8" s="3"/>
      <c r="S8" s="3"/>
      <c r="T8" s="3"/>
    </row>
    <row r="9" spans="1:20">
      <c r="A9" s="2" t="s">
        <v>68</v>
      </c>
      <c r="B9" s="3"/>
      <c r="C9" s="3"/>
      <c r="D9" s="3"/>
      <c r="E9" s="3"/>
      <c r="F9" s="3"/>
      <c r="G9" s="3"/>
      <c r="H9" s="3"/>
      <c r="I9" s="3"/>
      <c r="J9" s="3"/>
      <c r="K9" s="3"/>
      <c r="L9" s="3"/>
      <c r="M9" s="3"/>
      <c r="N9" s="3"/>
      <c r="O9" s="3"/>
      <c r="P9" s="3"/>
      <c r="Q9" s="3"/>
      <c r="R9" s="3"/>
      <c r="S9" s="3"/>
      <c r="T9" s="3"/>
    </row>
    <row r="10" spans="1:20">
      <c r="A10" s="2" t="s">
        <v>69</v>
      </c>
      <c r="B10" s="3"/>
      <c r="C10" s="3"/>
      <c r="D10" s="3"/>
      <c r="E10" s="3"/>
      <c r="F10" s="3"/>
      <c r="G10" s="3"/>
      <c r="H10" s="3"/>
      <c r="I10" s="3"/>
      <c r="J10" s="3"/>
      <c r="K10" s="3"/>
      <c r="L10" s="3"/>
      <c r="M10" s="3"/>
      <c r="N10" s="3"/>
      <c r="O10" s="3"/>
      <c r="P10" s="3"/>
      <c r="Q10" s="3"/>
      <c r="R10" s="3"/>
      <c r="S10" s="3"/>
      <c r="T10" s="3"/>
    </row>
    <row r="11" spans="1:20">
      <c r="A11" s="2" t="s">
        <v>70</v>
      </c>
      <c r="B11" s="3"/>
      <c r="C11" s="3"/>
      <c r="D11" s="3"/>
      <c r="E11" s="3"/>
      <c r="F11" s="3"/>
      <c r="G11" s="3"/>
      <c r="H11" s="3"/>
      <c r="I11" s="3"/>
      <c r="J11" s="3"/>
      <c r="K11" s="3"/>
      <c r="L11" s="3"/>
      <c r="M11" s="3"/>
      <c r="N11" s="3"/>
      <c r="O11" s="3"/>
      <c r="P11" s="3"/>
      <c r="Q11" s="3"/>
      <c r="R11" s="3"/>
      <c r="S11" s="3"/>
      <c r="T11" s="3"/>
    </row>
    <row r="12" spans="1:20">
      <c r="A12" s="2" t="s">
        <v>71</v>
      </c>
      <c r="B12" s="3"/>
      <c r="C12" s="3"/>
      <c r="D12" s="3"/>
      <c r="E12" s="3"/>
      <c r="F12" s="3"/>
      <c r="G12" s="3"/>
      <c r="H12" s="3"/>
      <c r="I12" s="3"/>
      <c r="J12" s="3"/>
      <c r="K12" s="3"/>
      <c r="L12" s="3"/>
      <c r="M12" s="3"/>
      <c r="N12" s="3"/>
      <c r="O12" s="3"/>
      <c r="P12" s="3"/>
      <c r="Q12" s="3"/>
      <c r="R12" s="3"/>
      <c r="S12" s="3"/>
      <c r="T12" s="3"/>
    </row>
    <row r="13" spans="1:20">
      <c r="A13" s="3"/>
      <c r="B13" s="3"/>
      <c r="C13" s="3"/>
      <c r="D13" s="3"/>
      <c r="E13" s="3"/>
      <c r="F13" s="3"/>
      <c r="G13" s="3"/>
      <c r="H13" s="3"/>
      <c r="I13" s="3"/>
      <c r="J13" s="3"/>
      <c r="K13" s="3"/>
      <c r="L13" s="3"/>
      <c r="M13" s="3"/>
      <c r="N13" s="3"/>
      <c r="O13" s="3"/>
      <c r="P13" s="3"/>
      <c r="Q13" s="3"/>
      <c r="R13" s="3"/>
      <c r="S13" s="3"/>
      <c r="T13" s="3"/>
    </row>
  </sheetData>
  <hyperlinks>
    <hyperlink ref="H3" location="gid=307514419" display="gid=307514419" xr:uid="{0DB9A7A6-B614-41D9-8932-0970FDE8FB75}"/>
    <hyperlink ref="M3" r:id="rId1" xr:uid="{AE7499B5-4EFF-4EE2-9DA4-B351D470EE4D}"/>
    <hyperlink ref="H5" location="gid=307514419" display="gid=307514419" xr:uid="{BCC1DF7A-E274-4CA9-AC61-35182BFEAC21}"/>
    <hyperlink ref="M5" r:id="rId2" xr:uid="{EFF7CDEB-6526-4E66-8960-813E787CE905}"/>
    <hyperlink ref="H4" location="gid=307514419" display="gid=307514419" xr:uid="{30C1D0A8-EE05-494C-B8E1-F7C64167EF0B}"/>
    <hyperlink ref="M4" r:id="rId3" xr:uid="{24F5FB39-3A17-48CC-A571-006692B896D0}"/>
    <hyperlink ref="H6" location="gid=307514419" display="gid=307514419" xr:uid="{FCCF7FE5-C119-45C5-9439-1E9D379CFD1E}"/>
    <hyperlink ref="M6" r:id="rId4" xr:uid="{C1D824E3-8A8A-4AE4-889B-A6C4EC7DDFA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3"/>
  <sheetViews>
    <sheetView showGridLines="0" tabSelected="1" topLeftCell="B1" workbookViewId="0">
      <pane ySplit="2" topLeftCell="A3" activePane="bottomLeft" state="frozen"/>
      <selection pane="bottomLeft" activeCell="B3" sqref="B3"/>
      <selection activeCell="C1" sqref="C1"/>
    </sheetView>
  </sheetViews>
  <sheetFormatPr defaultColWidth="11.42578125" defaultRowHeight="14.45"/>
  <cols>
    <col min="1" max="4" width="29" customWidth="1"/>
    <col min="5" max="5" width="54.28515625" customWidth="1"/>
    <col min="6" max="6" width="48.28515625" customWidth="1"/>
    <col min="7" max="8" width="29" customWidth="1"/>
    <col min="9" max="9" width="40.5703125" customWidth="1"/>
    <col min="10" max="13" width="29" customWidth="1"/>
  </cols>
  <sheetData>
    <row r="1" spans="1:13" ht="31.15">
      <c r="A1" s="13" t="s">
        <v>14</v>
      </c>
      <c r="B1" s="14" t="s">
        <v>15</v>
      </c>
      <c r="C1" s="14" t="s">
        <v>6</v>
      </c>
      <c r="D1" s="14" t="s">
        <v>7</v>
      </c>
      <c r="E1" s="14" t="s">
        <v>72</v>
      </c>
      <c r="F1" s="14" t="s">
        <v>73</v>
      </c>
      <c r="G1" s="14" t="s">
        <v>74</v>
      </c>
      <c r="H1" s="14" t="s">
        <v>75</v>
      </c>
      <c r="I1" s="14" t="s">
        <v>76</v>
      </c>
      <c r="J1" s="14" t="s">
        <v>77</v>
      </c>
      <c r="K1" s="14" t="s">
        <v>78</v>
      </c>
      <c r="L1" s="14" t="s">
        <v>79</v>
      </c>
      <c r="M1" s="14" t="s">
        <v>80</v>
      </c>
    </row>
    <row r="2" spans="1:13" ht="46.9">
      <c r="A2" s="15" t="s">
        <v>32</v>
      </c>
      <c r="B2" s="15" t="s">
        <v>33</v>
      </c>
      <c r="C2" s="15" t="s">
        <v>81</v>
      </c>
      <c r="D2" s="15" t="s">
        <v>82</v>
      </c>
      <c r="E2" s="15" t="s">
        <v>83</v>
      </c>
      <c r="F2" s="15" t="s">
        <v>84</v>
      </c>
      <c r="G2" s="15" t="s">
        <v>85</v>
      </c>
      <c r="H2" s="15" t="s">
        <v>86</v>
      </c>
      <c r="I2" s="15" t="s">
        <v>87</v>
      </c>
      <c r="J2" s="15" t="s">
        <v>88</v>
      </c>
      <c r="K2" s="15" t="s">
        <v>89</v>
      </c>
      <c r="L2" s="15" t="s">
        <v>90</v>
      </c>
      <c r="M2" s="15" t="s">
        <v>89</v>
      </c>
    </row>
    <row r="3" spans="1:13">
      <c r="A3" s="16" t="s">
        <v>49</v>
      </c>
      <c r="B3" s="16" t="s">
        <v>50</v>
      </c>
      <c r="C3" s="17" t="s">
        <v>51</v>
      </c>
      <c r="D3" s="18" t="s">
        <v>91</v>
      </c>
      <c r="E3" s="18" t="str">
        <f>UPPER(F3)</f>
        <v>FECHA DE FOTO/DATOS CONFIGURADA EN EL ETL PARA LA EXTRACCIÓN DE DATOS, CORRESPONDE A APERTURAS DE COMERCIOS HASTA EL CIERRE DEL DÍA ANTERIOR</v>
      </c>
      <c r="F3" s="18" t="s">
        <v>92</v>
      </c>
      <c r="G3" s="16" t="s">
        <v>56</v>
      </c>
      <c r="H3" s="16" t="s">
        <v>93</v>
      </c>
      <c r="I3" s="19">
        <v>45841</v>
      </c>
      <c r="J3" s="16" t="s">
        <v>56</v>
      </c>
      <c r="K3" s="16" t="s">
        <v>56</v>
      </c>
      <c r="L3" s="16" t="s">
        <v>94</v>
      </c>
      <c r="M3" s="16" t="s">
        <v>56</v>
      </c>
    </row>
    <row r="4" spans="1:13">
      <c r="A4" s="16" t="s">
        <v>49</v>
      </c>
      <c r="B4" s="16" t="s">
        <v>50</v>
      </c>
      <c r="C4" s="17" t="s">
        <v>51</v>
      </c>
      <c r="D4" s="18" t="s">
        <v>95</v>
      </c>
      <c r="E4" s="18" t="str">
        <f t="shared" ref="E4:E33" si="0">UPPER(F4)</f>
        <v>FECHA EN LA QUE SE REALIZÓ LA TRANSACCIÓN ASOCIADA AL CASO DE FRAUDE</v>
      </c>
      <c r="F4" s="18" t="s">
        <v>96</v>
      </c>
      <c r="G4" s="16" t="s">
        <v>56</v>
      </c>
      <c r="H4" s="16" t="s">
        <v>93</v>
      </c>
      <c r="I4" s="18"/>
      <c r="J4" s="16" t="s">
        <v>56</v>
      </c>
      <c r="K4" s="16" t="s">
        <v>94</v>
      </c>
      <c r="L4" s="16" t="s">
        <v>56</v>
      </c>
      <c r="M4" s="16" t="s">
        <v>94</v>
      </c>
    </row>
    <row r="5" spans="1:13">
      <c r="A5" s="16" t="s">
        <v>49</v>
      </c>
      <c r="B5" s="16" t="s">
        <v>50</v>
      </c>
      <c r="C5" s="17" t="s">
        <v>51</v>
      </c>
      <c r="D5" s="18" t="s">
        <v>97</v>
      </c>
      <c r="E5" s="18" t="str">
        <f t="shared" si="0"/>
        <v>IDENTIFICADOR ENCRIPTADO O ENMASCARADO DE LA TARJETA INVOLUCRADA EN LA TRANSACCIÓN</v>
      </c>
      <c r="F5" s="18" t="s">
        <v>98</v>
      </c>
      <c r="G5" s="16" t="s">
        <v>56</v>
      </c>
      <c r="H5" s="16" t="s">
        <v>99</v>
      </c>
      <c r="I5" s="18"/>
      <c r="J5" s="16" t="s">
        <v>56</v>
      </c>
      <c r="K5" s="16" t="s">
        <v>94</v>
      </c>
      <c r="L5" s="16" t="s">
        <v>56</v>
      </c>
      <c r="M5" s="16" t="s">
        <v>56</v>
      </c>
    </row>
    <row r="6" spans="1:13">
      <c r="A6" s="16" t="s">
        <v>49</v>
      </c>
      <c r="B6" s="16" t="s">
        <v>50</v>
      </c>
      <c r="C6" s="17" t="s">
        <v>51</v>
      </c>
      <c r="D6" s="18" t="s">
        <v>100</v>
      </c>
      <c r="E6" s="18" t="str">
        <f t="shared" si="0"/>
        <v>CÓDIGO QUE IDENTIFICA AL COMERCIO DONDE SE EFECTUÓ LA TRANSACCIÓN</v>
      </c>
      <c r="F6" s="18" t="s">
        <v>101</v>
      </c>
      <c r="G6" s="16" t="s">
        <v>56</v>
      </c>
      <c r="H6" s="16" t="s">
        <v>99</v>
      </c>
      <c r="I6" s="18"/>
      <c r="J6" s="16" t="s">
        <v>56</v>
      </c>
      <c r="K6" s="16" t="s">
        <v>94</v>
      </c>
      <c r="L6" s="16" t="s">
        <v>56</v>
      </c>
      <c r="M6" s="16" t="s">
        <v>56</v>
      </c>
    </row>
    <row r="7" spans="1:13">
      <c r="A7" s="16" t="s">
        <v>49</v>
      </c>
      <c r="B7" s="16" t="s">
        <v>50</v>
      </c>
      <c r="C7" s="17" t="s">
        <v>51</v>
      </c>
      <c r="D7" s="18" t="s">
        <v>102</v>
      </c>
      <c r="E7" s="18" t="str">
        <f t="shared" ref="E7" si="1">UPPER(F7)</f>
        <v>CÓDIGO DE RESPUESTA ASIGNADA A LA RANSACCIÓN</v>
      </c>
      <c r="F7" s="18" t="s">
        <v>103</v>
      </c>
      <c r="G7" s="16" t="s">
        <v>56</v>
      </c>
      <c r="H7" s="16" t="s">
        <v>99</v>
      </c>
      <c r="I7" s="18"/>
      <c r="J7" s="16" t="s">
        <v>56</v>
      </c>
      <c r="K7" s="16" t="s">
        <v>94</v>
      </c>
      <c r="L7" s="16" t="s">
        <v>56</v>
      </c>
      <c r="M7" s="16" t="s">
        <v>56</v>
      </c>
    </row>
    <row r="8" spans="1:13">
      <c r="A8" s="16" t="s">
        <v>49</v>
      </c>
      <c r="B8" s="16" t="s">
        <v>50</v>
      </c>
      <c r="C8" s="17" t="s">
        <v>51</v>
      </c>
      <c r="D8" s="18" t="s">
        <v>104</v>
      </c>
      <c r="E8" s="18" t="str">
        <f t="shared" si="0"/>
        <v>CÓDIGO DE AUTORIZACIÓN ASIGNADO A LA TRANSACCIÓN</v>
      </c>
      <c r="F8" s="18" t="s">
        <v>105</v>
      </c>
      <c r="G8" s="16" t="s">
        <v>56</v>
      </c>
      <c r="H8" s="16" t="s">
        <v>99</v>
      </c>
      <c r="I8" s="18"/>
      <c r="J8" s="16" t="s">
        <v>56</v>
      </c>
      <c r="K8" s="16" t="s">
        <v>94</v>
      </c>
      <c r="L8" s="16" t="s">
        <v>56</v>
      </c>
      <c r="M8" s="16" t="s">
        <v>56</v>
      </c>
    </row>
    <row r="9" spans="1:13">
      <c r="A9" s="16" t="s">
        <v>49</v>
      </c>
      <c r="B9" s="16" t="s">
        <v>50</v>
      </c>
      <c r="C9" s="17" t="s">
        <v>51</v>
      </c>
      <c r="D9" s="18" t="s">
        <v>106</v>
      </c>
      <c r="E9" s="18" t="str">
        <f t="shared" si="0"/>
        <v>MONTO DEL FRAUDE EXPRESADO EN MONEDA NACIONAL (SOLES)</v>
      </c>
      <c r="F9" s="18" t="s">
        <v>107</v>
      </c>
      <c r="G9" s="16" t="s">
        <v>56</v>
      </c>
      <c r="H9" s="16" t="s">
        <v>108</v>
      </c>
      <c r="I9" s="18"/>
      <c r="J9" s="16" t="s">
        <v>56</v>
      </c>
      <c r="K9" s="16" t="s">
        <v>94</v>
      </c>
      <c r="L9" s="16" t="s">
        <v>56</v>
      </c>
      <c r="M9" s="16" t="s">
        <v>56</v>
      </c>
    </row>
    <row r="10" spans="1:13">
      <c r="A10" s="16" t="s">
        <v>49</v>
      </c>
      <c r="B10" s="16" t="s">
        <v>50</v>
      </c>
      <c r="C10" s="17" t="s">
        <v>51</v>
      </c>
      <c r="D10" s="18" t="s">
        <v>109</v>
      </c>
      <c r="E10" s="18" t="str">
        <f t="shared" si="0"/>
        <v>NOMBRE COMERCIAL DEL ESTABLECIMIENTO DONDE OCURRIÓ LA TRANSACCIÓN</v>
      </c>
      <c r="F10" s="18" t="s">
        <v>110</v>
      </c>
      <c r="G10" s="16" t="s">
        <v>56</v>
      </c>
      <c r="H10" s="16" t="s">
        <v>99</v>
      </c>
      <c r="I10" s="18"/>
      <c r="J10" s="16" t="s">
        <v>56</v>
      </c>
      <c r="K10" s="16" t="s">
        <v>94</v>
      </c>
      <c r="L10" s="16" t="s">
        <v>56</v>
      </c>
      <c r="M10" s="16" t="s">
        <v>56</v>
      </c>
    </row>
    <row r="11" spans="1:13">
      <c r="A11" s="16" t="s">
        <v>49</v>
      </c>
      <c r="B11" s="16" t="s">
        <v>50</v>
      </c>
      <c r="C11" s="17" t="s">
        <v>51</v>
      </c>
      <c r="D11" s="18" t="s">
        <v>111</v>
      </c>
      <c r="E11" s="18" t="str">
        <f t="shared" si="0"/>
        <v>ACCIÓN EJECUTADA COMO RESULTADO DEL ANÁLISIS O GESTIÓN DEL CASO</v>
      </c>
      <c r="F11" s="18" t="s">
        <v>112</v>
      </c>
      <c r="G11" s="16" t="s">
        <v>56</v>
      </c>
      <c r="H11" s="16" t="s">
        <v>99</v>
      </c>
      <c r="I11" s="18"/>
      <c r="J11" s="16" t="s">
        <v>56</v>
      </c>
      <c r="K11" s="16" t="s">
        <v>94</v>
      </c>
      <c r="L11" s="16" t="s">
        <v>56</v>
      </c>
      <c r="M11" s="16" t="s">
        <v>94</v>
      </c>
    </row>
    <row r="12" spans="1:13">
      <c r="A12" s="16" t="s">
        <v>49</v>
      </c>
      <c r="B12" s="16" t="s">
        <v>50</v>
      </c>
      <c r="C12" s="17" t="s">
        <v>51</v>
      </c>
      <c r="D12" s="18" t="s">
        <v>113</v>
      </c>
      <c r="E12" s="18" t="str">
        <f t="shared" si="0"/>
        <v>TIPO O CATEGORÍA DE FRAUDE ASIGNADA A LA TRANSACCIÓN</v>
      </c>
      <c r="F12" s="18" t="s">
        <v>114</v>
      </c>
      <c r="G12" s="16" t="s">
        <v>56</v>
      </c>
      <c r="H12" s="16" t="s">
        <v>99</v>
      </c>
      <c r="I12" s="18"/>
      <c r="J12" s="16" t="s">
        <v>56</v>
      </c>
      <c r="K12" s="16" t="s">
        <v>94</v>
      </c>
      <c r="L12" s="16" t="s">
        <v>56</v>
      </c>
      <c r="M12" s="16" t="s">
        <v>56</v>
      </c>
    </row>
    <row r="13" spans="1:13">
      <c r="A13" s="16" t="s">
        <v>49</v>
      </c>
      <c r="B13" s="16" t="s">
        <v>50</v>
      </c>
      <c r="C13" s="17" t="s">
        <v>51</v>
      </c>
      <c r="D13" s="18" t="s">
        <v>115</v>
      </c>
      <c r="E13" s="18" t="str">
        <f t="shared" si="0"/>
        <v>FECHA EN LA QUE EL REGISTRO FUE CARGADO AL REPOSITORIO O SISTEMA</v>
      </c>
      <c r="F13" s="18" t="s">
        <v>116</v>
      </c>
      <c r="G13" s="16" t="s">
        <v>56</v>
      </c>
      <c r="H13" s="16" t="s">
        <v>93</v>
      </c>
      <c r="I13" s="18"/>
      <c r="J13" s="16" t="s">
        <v>56</v>
      </c>
      <c r="K13" s="16" t="s">
        <v>94</v>
      </c>
      <c r="L13" s="16" t="s">
        <v>56</v>
      </c>
      <c r="M13" s="16" t="s">
        <v>56</v>
      </c>
    </row>
    <row r="14" spans="1:13">
      <c r="A14" s="16" t="s">
        <v>49</v>
      </c>
      <c r="B14" s="16" t="s">
        <v>50</v>
      </c>
      <c r="C14" s="17" t="s">
        <v>51</v>
      </c>
      <c r="D14" s="18" t="s">
        <v>117</v>
      </c>
      <c r="E14" s="18" t="str">
        <f t="shared" si="0"/>
        <v>ESTADO ACTUAL DEL CASO DE FRAUDE DENTRO DEL FLUJO DE GESTIÓN (FILTRO: MARCADO ALERTA, ENVIADO, FILTRO: CRUCE TRANSACCIONAL, SEGUNDO_REPROCESO_ENVIADO, SEGUNDO_REPROCESO_FILTRO: CRUCE TRANSACCIONAL)</v>
      </c>
      <c r="F14" s="18" t="s">
        <v>118</v>
      </c>
      <c r="G14" s="16" t="s">
        <v>56</v>
      </c>
      <c r="H14" s="16" t="s">
        <v>99</v>
      </c>
      <c r="I14" s="18"/>
      <c r="J14" s="16" t="s">
        <v>56</v>
      </c>
      <c r="K14" s="16" t="s">
        <v>94</v>
      </c>
      <c r="L14" s="16" t="s">
        <v>56</v>
      </c>
      <c r="M14" s="16" t="s">
        <v>94</v>
      </c>
    </row>
    <row r="15" spans="1:13">
      <c r="A15" s="16" t="s">
        <v>49</v>
      </c>
      <c r="B15" s="16" t="s">
        <v>50</v>
      </c>
      <c r="C15" s="17" t="s">
        <v>51</v>
      </c>
      <c r="D15" s="18" t="s">
        <v>119</v>
      </c>
      <c r="E15" s="18" t="str">
        <f t="shared" si="0"/>
        <v>FECHA EN LA QUE LA INFORMACIÓN DEL CASO FUE ENVIADA A OTRA ENTIDAD O SISTEMA</v>
      </c>
      <c r="F15" s="18" t="s">
        <v>120</v>
      </c>
      <c r="G15" s="16" t="s">
        <v>56</v>
      </c>
      <c r="H15" s="16" t="s">
        <v>93</v>
      </c>
      <c r="I15" s="18"/>
      <c r="J15" s="16" t="s">
        <v>56</v>
      </c>
      <c r="K15" s="16" t="s">
        <v>94</v>
      </c>
      <c r="L15" s="16" t="s">
        <v>56</v>
      </c>
      <c r="M15" s="16" t="s">
        <v>56</v>
      </c>
    </row>
    <row r="16" spans="1:13">
      <c r="A16" s="16" t="s">
        <v>49</v>
      </c>
      <c r="B16" s="16" t="s">
        <v>50</v>
      </c>
      <c r="C16" s="17" t="s">
        <v>51</v>
      </c>
      <c r="D16" s="18" t="s">
        <v>121</v>
      </c>
      <c r="E16" s="18" t="str">
        <f t="shared" si="0"/>
        <v>ENTIDAD QUE PROCESA EL FRAUDE: ADQ (ADQUIRENTE) O EMISOR</v>
      </c>
      <c r="F16" s="18" t="s">
        <v>122</v>
      </c>
      <c r="G16" s="16" t="s">
        <v>56</v>
      </c>
      <c r="H16" s="16" t="s">
        <v>99</v>
      </c>
      <c r="I16" s="18"/>
      <c r="J16" s="16" t="s">
        <v>56</v>
      </c>
      <c r="K16" s="16" t="s">
        <v>94</v>
      </c>
      <c r="L16" s="16" t="s">
        <v>56</v>
      </c>
      <c r="M16" s="16" t="s">
        <v>94</v>
      </c>
    </row>
    <row r="17" spans="1:13">
      <c r="A17" s="16" t="s">
        <v>49</v>
      </c>
      <c r="B17" s="16" t="s">
        <v>50</v>
      </c>
      <c r="C17" s="17" t="s">
        <v>51</v>
      </c>
      <c r="D17" s="18" t="s">
        <v>123</v>
      </c>
      <c r="E17" s="18" t="str">
        <f t="shared" si="0"/>
        <v>HACE REFERENCIA AL TIPO DE CARGA QUE SE ESTÁ REALIZANDO, PARA DIFERENCIARLO DE CARGAS MASIVAS</v>
      </c>
      <c r="F17" s="18" t="s">
        <v>124</v>
      </c>
      <c r="G17" s="16" t="s">
        <v>56</v>
      </c>
      <c r="H17" s="16" t="s">
        <v>99</v>
      </c>
      <c r="I17" s="18"/>
      <c r="J17" s="16" t="s">
        <v>56</v>
      </c>
      <c r="K17" s="16" t="s">
        <v>94</v>
      </c>
      <c r="L17" s="16" t="s">
        <v>56</v>
      </c>
      <c r="M17" s="16" t="s">
        <v>56</v>
      </c>
    </row>
    <row r="18" spans="1:13">
      <c r="A18" s="16" t="s">
        <v>49</v>
      </c>
      <c r="B18" s="16" t="s">
        <v>50</v>
      </c>
      <c r="C18" s="17" t="s">
        <v>51</v>
      </c>
      <c r="D18" s="18" t="s">
        <v>125</v>
      </c>
      <c r="E18" s="18" t="str">
        <f t="shared" si="0"/>
        <v>HASH SHA256 DE LA TARJETA OBTENIDO DEL SISTEMA TRANSACCIONAL. SE POPULA ÚNICAMENTE EN ESTADOS ENVIADO Y SEGUNDO_REPROCESO_ENVIADO</v>
      </c>
      <c r="F18" s="18" t="s">
        <v>126</v>
      </c>
      <c r="G18" s="16" t="s">
        <v>56</v>
      </c>
      <c r="H18" s="16" t="s">
        <v>99</v>
      </c>
      <c r="I18" s="18"/>
      <c r="J18" s="16" t="s">
        <v>56</v>
      </c>
      <c r="K18" s="16" t="s">
        <v>94</v>
      </c>
      <c r="L18" s="16" t="s">
        <v>56</v>
      </c>
      <c r="M18" s="16" t="s">
        <v>56</v>
      </c>
    </row>
    <row r="19" spans="1:13">
      <c r="A19" s="16" t="s">
        <v>49</v>
      </c>
      <c r="B19" s="16" t="s">
        <v>50</v>
      </c>
      <c r="C19" s="17" t="s">
        <v>51</v>
      </c>
      <c r="D19" s="18" t="s">
        <v>127</v>
      </c>
      <c r="E19" s="18" t="str">
        <f t="shared" si="0"/>
        <v>HORA EXACTA DE LA TRANSACCIÓN OBTENIDA DEL SISTEMA TRANSACCIONAL</v>
      </c>
      <c r="F19" s="18" t="s">
        <v>128</v>
      </c>
      <c r="G19" s="16" t="s">
        <v>56</v>
      </c>
      <c r="H19" s="16" t="s">
        <v>99</v>
      </c>
      <c r="I19" s="18"/>
      <c r="J19" s="16" t="s">
        <v>56</v>
      </c>
      <c r="K19" s="16" t="s">
        <v>94</v>
      </c>
      <c r="L19" s="16" t="s">
        <v>56</v>
      </c>
      <c r="M19" s="16" t="s">
        <v>56</v>
      </c>
    </row>
    <row r="20" spans="1:13">
      <c r="A20" s="16" t="s">
        <v>49</v>
      </c>
      <c r="B20" s="16" t="s">
        <v>50</v>
      </c>
      <c r="C20" s="17" t="s">
        <v>51</v>
      </c>
      <c r="D20" s="18" t="s">
        <v>129</v>
      </c>
      <c r="E20" s="18" t="str">
        <f t="shared" si="0"/>
        <v>MONTO REAL DE LA TRANSACCIÓN CONFIRMADO DESDE EL SISTEMA TRANSACCIONAL</v>
      </c>
      <c r="F20" s="18" t="s">
        <v>130</v>
      </c>
      <c r="G20" s="16" t="s">
        <v>56</v>
      </c>
      <c r="H20" s="16" t="s">
        <v>99</v>
      </c>
      <c r="I20" s="18"/>
      <c r="J20" s="16" t="s">
        <v>56</v>
      </c>
      <c r="K20" s="16" t="s">
        <v>94</v>
      </c>
      <c r="L20" s="16" t="s">
        <v>56</v>
      </c>
      <c r="M20" s="16" t="s">
        <v>56</v>
      </c>
    </row>
    <row r="21" spans="1:13">
      <c r="A21" s="16" t="s">
        <v>49</v>
      </c>
      <c r="B21" s="16" t="s">
        <v>50</v>
      </c>
      <c r="C21" s="17" t="s">
        <v>51</v>
      </c>
      <c r="D21" s="18" t="s">
        <v>131</v>
      </c>
      <c r="E21" s="18" t="str">
        <f t="shared" si="0"/>
        <v>CÓDIGO COMPLETO DEL COMERCIO (CIO) TAL COMO APARECE EN EL SISTEMA TRANSACCIONAL</v>
      </c>
      <c r="F21" s="18" t="s">
        <v>132</v>
      </c>
      <c r="G21" s="16" t="s">
        <v>56</v>
      </c>
      <c r="H21" s="16" t="s">
        <v>99</v>
      </c>
      <c r="I21" s="18"/>
      <c r="J21" s="16" t="s">
        <v>56</v>
      </c>
      <c r="K21" s="16" t="s">
        <v>94</v>
      </c>
      <c r="L21" s="16" t="s">
        <v>56</v>
      </c>
      <c r="M21" s="16" t="s">
        <v>56</v>
      </c>
    </row>
    <row r="22" spans="1:13">
      <c r="A22" s="16" t="s">
        <v>49</v>
      </c>
      <c r="B22" s="16" t="s">
        <v>50</v>
      </c>
      <c r="C22" s="17" t="s">
        <v>51</v>
      </c>
      <c r="D22" s="18" t="s">
        <v>133</v>
      </c>
      <c r="E22" s="18" t="str">
        <f t="shared" si="0"/>
        <v>NOMBRE DEL COMERCIO OBTENIDO DEL SISTEMA TRANSACCIONAL</v>
      </c>
      <c r="F22" s="18" t="s">
        <v>134</v>
      </c>
      <c r="G22" s="16" t="s">
        <v>56</v>
      </c>
      <c r="H22" s="16" t="s">
        <v>99</v>
      </c>
      <c r="I22" s="18"/>
      <c r="J22" s="16" t="s">
        <v>56</v>
      </c>
      <c r="K22" s="16" t="s">
        <v>94</v>
      </c>
      <c r="L22" s="16" t="s">
        <v>56</v>
      </c>
      <c r="M22" s="16" t="s">
        <v>56</v>
      </c>
    </row>
    <row r="23" spans="1:13">
      <c r="A23" s="16" t="s">
        <v>49</v>
      </c>
      <c r="B23" s="16" t="s">
        <v>50</v>
      </c>
      <c r="C23" s="17" t="s">
        <v>51</v>
      </c>
      <c r="D23" s="18" t="s">
        <v>135</v>
      </c>
      <c r="E23" s="18" t="str">
        <f t="shared" si="0"/>
        <v>CÓDIGO MCC (MERCHANT CATEGORY CODE) DEL COMERCIO — RUBRO O GIRO DEL NEGOCIO</v>
      </c>
      <c r="F23" s="18" t="s">
        <v>136</v>
      </c>
      <c r="G23" s="16" t="s">
        <v>56</v>
      </c>
      <c r="H23" s="16" t="s">
        <v>99</v>
      </c>
      <c r="I23" s="18"/>
      <c r="J23" s="16" t="s">
        <v>56</v>
      </c>
      <c r="K23" s="16" t="s">
        <v>94</v>
      </c>
      <c r="L23" s="16" t="s">
        <v>56</v>
      </c>
      <c r="M23" s="16" t="s">
        <v>56</v>
      </c>
    </row>
    <row r="24" spans="1:13">
      <c r="A24" s="16" t="s">
        <v>49</v>
      </c>
      <c r="B24" s="16" t="s">
        <v>50</v>
      </c>
      <c r="C24" s="17" t="s">
        <v>51</v>
      </c>
      <c r="D24" s="18" t="s">
        <v>137</v>
      </c>
      <c r="E24" s="18" t="str">
        <f t="shared" si="0"/>
        <v>BIN (BANK IDENTIFICATION NUMBER) DE LA TARJETA REGISTRADO EN EL SISTEMA TRANSACCIONAL</v>
      </c>
      <c r="F24" s="18" t="s">
        <v>138</v>
      </c>
      <c r="G24" s="16" t="s">
        <v>56</v>
      </c>
      <c r="H24" s="16" t="s">
        <v>99</v>
      </c>
      <c r="I24" s="18"/>
      <c r="J24" s="16" t="s">
        <v>56</v>
      </c>
      <c r="K24" s="16" t="s">
        <v>94</v>
      </c>
      <c r="L24" s="16" t="s">
        <v>56</v>
      </c>
      <c r="M24" s="16" t="s">
        <v>56</v>
      </c>
    </row>
    <row r="25" spans="1:13">
      <c r="A25" s="16" t="s">
        <v>49</v>
      </c>
      <c r="B25" s="16" t="s">
        <v>50</v>
      </c>
      <c r="C25" s="17" t="s">
        <v>51</v>
      </c>
      <c r="D25" s="18" t="s">
        <v>139</v>
      </c>
      <c r="E25" s="18" t="str">
        <f t="shared" si="0"/>
        <v>IDENTIFICADOR ÚNICO DEL CLIENTE TITULAR DE LA TARJETA, PROVENIENTE DEL SISTEMA TRANSACCIONAL</v>
      </c>
      <c r="F25" s="18" t="s">
        <v>140</v>
      </c>
      <c r="G25" s="16" t="s">
        <v>56</v>
      </c>
      <c r="H25" s="16" t="s">
        <v>99</v>
      </c>
      <c r="I25" s="18"/>
      <c r="J25" s="16" t="s">
        <v>56</v>
      </c>
      <c r="K25" s="16" t="s">
        <v>94</v>
      </c>
      <c r="L25" s="16" t="s">
        <v>56</v>
      </c>
      <c r="M25" s="16" t="s">
        <v>56</v>
      </c>
    </row>
    <row r="26" spans="1:13">
      <c r="A26" s="16" t="s">
        <v>49</v>
      </c>
      <c r="B26" s="16" t="s">
        <v>50</v>
      </c>
      <c r="C26" s="17" t="s">
        <v>51</v>
      </c>
      <c r="D26" s="18" t="s">
        <v>141</v>
      </c>
      <c r="E26" s="18" t="str">
        <f t="shared" si="0"/>
        <v>MODO DE INGRESO DE LA TARJETA EN LA TRANSACCIÓN (CHIP, BANDA MAGNÉTICA, CONTACTLESS, MANUAL, ETC.)</v>
      </c>
      <c r="F26" s="18" t="s">
        <v>142</v>
      </c>
      <c r="G26" s="16" t="s">
        <v>56</v>
      </c>
      <c r="H26" s="16" t="s">
        <v>99</v>
      </c>
      <c r="I26" s="18"/>
      <c r="J26" s="16" t="s">
        <v>56</v>
      </c>
      <c r="K26" s="16" t="s">
        <v>94</v>
      </c>
      <c r="L26" s="16" t="s">
        <v>56</v>
      </c>
      <c r="M26" s="16" t="s">
        <v>56</v>
      </c>
    </row>
    <row r="27" spans="1:13">
      <c r="A27" s="16" t="s">
        <v>49</v>
      </c>
      <c r="B27" s="16" t="s">
        <v>50</v>
      </c>
      <c r="C27" s="17" t="s">
        <v>51</v>
      </c>
      <c r="D27" s="18" t="s">
        <v>143</v>
      </c>
      <c r="E27" s="18" t="str">
        <f t="shared" si="0"/>
        <v>UNIVERSAL CARDHOLDER AUTHENTICATION FIELD — DATO DE AUTENTICACIÓN DEL PORTADOR DE LA TARJETA</v>
      </c>
      <c r="F27" s="18" t="s">
        <v>144</v>
      </c>
      <c r="G27" s="16" t="s">
        <v>56</v>
      </c>
      <c r="H27" s="16" t="s">
        <v>99</v>
      </c>
      <c r="I27" s="18"/>
      <c r="J27" s="16" t="s">
        <v>56</v>
      </c>
      <c r="K27" s="16" t="s">
        <v>94</v>
      </c>
      <c r="L27" s="16" t="s">
        <v>56</v>
      </c>
      <c r="M27" s="16" t="s">
        <v>56</v>
      </c>
    </row>
    <row r="28" spans="1:13">
      <c r="A28" s="16" t="s">
        <v>49</v>
      </c>
      <c r="B28" s="16" t="s">
        <v>50</v>
      </c>
      <c r="C28" s="17" t="s">
        <v>51</v>
      </c>
      <c r="D28" s="18" t="s">
        <v>145</v>
      </c>
      <c r="E28" s="18" t="str">
        <f t="shared" si="0"/>
        <v>CANAL POR EL CUAL SE REALIZÓ LA TRANSACCIÓN (PRESENCIAL, WEB, APP, MOTO, ETC.)</v>
      </c>
      <c r="F28" s="18" t="s">
        <v>146</v>
      </c>
      <c r="G28" s="16" t="s">
        <v>56</v>
      </c>
      <c r="H28" s="16" t="s">
        <v>99</v>
      </c>
      <c r="I28" s="18"/>
      <c r="J28" s="16" t="s">
        <v>56</v>
      </c>
      <c r="K28" s="16" t="s">
        <v>94</v>
      </c>
      <c r="L28" s="16" t="s">
        <v>56</v>
      </c>
      <c r="M28" s="16" t="s">
        <v>56</v>
      </c>
    </row>
    <row r="29" spans="1:13">
      <c r="A29" s="16" t="s">
        <v>49</v>
      </c>
      <c r="B29" s="16" t="s">
        <v>50</v>
      </c>
      <c r="C29" s="17" t="s">
        <v>51</v>
      </c>
      <c r="D29" s="18" t="s">
        <v>147</v>
      </c>
      <c r="E29" s="18" t="str">
        <f t="shared" si="0"/>
        <v>IDENTIFICADOR INTERNO DEL COMERCIO EN EL SISTEMA TRANSACCIONAL</v>
      </c>
      <c r="F29" s="18" t="s">
        <v>148</v>
      </c>
      <c r="G29" s="16" t="s">
        <v>56</v>
      </c>
      <c r="H29" s="16" t="s">
        <v>99</v>
      </c>
      <c r="I29" s="18"/>
      <c r="J29" s="16" t="s">
        <v>56</v>
      </c>
      <c r="K29" s="16" t="s">
        <v>94</v>
      </c>
      <c r="L29" s="16" t="s">
        <v>56</v>
      </c>
      <c r="M29" s="16" t="s">
        <v>56</v>
      </c>
    </row>
    <row r="30" spans="1:13">
      <c r="A30" s="16" t="s">
        <v>49</v>
      </c>
      <c r="B30" s="16" t="s">
        <v>50</v>
      </c>
      <c r="C30" s="17" t="s">
        <v>51</v>
      </c>
      <c r="D30" s="18" t="s">
        <v>149</v>
      </c>
      <c r="E30" s="18" t="str">
        <f t="shared" si="0"/>
        <v>TARJETA ENMASCARADA EN FORMATO 750 (PAN ENMASCARADO) PROVENIENTE DEL SISTEMA TRANSACCIONAL</v>
      </c>
      <c r="F30" s="18" t="s">
        <v>150</v>
      </c>
      <c r="G30" s="16" t="s">
        <v>56</v>
      </c>
      <c r="H30" s="16" t="s">
        <v>99</v>
      </c>
      <c r="I30" s="18"/>
      <c r="J30" s="16" t="s">
        <v>56</v>
      </c>
      <c r="K30" s="16" t="s">
        <v>94</v>
      </c>
      <c r="L30" s="16" t="s">
        <v>56</v>
      </c>
      <c r="M30" s="16" t="s">
        <v>56</v>
      </c>
    </row>
    <row r="31" spans="1:13">
      <c r="A31" s="16" t="s">
        <v>49</v>
      </c>
      <c r="B31" s="16" t="s">
        <v>50</v>
      </c>
      <c r="C31" s="17" t="s">
        <v>51</v>
      </c>
      <c r="D31" s="18" t="s">
        <v>151</v>
      </c>
      <c r="E31" s="18" t="str">
        <f t="shared" si="0"/>
        <v>DATO DE AUDITORÍA: DESCRIPCIÓN DEL APLICATIVO ORIGEN DE LOS DATOS.</v>
      </c>
      <c r="F31" s="18" t="s">
        <v>152</v>
      </c>
      <c r="G31" s="16" t="s">
        <v>56</v>
      </c>
      <c r="H31" s="16" t="s">
        <v>99</v>
      </c>
      <c r="I31" s="18" t="s">
        <v>153</v>
      </c>
      <c r="J31" s="16" t="s">
        <v>56</v>
      </c>
      <c r="K31" s="16" t="s">
        <v>56</v>
      </c>
      <c r="L31" s="16" t="s">
        <v>56</v>
      </c>
      <c r="M31" s="16" t="s">
        <v>56</v>
      </c>
    </row>
    <row r="32" spans="1:13">
      <c r="A32" s="16" t="s">
        <v>49</v>
      </c>
      <c r="B32" s="16" t="s">
        <v>50</v>
      </c>
      <c r="C32" s="17" t="s">
        <v>51</v>
      </c>
      <c r="D32" s="18" t="s">
        <v>154</v>
      </c>
      <c r="E32" s="18" t="str">
        <f t="shared" si="0"/>
        <v>FECHA Y HORA DE INSERCIÓN DEL REGISTRO EN EL MODELO</v>
      </c>
      <c r="F32" s="18" t="s">
        <v>155</v>
      </c>
      <c r="G32" s="16" t="s">
        <v>56</v>
      </c>
      <c r="H32" s="16" t="s">
        <v>156</v>
      </c>
      <c r="I32" s="18" t="s">
        <v>157</v>
      </c>
      <c r="J32" s="16" t="s">
        <v>56</v>
      </c>
      <c r="K32" s="16" t="s">
        <v>56</v>
      </c>
      <c r="L32" s="16" t="s">
        <v>56</v>
      </c>
      <c r="M32" s="16" t="s">
        <v>56</v>
      </c>
    </row>
    <row r="33" spans="1:13">
      <c r="A33" s="16" t="s">
        <v>49</v>
      </c>
      <c r="B33" s="16" t="s">
        <v>50</v>
      </c>
      <c r="C33" s="17" t="s">
        <v>51</v>
      </c>
      <c r="D33" s="18" t="s">
        <v>158</v>
      </c>
      <c r="E33" s="18" t="str">
        <f t="shared" si="0"/>
        <v>USUARIO QUE CREA EL REGISTRO EN LA BD</v>
      </c>
      <c r="F33" s="18" t="s">
        <v>159</v>
      </c>
      <c r="G33" s="16" t="s">
        <v>56</v>
      </c>
      <c r="H33" s="16" t="s">
        <v>99</v>
      </c>
      <c r="I33" s="20" t="s">
        <v>160</v>
      </c>
      <c r="J33" s="16" t="s">
        <v>56</v>
      </c>
      <c r="K33" s="16" t="s">
        <v>56</v>
      </c>
      <c r="L33" s="16" t="s">
        <v>56</v>
      </c>
      <c r="M33" s="16" t="s">
        <v>56</v>
      </c>
    </row>
  </sheetData>
  <hyperlinks>
    <hyperlink ref="I33" r:id="rId1" xr:uid="{5055E7C2-704F-4DF8-B13D-BB52B011532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ADF08-2977-4479-A261-791E0C1A2243}">
  <sheetPr codeName="Hoja5"/>
  <dimension ref="A1:M33"/>
  <sheetViews>
    <sheetView showGridLines="0" workbookViewId="0">
      <pane ySplit="2" topLeftCell="A12" activePane="bottomLeft" state="frozen"/>
      <selection pane="bottomLeft" activeCell="D3" sqref="D3:D33"/>
      <selection activeCell="C1" sqref="C1"/>
    </sheetView>
  </sheetViews>
  <sheetFormatPr defaultColWidth="11.42578125" defaultRowHeight="14.45"/>
  <cols>
    <col min="1" max="4" width="29" customWidth="1"/>
    <col min="5" max="5" width="80.140625" customWidth="1"/>
    <col min="6" max="6" width="48.28515625" customWidth="1"/>
    <col min="7" max="8" width="29" customWidth="1"/>
    <col min="9" max="9" width="40.5703125" customWidth="1"/>
    <col min="10" max="13" width="29" customWidth="1"/>
  </cols>
  <sheetData>
    <row r="1" spans="1:13" ht="31.15">
      <c r="A1" s="13" t="s">
        <v>14</v>
      </c>
      <c r="B1" s="14" t="s">
        <v>15</v>
      </c>
      <c r="C1" s="14" t="s">
        <v>6</v>
      </c>
      <c r="D1" s="14" t="s">
        <v>7</v>
      </c>
      <c r="E1" s="14" t="s">
        <v>72</v>
      </c>
      <c r="F1" s="14" t="s">
        <v>73</v>
      </c>
      <c r="G1" s="14" t="s">
        <v>74</v>
      </c>
      <c r="H1" s="14" t="s">
        <v>75</v>
      </c>
      <c r="I1" s="14" t="s">
        <v>76</v>
      </c>
      <c r="J1" s="14" t="s">
        <v>77</v>
      </c>
      <c r="K1" s="14" t="s">
        <v>78</v>
      </c>
      <c r="L1" s="14" t="s">
        <v>79</v>
      </c>
      <c r="M1" s="14" t="s">
        <v>80</v>
      </c>
    </row>
    <row r="2" spans="1:13" ht="46.9">
      <c r="A2" s="15" t="s">
        <v>32</v>
      </c>
      <c r="B2" s="15" t="s">
        <v>33</v>
      </c>
      <c r="C2" s="15" t="s">
        <v>81</v>
      </c>
      <c r="D2" s="15" t="s">
        <v>82</v>
      </c>
      <c r="E2" s="15" t="s">
        <v>83</v>
      </c>
      <c r="F2" s="15" t="s">
        <v>84</v>
      </c>
      <c r="G2" s="15" t="s">
        <v>85</v>
      </c>
      <c r="H2" s="15" t="s">
        <v>86</v>
      </c>
      <c r="I2" s="15" t="s">
        <v>87</v>
      </c>
      <c r="J2" s="15" t="s">
        <v>88</v>
      </c>
      <c r="K2" s="15" t="s">
        <v>89</v>
      </c>
      <c r="L2" s="15" t="s">
        <v>90</v>
      </c>
      <c r="M2" s="15" t="s">
        <v>89</v>
      </c>
    </row>
    <row r="3" spans="1:13">
      <c r="A3" s="16" t="s">
        <v>49</v>
      </c>
      <c r="B3" s="16" t="s">
        <v>50</v>
      </c>
      <c r="C3" s="17" t="s">
        <v>60</v>
      </c>
      <c r="D3" s="18" t="s">
        <v>91</v>
      </c>
      <c r="E3" s="18" t="str">
        <f>UPPER(F3)</f>
        <v>FECHA DE FOTO/DATOS CONFIGURADA EN EL ETL PARA LA EXTRACCIÓN DE DATOS, CORRESPONDE A APERTURAS DE COMERCIOS HASTA EL CIERRE DEL DÍA ANTERIOR</v>
      </c>
      <c r="F3" s="18" t="s">
        <v>92</v>
      </c>
      <c r="G3" s="16" t="s">
        <v>56</v>
      </c>
      <c r="H3" s="16" t="s">
        <v>93</v>
      </c>
      <c r="I3" s="19">
        <v>45841</v>
      </c>
      <c r="J3" s="16" t="s">
        <v>56</v>
      </c>
      <c r="K3" s="16" t="s">
        <v>56</v>
      </c>
      <c r="L3" s="16" t="s">
        <v>94</v>
      </c>
      <c r="M3" s="16" t="s">
        <v>56</v>
      </c>
    </row>
    <row r="4" spans="1:13">
      <c r="A4" s="16" t="s">
        <v>49</v>
      </c>
      <c r="B4" s="16" t="s">
        <v>50</v>
      </c>
      <c r="C4" s="17" t="s">
        <v>60</v>
      </c>
      <c r="D4" s="18" t="s">
        <v>95</v>
      </c>
      <c r="E4" s="18" t="str">
        <f t="shared" ref="E4:E33" si="0">UPPER(F4)</f>
        <v>FECHA EN LA QUE SE REALIZÓ LA TRANSACCIÓN ASOCIADA AL CASO DE FRAUDE</v>
      </c>
      <c r="F4" s="18" t="s">
        <v>96</v>
      </c>
      <c r="G4" s="16" t="s">
        <v>56</v>
      </c>
      <c r="H4" s="16" t="s">
        <v>93</v>
      </c>
      <c r="I4" s="18"/>
      <c r="J4" s="16" t="s">
        <v>56</v>
      </c>
      <c r="K4" s="16" t="s">
        <v>94</v>
      </c>
      <c r="L4" s="16" t="s">
        <v>56</v>
      </c>
      <c r="M4" s="16" t="s">
        <v>94</v>
      </c>
    </row>
    <row r="5" spans="1:13">
      <c r="A5" s="16" t="s">
        <v>49</v>
      </c>
      <c r="B5" s="16" t="s">
        <v>50</v>
      </c>
      <c r="C5" s="17" t="s">
        <v>60</v>
      </c>
      <c r="D5" s="18" t="s">
        <v>97</v>
      </c>
      <c r="E5" s="18" t="str">
        <f t="shared" si="0"/>
        <v>IDENTIFICADOR ENCRIPTADO O ENMASCARADO DE LA TARJETA INVOLUCRADA EN LA TRANSACCIÓN</v>
      </c>
      <c r="F5" s="18" t="s">
        <v>98</v>
      </c>
      <c r="G5" s="16" t="s">
        <v>56</v>
      </c>
      <c r="H5" s="16" t="s">
        <v>99</v>
      </c>
      <c r="I5" s="18"/>
      <c r="J5" s="16" t="s">
        <v>56</v>
      </c>
      <c r="K5" s="16" t="s">
        <v>94</v>
      </c>
      <c r="L5" s="16" t="s">
        <v>56</v>
      </c>
      <c r="M5" s="16" t="s">
        <v>56</v>
      </c>
    </row>
    <row r="6" spans="1:13">
      <c r="A6" s="16" t="s">
        <v>49</v>
      </c>
      <c r="B6" s="16" t="s">
        <v>50</v>
      </c>
      <c r="C6" s="17" t="s">
        <v>60</v>
      </c>
      <c r="D6" s="18" t="s">
        <v>100</v>
      </c>
      <c r="E6" s="18" t="str">
        <f t="shared" si="0"/>
        <v>CÓDIGO QUE IDENTIFICA AL COMERCIO DONDE SE EFECTUÓ LA TRANSACCIÓN</v>
      </c>
      <c r="F6" s="18" t="s">
        <v>101</v>
      </c>
      <c r="G6" s="16" t="s">
        <v>56</v>
      </c>
      <c r="H6" s="16" t="s">
        <v>99</v>
      </c>
      <c r="I6" s="18"/>
      <c r="J6" s="16" t="s">
        <v>56</v>
      </c>
      <c r="K6" s="16" t="s">
        <v>94</v>
      </c>
      <c r="L6" s="16" t="s">
        <v>56</v>
      </c>
      <c r="M6" s="16" t="s">
        <v>56</v>
      </c>
    </row>
    <row r="7" spans="1:13">
      <c r="A7" s="16" t="s">
        <v>49</v>
      </c>
      <c r="B7" s="16" t="s">
        <v>50</v>
      </c>
      <c r="C7" s="17" t="s">
        <v>60</v>
      </c>
      <c r="D7" s="18" t="s">
        <v>102</v>
      </c>
      <c r="E7" s="18" t="str">
        <f t="shared" si="0"/>
        <v>CÓDIGO DE RESPUESTA ASIGNADA A LA RANSACCIÓN</v>
      </c>
      <c r="F7" s="18" t="s">
        <v>103</v>
      </c>
      <c r="G7" s="16" t="s">
        <v>56</v>
      </c>
      <c r="H7" s="16" t="s">
        <v>99</v>
      </c>
      <c r="I7" s="18"/>
      <c r="J7" s="16" t="s">
        <v>56</v>
      </c>
      <c r="K7" s="16" t="s">
        <v>94</v>
      </c>
      <c r="L7" s="16" t="s">
        <v>56</v>
      </c>
      <c r="M7" s="16" t="s">
        <v>56</v>
      </c>
    </row>
    <row r="8" spans="1:13">
      <c r="A8" s="16" t="s">
        <v>49</v>
      </c>
      <c r="B8" s="16" t="s">
        <v>50</v>
      </c>
      <c r="C8" s="17" t="s">
        <v>60</v>
      </c>
      <c r="D8" s="18" t="s">
        <v>104</v>
      </c>
      <c r="E8" s="18" t="str">
        <f t="shared" si="0"/>
        <v>CÓDIGO DE AUTORIZACIÓN ASIGNADO A LA TRANSACCIÓN</v>
      </c>
      <c r="F8" s="18" t="s">
        <v>105</v>
      </c>
      <c r="G8" s="16" t="s">
        <v>56</v>
      </c>
      <c r="H8" s="16" t="s">
        <v>99</v>
      </c>
      <c r="I8" s="18"/>
      <c r="J8" s="16" t="s">
        <v>56</v>
      </c>
      <c r="K8" s="16" t="s">
        <v>94</v>
      </c>
      <c r="L8" s="16" t="s">
        <v>56</v>
      </c>
      <c r="M8" s="16" t="s">
        <v>56</v>
      </c>
    </row>
    <row r="9" spans="1:13">
      <c r="A9" s="16" t="s">
        <v>49</v>
      </c>
      <c r="B9" s="16" t="s">
        <v>50</v>
      </c>
      <c r="C9" s="17" t="s">
        <v>60</v>
      </c>
      <c r="D9" s="18" t="s">
        <v>106</v>
      </c>
      <c r="E9" s="18" t="str">
        <f t="shared" si="0"/>
        <v>MONTO DEL FRAUDE EXPRESADO EN MONEDA NACIONAL (SOLES)</v>
      </c>
      <c r="F9" s="18" t="s">
        <v>107</v>
      </c>
      <c r="G9" s="16" t="s">
        <v>56</v>
      </c>
      <c r="H9" s="16" t="s">
        <v>108</v>
      </c>
      <c r="I9" s="18"/>
      <c r="J9" s="16" t="s">
        <v>56</v>
      </c>
      <c r="K9" s="16" t="s">
        <v>94</v>
      </c>
      <c r="L9" s="16" t="s">
        <v>56</v>
      </c>
      <c r="M9" s="16" t="s">
        <v>56</v>
      </c>
    </row>
    <row r="10" spans="1:13">
      <c r="A10" s="16" t="s">
        <v>49</v>
      </c>
      <c r="B10" s="16" t="s">
        <v>50</v>
      </c>
      <c r="C10" s="17" t="s">
        <v>60</v>
      </c>
      <c r="D10" s="18" t="s">
        <v>109</v>
      </c>
      <c r="E10" s="18" t="str">
        <f t="shared" si="0"/>
        <v>NOMBRE COMERCIAL DEL ESTABLECIMIENTO DONDE OCURRIÓ LA TRANSACCIÓN</v>
      </c>
      <c r="F10" s="18" t="s">
        <v>110</v>
      </c>
      <c r="G10" s="16" t="s">
        <v>56</v>
      </c>
      <c r="H10" s="16" t="s">
        <v>99</v>
      </c>
      <c r="I10" s="18"/>
      <c r="J10" s="16" t="s">
        <v>56</v>
      </c>
      <c r="K10" s="16" t="s">
        <v>94</v>
      </c>
      <c r="L10" s="16" t="s">
        <v>56</v>
      </c>
      <c r="M10" s="16" t="s">
        <v>56</v>
      </c>
    </row>
    <row r="11" spans="1:13">
      <c r="A11" s="16" t="s">
        <v>49</v>
      </c>
      <c r="B11" s="16" t="s">
        <v>50</v>
      </c>
      <c r="C11" s="17" t="s">
        <v>60</v>
      </c>
      <c r="D11" s="18" t="s">
        <v>111</v>
      </c>
      <c r="E11" s="18" t="str">
        <f t="shared" si="0"/>
        <v>ACCIÓN EJECUTADA COMO RESULTADO DEL ANÁLISIS O GESTIÓN DEL CASO</v>
      </c>
      <c r="F11" s="18" t="s">
        <v>112</v>
      </c>
      <c r="G11" s="16" t="s">
        <v>56</v>
      </c>
      <c r="H11" s="16" t="s">
        <v>99</v>
      </c>
      <c r="I11" s="18"/>
      <c r="J11" s="16" t="s">
        <v>56</v>
      </c>
      <c r="K11" s="16" t="s">
        <v>94</v>
      </c>
      <c r="L11" s="16" t="s">
        <v>56</v>
      </c>
      <c r="M11" s="16" t="s">
        <v>94</v>
      </c>
    </row>
    <row r="12" spans="1:13">
      <c r="A12" s="16" t="s">
        <v>49</v>
      </c>
      <c r="B12" s="16" t="s">
        <v>50</v>
      </c>
      <c r="C12" s="17" t="s">
        <v>60</v>
      </c>
      <c r="D12" s="18" t="s">
        <v>113</v>
      </c>
      <c r="E12" s="18" t="str">
        <f t="shared" si="0"/>
        <v>TIPO O CATEGORÍA DE FRAUDE ASIGNADA A LA TRANSACCIÓN</v>
      </c>
      <c r="F12" s="18" t="s">
        <v>114</v>
      </c>
      <c r="G12" s="16" t="s">
        <v>56</v>
      </c>
      <c r="H12" s="16" t="s">
        <v>99</v>
      </c>
      <c r="I12" s="18"/>
      <c r="J12" s="16" t="s">
        <v>56</v>
      </c>
      <c r="K12" s="16" t="s">
        <v>94</v>
      </c>
      <c r="L12" s="16" t="s">
        <v>56</v>
      </c>
      <c r="M12" s="16" t="s">
        <v>56</v>
      </c>
    </row>
    <row r="13" spans="1:13">
      <c r="A13" s="16" t="s">
        <v>49</v>
      </c>
      <c r="B13" s="16" t="s">
        <v>50</v>
      </c>
      <c r="C13" s="17" t="s">
        <v>60</v>
      </c>
      <c r="D13" s="18" t="s">
        <v>115</v>
      </c>
      <c r="E13" s="18" t="str">
        <f t="shared" si="0"/>
        <v>FECHA EN LA QUE EL REGISTRO FUE CARGADO AL REPOSITORIO O SISTEMA</v>
      </c>
      <c r="F13" s="18" t="s">
        <v>116</v>
      </c>
      <c r="G13" s="16" t="s">
        <v>56</v>
      </c>
      <c r="H13" s="16" t="s">
        <v>93</v>
      </c>
      <c r="I13" s="18"/>
      <c r="J13" s="16" t="s">
        <v>56</v>
      </c>
      <c r="K13" s="16" t="s">
        <v>94</v>
      </c>
      <c r="L13" s="16" t="s">
        <v>56</v>
      </c>
      <c r="M13" s="16" t="s">
        <v>56</v>
      </c>
    </row>
    <row r="14" spans="1:13">
      <c r="A14" s="16" t="s">
        <v>49</v>
      </c>
      <c r="B14" s="16" t="s">
        <v>50</v>
      </c>
      <c r="C14" s="17" t="s">
        <v>60</v>
      </c>
      <c r="D14" s="18" t="s">
        <v>117</v>
      </c>
      <c r="E14" s="18" t="str">
        <f t="shared" si="0"/>
        <v>ESTADO ACTUAL DEL CASO DE FRAUDE DENTRO DEL FLUJO DE GESTIÓN (FILTRO: MARCADO ALERTA, ENVIADO, FILTRO: CRUCE TRANSACCIONAL, SEGUNDO_REPROCESO_ENVIADO, SEGUNDO_REPROCESO_FILTRO: CRUCE TRANSACCIONAL)</v>
      </c>
      <c r="F14" s="18" t="s">
        <v>118</v>
      </c>
      <c r="G14" s="16" t="s">
        <v>56</v>
      </c>
      <c r="H14" s="16" t="s">
        <v>99</v>
      </c>
      <c r="I14" s="18"/>
      <c r="J14" s="16" t="s">
        <v>56</v>
      </c>
      <c r="K14" s="16" t="s">
        <v>94</v>
      </c>
      <c r="L14" s="16" t="s">
        <v>56</v>
      </c>
      <c r="M14" s="16" t="s">
        <v>94</v>
      </c>
    </row>
    <row r="15" spans="1:13">
      <c r="A15" s="16" t="s">
        <v>49</v>
      </c>
      <c r="B15" s="16" t="s">
        <v>50</v>
      </c>
      <c r="C15" s="17" t="s">
        <v>60</v>
      </c>
      <c r="D15" s="18" t="s">
        <v>119</v>
      </c>
      <c r="E15" s="18" t="str">
        <f t="shared" si="0"/>
        <v>FECHA EN LA QUE LA INFORMACIÓN DEL CASO FUE ENVIADA A OTRA ENTIDAD O SISTEMA</v>
      </c>
      <c r="F15" s="18" t="s">
        <v>120</v>
      </c>
      <c r="G15" s="16" t="s">
        <v>56</v>
      </c>
      <c r="H15" s="16" t="s">
        <v>93</v>
      </c>
      <c r="I15" s="18"/>
      <c r="J15" s="16" t="s">
        <v>56</v>
      </c>
      <c r="K15" s="16" t="s">
        <v>94</v>
      </c>
      <c r="L15" s="16" t="s">
        <v>56</v>
      </c>
      <c r="M15" s="16" t="s">
        <v>56</v>
      </c>
    </row>
    <row r="16" spans="1:13">
      <c r="A16" s="16" t="s">
        <v>49</v>
      </c>
      <c r="B16" s="16" t="s">
        <v>50</v>
      </c>
      <c r="C16" s="17" t="s">
        <v>60</v>
      </c>
      <c r="D16" s="18" t="s">
        <v>121</v>
      </c>
      <c r="E16" s="18" t="str">
        <f t="shared" si="0"/>
        <v>ENTIDAD QUE PROCESA EL FRAUDE: ADQ (ADQUIRENTE) O EMISOR</v>
      </c>
      <c r="F16" s="18" t="s">
        <v>122</v>
      </c>
      <c r="G16" s="16" t="s">
        <v>56</v>
      </c>
      <c r="H16" s="16" t="s">
        <v>99</v>
      </c>
      <c r="I16" s="18"/>
      <c r="J16" s="16" t="s">
        <v>56</v>
      </c>
      <c r="K16" s="16" t="s">
        <v>94</v>
      </c>
      <c r="L16" s="16" t="s">
        <v>56</v>
      </c>
      <c r="M16" s="16" t="s">
        <v>94</v>
      </c>
    </row>
    <row r="17" spans="1:13">
      <c r="A17" s="16" t="s">
        <v>49</v>
      </c>
      <c r="B17" s="16" t="s">
        <v>50</v>
      </c>
      <c r="C17" s="17" t="s">
        <v>60</v>
      </c>
      <c r="D17" s="18" t="s">
        <v>123</v>
      </c>
      <c r="E17" s="18" t="str">
        <f t="shared" si="0"/>
        <v>HACE REFERENCIA AL TIPO DE CARGA QUE SE ESTÁ REALIZANDO, PARA DIFERENCIARLO DE CARGAS MASIVAS</v>
      </c>
      <c r="F17" s="18" t="s">
        <v>124</v>
      </c>
      <c r="G17" s="16" t="s">
        <v>56</v>
      </c>
      <c r="H17" s="16" t="s">
        <v>99</v>
      </c>
      <c r="I17" s="18"/>
      <c r="J17" s="16" t="s">
        <v>56</v>
      </c>
      <c r="K17" s="16" t="s">
        <v>94</v>
      </c>
      <c r="L17" s="16" t="s">
        <v>56</v>
      </c>
      <c r="M17" s="16" t="s">
        <v>56</v>
      </c>
    </row>
    <row r="18" spans="1:13">
      <c r="A18" s="16" t="s">
        <v>49</v>
      </c>
      <c r="B18" s="16" t="s">
        <v>50</v>
      </c>
      <c r="C18" s="17" t="s">
        <v>60</v>
      </c>
      <c r="D18" s="18" t="s">
        <v>125</v>
      </c>
      <c r="E18" s="18" t="str">
        <f t="shared" si="0"/>
        <v>HASH SHA256 DE LA TARJETA OBTENIDO DEL SISTEMA TRANSACCIONAL. SE POPULA ÚNICAMENTE EN ESTADOS ENVIADO Y SEGUNDO_REPROCESO_ENVIADO</v>
      </c>
      <c r="F18" s="18" t="s">
        <v>126</v>
      </c>
      <c r="G18" s="16" t="s">
        <v>56</v>
      </c>
      <c r="H18" s="16" t="s">
        <v>99</v>
      </c>
      <c r="I18" s="18"/>
      <c r="J18" s="16" t="s">
        <v>56</v>
      </c>
      <c r="K18" s="16" t="s">
        <v>94</v>
      </c>
      <c r="L18" s="16" t="s">
        <v>56</v>
      </c>
      <c r="M18" s="16" t="s">
        <v>56</v>
      </c>
    </row>
    <row r="19" spans="1:13">
      <c r="A19" s="16" t="s">
        <v>49</v>
      </c>
      <c r="B19" s="16" t="s">
        <v>50</v>
      </c>
      <c r="C19" s="17" t="s">
        <v>60</v>
      </c>
      <c r="D19" s="18" t="s">
        <v>127</v>
      </c>
      <c r="E19" s="18" t="str">
        <f t="shared" si="0"/>
        <v>HORA EXACTA DE LA TRANSACCIÓN OBTENIDA DEL SISTEMA TRANSACCIONAL</v>
      </c>
      <c r="F19" s="18" t="s">
        <v>128</v>
      </c>
      <c r="G19" s="16" t="s">
        <v>56</v>
      </c>
      <c r="H19" s="16" t="s">
        <v>99</v>
      </c>
      <c r="I19" s="18"/>
      <c r="J19" s="16" t="s">
        <v>56</v>
      </c>
      <c r="K19" s="16" t="s">
        <v>94</v>
      </c>
      <c r="L19" s="16" t="s">
        <v>56</v>
      </c>
      <c r="M19" s="16" t="s">
        <v>56</v>
      </c>
    </row>
    <row r="20" spans="1:13">
      <c r="A20" s="16" t="s">
        <v>49</v>
      </c>
      <c r="B20" s="16" t="s">
        <v>50</v>
      </c>
      <c r="C20" s="17" t="s">
        <v>60</v>
      </c>
      <c r="D20" s="18" t="s">
        <v>129</v>
      </c>
      <c r="E20" s="18" t="str">
        <f t="shared" si="0"/>
        <v>MONTO REAL DE LA TRANSACCIÓN CONFIRMADO DESDE EL SISTEMA TRANSACCIONAL</v>
      </c>
      <c r="F20" s="18" t="s">
        <v>130</v>
      </c>
      <c r="G20" s="16" t="s">
        <v>56</v>
      </c>
      <c r="H20" s="16" t="s">
        <v>99</v>
      </c>
      <c r="I20" s="18"/>
      <c r="J20" s="16" t="s">
        <v>56</v>
      </c>
      <c r="K20" s="16" t="s">
        <v>94</v>
      </c>
      <c r="L20" s="16" t="s">
        <v>56</v>
      </c>
      <c r="M20" s="16" t="s">
        <v>56</v>
      </c>
    </row>
    <row r="21" spans="1:13">
      <c r="A21" s="16" t="s">
        <v>49</v>
      </c>
      <c r="B21" s="16" t="s">
        <v>50</v>
      </c>
      <c r="C21" s="17" t="s">
        <v>60</v>
      </c>
      <c r="D21" s="18" t="s">
        <v>131</v>
      </c>
      <c r="E21" s="18" t="str">
        <f t="shared" si="0"/>
        <v>CÓDIGO COMPLETO DEL COMERCIO (CIO) TAL COMO APARECE EN EL SISTEMA TRANSACCIONAL</v>
      </c>
      <c r="F21" s="18" t="s">
        <v>132</v>
      </c>
      <c r="G21" s="16" t="s">
        <v>56</v>
      </c>
      <c r="H21" s="16" t="s">
        <v>99</v>
      </c>
      <c r="I21" s="18"/>
      <c r="J21" s="16" t="s">
        <v>56</v>
      </c>
      <c r="K21" s="16" t="s">
        <v>94</v>
      </c>
      <c r="L21" s="16" t="s">
        <v>56</v>
      </c>
      <c r="M21" s="16" t="s">
        <v>56</v>
      </c>
    </row>
    <row r="22" spans="1:13">
      <c r="A22" s="16" t="s">
        <v>49</v>
      </c>
      <c r="B22" s="16" t="s">
        <v>50</v>
      </c>
      <c r="C22" s="17" t="s">
        <v>60</v>
      </c>
      <c r="D22" s="18" t="s">
        <v>133</v>
      </c>
      <c r="E22" s="18" t="str">
        <f t="shared" si="0"/>
        <v>NOMBRE DEL COMERCIO OBTENIDO DEL SISTEMA TRANSACCIONAL</v>
      </c>
      <c r="F22" s="18" t="s">
        <v>134</v>
      </c>
      <c r="G22" s="16" t="s">
        <v>56</v>
      </c>
      <c r="H22" s="16" t="s">
        <v>99</v>
      </c>
      <c r="I22" s="18"/>
      <c r="J22" s="16" t="s">
        <v>56</v>
      </c>
      <c r="K22" s="16" t="s">
        <v>94</v>
      </c>
      <c r="L22" s="16" t="s">
        <v>56</v>
      </c>
      <c r="M22" s="16" t="s">
        <v>56</v>
      </c>
    </row>
    <row r="23" spans="1:13">
      <c r="A23" s="16" t="s">
        <v>49</v>
      </c>
      <c r="B23" s="16" t="s">
        <v>50</v>
      </c>
      <c r="C23" s="17" t="s">
        <v>60</v>
      </c>
      <c r="D23" s="18" t="s">
        <v>135</v>
      </c>
      <c r="E23" s="18" t="str">
        <f t="shared" si="0"/>
        <v>CÓDIGO MCC (MERCHANT CATEGORY CODE) DEL COMERCIO — RUBRO O GIRO DEL NEGOCIO</v>
      </c>
      <c r="F23" s="18" t="s">
        <v>136</v>
      </c>
      <c r="G23" s="16" t="s">
        <v>56</v>
      </c>
      <c r="H23" s="16" t="s">
        <v>99</v>
      </c>
      <c r="I23" s="18"/>
      <c r="J23" s="16" t="s">
        <v>56</v>
      </c>
      <c r="K23" s="16" t="s">
        <v>94</v>
      </c>
      <c r="L23" s="16" t="s">
        <v>56</v>
      </c>
      <c r="M23" s="16" t="s">
        <v>56</v>
      </c>
    </row>
    <row r="24" spans="1:13">
      <c r="A24" s="16" t="s">
        <v>49</v>
      </c>
      <c r="B24" s="16" t="s">
        <v>50</v>
      </c>
      <c r="C24" s="17" t="s">
        <v>60</v>
      </c>
      <c r="D24" s="18" t="s">
        <v>137</v>
      </c>
      <c r="E24" s="18" t="str">
        <f t="shared" si="0"/>
        <v>BIN (BANK IDENTIFICATION NUMBER) DE LA TARJETA REGISTRADO EN EL SISTEMA TRANSACCIONAL</v>
      </c>
      <c r="F24" s="18" t="s">
        <v>138</v>
      </c>
      <c r="G24" s="16" t="s">
        <v>56</v>
      </c>
      <c r="H24" s="16" t="s">
        <v>99</v>
      </c>
      <c r="I24" s="18"/>
      <c r="J24" s="16" t="s">
        <v>56</v>
      </c>
      <c r="K24" s="16" t="s">
        <v>94</v>
      </c>
      <c r="L24" s="16" t="s">
        <v>56</v>
      </c>
      <c r="M24" s="16" t="s">
        <v>56</v>
      </c>
    </row>
    <row r="25" spans="1:13">
      <c r="A25" s="16" t="s">
        <v>49</v>
      </c>
      <c r="B25" s="16" t="s">
        <v>50</v>
      </c>
      <c r="C25" s="17" t="s">
        <v>60</v>
      </c>
      <c r="D25" s="18" t="s">
        <v>139</v>
      </c>
      <c r="E25" s="18" t="str">
        <f t="shared" si="0"/>
        <v>IDENTIFICADOR ÚNICO DEL CLIENTE TITULAR DE LA TARJETA, PROVENIENTE DEL SISTEMA TRANSACCIONAL</v>
      </c>
      <c r="F25" s="18" t="s">
        <v>140</v>
      </c>
      <c r="G25" s="16" t="s">
        <v>56</v>
      </c>
      <c r="H25" s="16" t="s">
        <v>99</v>
      </c>
      <c r="I25" s="18"/>
      <c r="J25" s="16" t="s">
        <v>56</v>
      </c>
      <c r="K25" s="16" t="s">
        <v>94</v>
      </c>
      <c r="L25" s="16" t="s">
        <v>56</v>
      </c>
      <c r="M25" s="16" t="s">
        <v>56</v>
      </c>
    </row>
    <row r="26" spans="1:13">
      <c r="A26" s="16" t="s">
        <v>49</v>
      </c>
      <c r="B26" s="16" t="s">
        <v>50</v>
      </c>
      <c r="C26" s="17" t="s">
        <v>60</v>
      </c>
      <c r="D26" s="18" t="s">
        <v>141</v>
      </c>
      <c r="E26" s="18" t="str">
        <f t="shared" si="0"/>
        <v>MODO DE INGRESO DE LA TARJETA EN LA TRANSACCIÓN (CHIP, BANDA MAGNÉTICA, CONTACTLESS, MANUAL, ETC.)</v>
      </c>
      <c r="F26" s="18" t="s">
        <v>142</v>
      </c>
      <c r="G26" s="16" t="s">
        <v>56</v>
      </c>
      <c r="H26" s="16" t="s">
        <v>99</v>
      </c>
      <c r="I26" s="18"/>
      <c r="J26" s="16" t="s">
        <v>56</v>
      </c>
      <c r="K26" s="16" t="s">
        <v>94</v>
      </c>
      <c r="L26" s="16" t="s">
        <v>56</v>
      </c>
      <c r="M26" s="16" t="s">
        <v>56</v>
      </c>
    </row>
    <row r="27" spans="1:13">
      <c r="A27" s="16" t="s">
        <v>49</v>
      </c>
      <c r="B27" s="16" t="s">
        <v>50</v>
      </c>
      <c r="C27" s="17" t="s">
        <v>60</v>
      </c>
      <c r="D27" s="18" t="s">
        <v>143</v>
      </c>
      <c r="E27" s="18" t="str">
        <f t="shared" si="0"/>
        <v>UNIVERSAL CARDHOLDER AUTHENTICATION FIELD — DATO DE AUTENTICACIÓN DEL PORTADOR DE LA TARJETA</v>
      </c>
      <c r="F27" s="18" t="s">
        <v>144</v>
      </c>
      <c r="G27" s="16" t="s">
        <v>56</v>
      </c>
      <c r="H27" s="16" t="s">
        <v>99</v>
      </c>
      <c r="I27" s="18"/>
      <c r="J27" s="16" t="s">
        <v>56</v>
      </c>
      <c r="K27" s="16" t="s">
        <v>94</v>
      </c>
      <c r="L27" s="16" t="s">
        <v>56</v>
      </c>
      <c r="M27" s="16" t="s">
        <v>56</v>
      </c>
    </row>
    <row r="28" spans="1:13">
      <c r="A28" s="16" t="s">
        <v>49</v>
      </c>
      <c r="B28" s="16" t="s">
        <v>50</v>
      </c>
      <c r="C28" s="17" t="s">
        <v>60</v>
      </c>
      <c r="D28" s="18" t="s">
        <v>145</v>
      </c>
      <c r="E28" s="18" t="str">
        <f t="shared" si="0"/>
        <v>CANAL POR EL CUAL SE REALIZÓ LA TRANSACCIÓN (PRESENCIAL, WEB, APP, MOTO, ETC.)</v>
      </c>
      <c r="F28" s="18" t="s">
        <v>146</v>
      </c>
      <c r="G28" s="16" t="s">
        <v>56</v>
      </c>
      <c r="H28" s="16" t="s">
        <v>99</v>
      </c>
      <c r="I28" s="18"/>
      <c r="J28" s="16" t="s">
        <v>56</v>
      </c>
      <c r="K28" s="16" t="s">
        <v>94</v>
      </c>
      <c r="L28" s="16" t="s">
        <v>56</v>
      </c>
      <c r="M28" s="16" t="s">
        <v>56</v>
      </c>
    </row>
    <row r="29" spans="1:13">
      <c r="A29" s="16" t="s">
        <v>49</v>
      </c>
      <c r="B29" s="16" t="s">
        <v>50</v>
      </c>
      <c r="C29" s="17" t="s">
        <v>60</v>
      </c>
      <c r="D29" s="18" t="s">
        <v>147</v>
      </c>
      <c r="E29" s="18" t="str">
        <f t="shared" si="0"/>
        <v>IDENTIFICADOR INTERNO DEL COMERCIO EN EL SISTEMA TRANSACCIONAL</v>
      </c>
      <c r="F29" s="18" t="s">
        <v>148</v>
      </c>
      <c r="G29" s="16" t="s">
        <v>56</v>
      </c>
      <c r="H29" s="16" t="s">
        <v>99</v>
      </c>
      <c r="I29" s="18"/>
      <c r="J29" s="16" t="s">
        <v>56</v>
      </c>
      <c r="K29" s="16" t="s">
        <v>94</v>
      </c>
      <c r="L29" s="16" t="s">
        <v>56</v>
      </c>
      <c r="M29" s="16" t="s">
        <v>56</v>
      </c>
    </row>
    <row r="30" spans="1:13">
      <c r="A30" s="16" t="s">
        <v>49</v>
      </c>
      <c r="B30" s="16" t="s">
        <v>50</v>
      </c>
      <c r="C30" s="17" t="s">
        <v>60</v>
      </c>
      <c r="D30" s="18" t="s">
        <v>149</v>
      </c>
      <c r="E30" s="18" t="str">
        <f t="shared" si="0"/>
        <v>TARJETA ENMASCARADA EN FORMATO 750 (PAN ENMASCARADO) PROVENIENTE DEL SISTEMA TRANSACCIONAL</v>
      </c>
      <c r="F30" s="18" t="s">
        <v>150</v>
      </c>
      <c r="G30" s="16" t="s">
        <v>56</v>
      </c>
      <c r="H30" s="16" t="s">
        <v>99</v>
      </c>
      <c r="I30" s="18"/>
      <c r="J30" s="16" t="s">
        <v>56</v>
      </c>
      <c r="K30" s="16" t="s">
        <v>94</v>
      </c>
      <c r="L30" s="16" t="s">
        <v>56</v>
      </c>
      <c r="M30" s="16" t="s">
        <v>56</v>
      </c>
    </row>
    <row r="31" spans="1:13">
      <c r="A31" s="16" t="s">
        <v>49</v>
      </c>
      <c r="B31" s="16" t="s">
        <v>50</v>
      </c>
      <c r="C31" s="17" t="s">
        <v>60</v>
      </c>
      <c r="D31" s="18" t="s">
        <v>151</v>
      </c>
      <c r="E31" s="18" t="str">
        <f t="shared" si="0"/>
        <v>DATO DE AUDITORÍA: DESCRIPCIÓN DEL APLICATIVO ORIGEN DE LOS DATOS.</v>
      </c>
      <c r="F31" s="18" t="s">
        <v>152</v>
      </c>
      <c r="G31" s="16" t="s">
        <v>56</v>
      </c>
      <c r="H31" s="16" t="s">
        <v>99</v>
      </c>
      <c r="I31" s="18" t="s">
        <v>153</v>
      </c>
      <c r="J31" s="16" t="s">
        <v>56</v>
      </c>
      <c r="K31" s="16" t="s">
        <v>56</v>
      </c>
      <c r="L31" s="16" t="s">
        <v>56</v>
      </c>
      <c r="M31" s="16" t="s">
        <v>56</v>
      </c>
    </row>
    <row r="32" spans="1:13">
      <c r="A32" s="16" t="s">
        <v>49</v>
      </c>
      <c r="B32" s="16" t="s">
        <v>50</v>
      </c>
      <c r="C32" s="17" t="s">
        <v>60</v>
      </c>
      <c r="D32" s="18" t="s">
        <v>154</v>
      </c>
      <c r="E32" s="18" t="str">
        <f t="shared" si="0"/>
        <v>FECHA Y HORA DE INSERCIÓN DEL REGISTRO EN EL MODELO</v>
      </c>
      <c r="F32" s="18" t="s">
        <v>155</v>
      </c>
      <c r="G32" s="16" t="s">
        <v>56</v>
      </c>
      <c r="H32" s="16" t="s">
        <v>156</v>
      </c>
      <c r="I32" s="18" t="s">
        <v>157</v>
      </c>
      <c r="J32" s="16" t="s">
        <v>56</v>
      </c>
      <c r="K32" s="16" t="s">
        <v>56</v>
      </c>
      <c r="L32" s="16" t="s">
        <v>56</v>
      </c>
      <c r="M32" s="16" t="s">
        <v>56</v>
      </c>
    </row>
    <row r="33" spans="1:13">
      <c r="A33" s="16" t="s">
        <v>49</v>
      </c>
      <c r="B33" s="16" t="s">
        <v>50</v>
      </c>
      <c r="C33" s="17" t="s">
        <v>60</v>
      </c>
      <c r="D33" s="18" t="s">
        <v>158</v>
      </c>
      <c r="E33" s="18" t="str">
        <f t="shared" si="0"/>
        <v>USUARIO QUE CREA EL REGISTRO EN LA BD</v>
      </c>
      <c r="F33" s="18" t="s">
        <v>159</v>
      </c>
      <c r="G33" s="16" t="s">
        <v>56</v>
      </c>
      <c r="H33" s="16" t="s">
        <v>99</v>
      </c>
      <c r="I33" s="20" t="s">
        <v>160</v>
      </c>
      <c r="J33" s="16" t="s">
        <v>56</v>
      </c>
      <c r="K33" s="16" t="s">
        <v>56</v>
      </c>
      <c r="L33" s="16" t="s">
        <v>56</v>
      </c>
      <c r="M33" s="16" t="s">
        <v>56</v>
      </c>
    </row>
  </sheetData>
  <hyperlinks>
    <hyperlink ref="I33" r:id="rId1" xr:uid="{11C460AC-3D1B-4BA2-897E-9D35DEEEA04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04A23-79A4-4DF4-9E14-23C029C06F8E}">
  <sheetPr codeName="Hoja4"/>
  <dimension ref="A1:M47"/>
  <sheetViews>
    <sheetView showGridLines="0" workbookViewId="0">
      <selection activeCell="D2" sqref="D2"/>
    </sheetView>
  </sheetViews>
  <sheetFormatPr defaultColWidth="11.42578125" defaultRowHeight="14.45"/>
  <cols>
    <col min="1" max="4" width="29" customWidth="1"/>
    <col min="5" max="5" width="70.7109375" customWidth="1"/>
    <col min="6" max="6" width="48.28515625" customWidth="1"/>
    <col min="7" max="8" width="29" customWidth="1"/>
    <col min="9" max="9" width="40.5703125" customWidth="1"/>
    <col min="10" max="13" width="29" customWidth="1"/>
  </cols>
  <sheetData>
    <row r="1" spans="1:13" ht="31.15">
      <c r="A1" s="13" t="s">
        <v>14</v>
      </c>
      <c r="B1" s="14" t="s">
        <v>15</v>
      </c>
      <c r="C1" s="14" t="s">
        <v>6</v>
      </c>
      <c r="D1" s="14" t="s">
        <v>7</v>
      </c>
      <c r="E1" s="14" t="s">
        <v>72</v>
      </c>
      <c r="F1" s="14" t="s">
        <v>73</v>
      </c>
      <c r="G1" s="14" t="s">
        <v>74</v>
      </c>
      <c r="H1" s="14" t="s">
        <v>75</v>
      </c>
      <c r="I1" s="14" t="s">
        <v>76</v>
      </c>
      <c r="J1" s="14" t="s">
        <v>77</v>
      </c>
      <c r="K1" s="14" t="s">
        <v>78</v>
      </c>
      <c r="L1" s="14" t="s">
        <v>79</v>
      </c>
      <c r="M1" s="14" t="s">
        <v>80</v>
      </c>
    </row>
    <row r="2" spans="1:13" ht="46.9">
      <c r="A2" s="15" t="s">
        <v>32</v>
      </c>
      <c r="B2" s="15" t="s">
        <v>33</v>
      </c>
      <c r="C2" s="15" t="s">
        <v>81</v>
      </c>
      <c r="D2" s="15" t="s">
        <v>82</v>
      </c>
      <c r="E2" s="15" t="s">
        <v>83</v>
      </c>
      <c r="F2" s="15" t="s">
        <v>84</v>
      </c>
      <c r="G2" s="15" t="s">
        <v>85</v>
      </c>
      <c r="H2" s="15" t="s">
        <v>86</v>
      </c>
      <c r="I2" s="15" t="s">
        <v>87</v>
      </c>
      <c r="J2" s="15" t="s">
        <v>88</v>
      </c>
      <c r="K2" s="15" t="s">
        <v>89</v>
      </c>
      <c r="L2" s="15" t="s">
        <v>90</v>
      </c>
      <c r="M2" s="15" t="s">
        <v>89</v>
      </c>
    </row>
    <row r="3" spans="1:13">
      <c r="A3" s="16" t="s">
        <v>49</v>
      </c>
      <c r="B3" s="16" t="s">
        <v>50</v>
      </c>
      <c r="C3" s="17" t="s">
        <v>63</v>
      </c>
      <c r="D3" s="18" t="s">
        <v>91</v>
      </c>
      <c r="E3" s="18" t="str">
        <f t="shared" ref="E3:E43" si="0">UPPER(F3)</f>
        <v>FECHA DE FOTO/DATOS CONFIGURADA EN EL ETL PARA LA EXTRACCIÓN DE DATOS, CORRESPONDE A APERTURAS DE COMERCIOS HASTA EL CIERRE DEL DÍA ANTERIOR</v>
      </c>
      <c r="F3" s="18" t="s">
        <v>92</v>
      </c>
      <c r="G3" s="16" t="s">
        <v>56</v>
      </c>
      <c r="H3" s="16" t="s">
        <v>93</v>
      </c>
      <c r="I3" s="19">
        <v>45841</v>
      </c>
      <c r="J3" s="16" t="s">
        <v>56</v>
      </c>
      <c r="K3" s="16" t="s">
        <v>56</v>
      </c>
      <c r="L3" s="16" t="s">
        <v>94</v>
      </c>
      <c r="M3" s="16" t="s">
        <v>56</v>
      </c>
    </row>
    <row r="4" spans="1:13">
      <c r="A4" s="16" t="s">
        <v>49</v>
      </c>
      <c r="B4" s="16" t="s">
        <v>50</v>
      </c>
      <c r="C4" s="17" t="s">
        <v>63</v>
      </c>
      <c r="D4" s="18" t="s">
        <v>161</v>
      </c>
      <c r="E4" s="18" t="str">
        <f t="shared" si="0"/>
        <v>CÓDIGO DE RECLAMO</v>
      </c>
      <c r="F4" s="18" t="s">
        <v>162</v>
      </c>
      <c r="G4" s="16" t="s">
        <v>56</v>
      </c>
      <c r="H4" s="16" t="s">
        <v>99</v>
      </c>
      <c r="I4" s="18"/>
      <c r="J4" s="16" t="s">
        <v>56</v>
      </c>
      <c r="K4" s="16" t="s">
        <v>94</v>
      </c>
      <c r="L4" s="16" t="s">
        <v>56</v>
      </c>
      <c r="M4" s="16" t="s">
        <v>56</v>
      </c>
    </row>
    <row r="5" spans="1:13">
      <c r="A5" s="16" t="s">
        <v>49</v>
      </c>
      <c r="B5" s="16" t="s">
        <v>50</v>
      </c>
      <c r="C5" s="17" t="s">
        <v>63</v>
      </c>
      <c r="D5" s="18" t="s">
        <v>163</v>
      </c>
      <c r="E5" s="18" t="str">
        <f t="shared" si="0"/>
        <v>CORRELATIVO ÚNICO DEL REGISTRO. FORMATO YYMMDD + SECUENCIA DE 4 DÍGITOS</v>
      </c>
      <c r="F5" s="18" t="s">
        <v>164</v>
      </c>
      <c r="G5" s="16" t="s">
        <v>56</v>
      </c>
      <c r="H5" s="16" t="s">
        <v>99</v>
      </c>
      <c r="I5" s="18"/>
      <c r="J5" s="16" t="s">
        <v>56</v>
      </c>
      <c r="K5" s="16" t="s">
        <v>94</v>
      </c>
      <c r="L5" s="16" t="s">
        <v>56</v>
      </c>
      <c r="M5" s="16" t="s">
        <v>56</v>
      </c>
    </row>
    <row r="6" spans="1:13">
      <c r="A6" s="16" t="s">
        <v>49</v>
      </c>
      <c r="B6" s="16" t="s">
        <v>50</v>
      </c>
      <c r="C6" s="17" t="s">
        <v>63</v>
      </c>
      <c r="D6" s="18" t="s">
        <v>165</v>
      </c>
      <c r="E6" s="18" t="str">
        <f t="shared" si="0"/>
        <v>USUARIO QUE TOMÓ EL RECLAMO</v>
      </c>
      <c r="F6" s="18" t="s">
        <v>166</v>
      </c>
      <c r="G6" s="16" t="s">
        <v>56</v>
      </c>
      <c r="H6" s="16" t="s">
        <v>99</v>
      </c>
      <c r="I6" s="18"/>
      <c r="J6" s="16" t="s">
        <v>56</v>
      </c>
      <c r="K6" s="16" t="s">
        <v>94</v>
      </c>
      <c r="L6" s="16" t="s">
        <v>56</v>
      </c>
      <c r="M6" s="16" t="s">
        <v>56</v>
      </c>
    </row>
    <row r="7" spans="1:13">
      <c r="A7" s="16" t="s">
        <v>49</v>
      </c>
      <c r="B7" s="16" t="s">
        <v>50</v>
      </c>
      <c r="C7" s="17" t="s">
        <v>63</v>
      </c>
      <c r="D7" s="18" t="s">
        <v>167</v>
      </c>
      <c r="E7" s="18" t="str">
        <f t="shared" si="0"/>
        <v>SUCURSAL DE RECLAMO</v>
      </c>
      <c r="F7" s="18" t="s">
        <v>168</v>
      </c>
      <c r="G7" s="16" t="s">
        <v>56</v>
      </c>
      <c r="H7" s="16" t="s">
        <v>99</v>
      </c>
      <c r="I7" s="18"/>
      <c r="J7" s="16" t="s">
        <v>56</v>
      </c>
      <c r="K7" s="16" t="s">
        <v>94</v>
      </c>
      <c r="L7" s="16" t="s">
        <v>56</v>
      </c>
      <c r="M7" s="16" t="s">
        <v>56</v>
      </c>
    </row>
    <row r="8" spans="1:13">
      <c r="A8" s="16" t="s">
        <v>49</v>
      </c>
      <c r="B8" s="16" t="s">
        <v>50</v>
      </c>
      <c r="C8" s="17" t="s">
        <v>63</v>
      </c>
      <c r="D8" s="18" t="s">
        <v>169</v>
      </c>
      <c r="E8" s="18" t="str">
        <f t="shared" si="0"/>
        <v>FECHA DEL RECLAMO</v>
      </c>
      <c r="F8" s="18" t="s">
        <v>170</v>
      </c>
      <c r="G8" s="16" t="s">
        <v>56</v>
      </c>
      <c r="H8" s="16" t="s">
        <v>93</v>
      </c>
      <c r="I8" s="18"/>
      <c r="J8" s="16" t="s">
        <v>56</v>
      </c>
      <c r="K8" s="16" t="s">
        <v>94</v>
      </c>
      <c r="L8" s="16" t="s">
        <v>56</v>
      </c>
      <c r="M8" s="16" t="s">
        <v>94</v>
      </c>
    </row>
    <row r="9" spans="1:13">
      <c r="A9" s="16" t="s">
        <v>49</v>
      </c>
      <c r="B9" s="16" t="s">
        <v>50</v>
      </c>
      <c r="C9" s="17" t="s">
        <v>63</v>
      </c>
      <c r="D9" s="18" t="s">
        <v>171</v>
      </c>
      <c r="E9" s="18" t="str">
        <f t="shared" si="0"/>
        <v>HORA DEL RECLAMO</v>
      </c>
      <c r="F9" s="18" t="s">
        <v>172</v>
      </c>
      <c r="G9" s="16" t="s">
        <v>56</v>
      </c>
      <c r="H9" s="16" t="s">
        <v>99</v>
      </c>
      <c r="I9" s="18"/>
      <c r="J9" s="16" t="s">
        <v>56</v>
      </c>
      <c r="K9" s="16" t="s">
        <v>94</v>
      </c>
      <c r="L9" s="16" t="s">
        <v>56</v>
      </c>
      <c r="M9" s="16" t="s">
        <v>56</v>
      </c>
    </row>
    <row r="10" spans="1:13">
      <c r="A10" s="16" t="s">
        <v>49</v>
      </c>
      <c r="B10" s="16" t="s">
        <v>50</v>
      </c>
      <c r="C10" s="17" t="s">
        <v>63</v>
      </c>
      <c r="D10" s="18" t="s">
        <v>173</v>
      </c>
      <c r="E10" s="18" t="str">
        <f t="shared" si="0"/>
        <v>DETALLE DEL RECLAMO — FUENTE DEL FRAUDE (TC40, SAFE, ASBANC, CONTRACARGOS)</v>
      </c>
      <c r="F10" s="18" t="s">
        <v>174</v>
      </c>
      <c r="G10" s="16" t="s">
        <v>56</v>
      </c>
      <c r="H10" s="16" t="s">
        <v>99</v>
      </c>
      <c r="I10" s="18"/>
      <c r="J10" s="16" t="s">
        <v>56</v>
      </c>
      <c r="K10" s="16" t="s">
        <v>94</v>
      </c>
      <c r="L10" s="16" t="s">
        <v>56</v>
      </c>
      <c r="M10" s="16" t="s">
        <v>56</v>
      </c>
    </row>
    <row r="11" spans="1:13">
      <c r="A11" s="16" t="s">
        <v>49</v>
      </c>
      <c r="B11" s="16" t="s">
        <v>50</v>
      </c>
      <c r="C11" s="17" t="s">
        <v>63</v>
      </c>
      <c r="D11" s="18" t="s">
        <v>175</v>
      </c>
      <c r="E11" s="18" t="str">
        <f t="shared" si="0"/>
        <v>MEDIO O CANAL DEL RECLAMO</v>
      </c>
      <c r="F11" s="18" t="s">
        <v>176</v>
      </c>
      <c r="G11" s="16" t="s">
        <v>56</v>
      </c>
      <c r="H11" s="16" t="s">
        <v>99</v>
      </c>
      <c r="I11" s="18"/>
      <c r="J11" s="16" t="s">
        <v>56</v>
      </c>
      <c r="K11" s="16" t="s">
        <v>94</v>
      </c>
      <c r="L11" s="16" t="s">
        <v>56</v>
      </c>
      <c r="M11" s="16" t="s">
        <v>56</v>
      </c>
    </row>
    <row r="12" spans="1:13">
      <c r="A12" s="16" t="s">
        <v>49</v>
      </c>
      <c r="B12" s="16" t="s">
        <v>50</v>
      </c>
      <c r="C12" s="17" t="s">
        <v>63</v>
      </c>
      <c r="D12" s="18" t="s">
        <v>177</v>
      </c>
      <c r="E12" s="18" t="str">
        <f t="shared" si="0"/>
        <v>FUENTE DEL RECLAMO</v>
      </c>
      <c r="F12" s="18" t="s">
        <v>178</v>
      </c>
      <c r="G12" s="16" t="s">
        <v>56</v>
      </c>
      <c r="H12" s="16" t="s">
        <v>99</v>
      </c>
      <c r="I12" s="18"/>
      <c r="J12" s="16" t="s">
        <v>56</v>
      </c>
      <c r="K12" s="16" t="s">
        <v>94</v>
      </c>
      <c r="L12" s="16" t="s">
        <v>56</v>
      </c>
      <c r="M12" s="16" t="s">
        <v>56</v>
      </c>
    </row>
    <row r="13" spans="1:13">
      <c r="A13" s="16" t="s">
        <v>49</v>
      </c>
      <c r="B13" s="16" t="s">
        <v>50</v>
      </c>
      <c r="C13" s="17" t="s">
        <v>63</v>
      </c>
      <c r="D13" s="18" t="s">
        <v>179</v>
      </c>
      <c r="E13" s="18" t="str">
        <f t="shared" si="0"/>
        <v>DEPARTAMENTO / DIVISIÓN / ÁREA</v>
      </c>
      <c r="F13" s="18" t="s">
        <v>180</v>
      </c>
      <c r="G13" s="16" t="s">
        <v>56</v>
      </c>
      <c r="H13" s="16" t="s">
        <v>99</v>
      </c>
      <c r="I13" s="18"/>
      <c r="J13" s="16" t="s">
        <v>56</v>
      </c>
      <c r="K13" s="16" t="s">
        <v>94</v>
      </c>
      <c r="L13" s="16" t="s">
        <v>56</v>
      </c>
      <c r="M13" s="16" t="s">
        <v>56</v>
      </c>
    </row>
    <row r="14" spans="1:13">
      <c r="A14" s="16" t="s">
        <v>49</v>
      </c>
      <c r="B14" s="16" t="s">
        <v>50</v>
      </c>
      <c r="C14" s="17" t="s">
        <v>63</v>
      </c>
      <c r="D14" s="18" t="s">
        <v>181</v>
      </c>
      <c r="E14" s="18" t="str">
        <f t="shared" si="0"/>
        <v>CÓDIGO DE EVENTO — IDENTIFICA EL ROL: 8751 ADQ, 8750 EMISOR</v>
      </c>
      <c r="F14" s="18" t="s">
        <v>182</v>
      </c>
      <c r="G14" s="16" t="s">
        <v>56</v>
      </c>
      <c r="H14" s="16" t="s">
        <v>99</v>
      </c>
      <c r="I14" s="18"/>
      <c r="J14" s="16" t="s">
        <v>56</v>
      </c>
      <c r="K14" s="16" t="s">
        <v>94</v>
      </c>
      <c r="L14" s="16" t="s">
        <v>56</v>
      </c>
      <c r="M14" s="16" t="s">
        <v>56</v>
      </c>
    </row>
    <row r="15" spans="1:13">
      <c r="A15" s="16" t="s">
        <v>49</v>
      </c>
      <c r="B15" s="16" t="s">
        <v>50</v>
      </c>
      <c r="C15" s="17" t="s">
        <v>63</v>
      </c>
      <c r="D15" s="18" t="s">
        <v>183</v>
      </c>
      <c r="E15" s="18" t="str">
        <f t="shared" si="0"/>
        <v>ID DEL CLIENTE TITULAR DE LA TARJETA</v>
      </c>
      <c r="F15" s="18" t="s">
        <v>184</v>
      </c>
      <c r="G15" s="16" t="s">
        <v>56</v>
      </c>
      <c r="H15" s="16" t="s">
        <v>99</v>
      </c>
      <c r="I15" s="18"/>
      <c r="J15" s="16" t="s">
        <v>56</v>
      </c>
      <c r="K15" s="16" t="s">
        <v>94</v>
      </c>
      <c r="L15" s="16" t="s">
        <v>56</v>
      </c>
      <c r="M15" s="16" t="s">
        <v>56</v>
      </c>
    </row>
    <row r="16" spans="1:13">
      <c r="A16" s="16" t="s">
        <v>49</v>
      </c>
      <c r="B16" s="16" t="s">
        <v>50</v>
      </c>
      <c r="C16" s="17" t="s">
        <v>63</v>
      </c>
      <c r="D16" s="18" t="s">
        <v>185</v>
      </c>
      <c r="E16" s="18" t="str">
        <f t="shared" si="0"/>
        <v>NÚMERO DE TARJETA EN ENCRIPCIÓN SHA256</v>
      </c>
      <c r="F16" s="18" t="s">
        <v>186</v>
      </c>
      <c r="G16" s="16" t="s">
        <v>56</v>
      </c>
      <c r="H16" s="16" t="s">
        <v>99</v>
      </c>
      <c r="I16" s="18"/>
      <c r="J16" s="16" t="s">
        <v>56</v>
      </c>
      <c r="K16" s="16" t="s">
        <v>94</v>
      </c>
      <c r="L16" s="16" t="s">
        <v>56</v>
      </c>
      <c r="M16" s="16" t="s">
        <v>56</v>
      </c>
    </row>
    <row r="17" spans="1:13">
      <c r="A17" s="16" t="s">
        <v>49</v>
      </c>
      <c r="B17" s="16" t="s">
        <v>50</v>
      </c>
      <c r="C17" s="17" t="s">
        <v>63</v>
      </c>
      <c r="D17" s="18" t="s">
        <v>95</v>
      </c>
      <c r="E17" s="18" t="str">
        <f t="shared" si="0"/>
        <v>FECHA DE LA TRANSACCIÓN</v>
      </c>
      <c r="F17" s="18" t="s">
        <v>187</v>
      </c>
      <c r="G17" s="16" t="s">
        <v>56</v>
      </c>
      <c r="H17" s="16" t="s">
        <v>93</v>
      </c>
      <c r="I17" s="18"/>
      <c r="J17" s="16" t="s">
        <v>56</v>
      </c>
      <c r="K17" s="16" t="s">
        <v>94</v>
      </c>
      <c r="L17" s="16" t="s">
        <v>56</v>
      </c>
      <c r="M17" s="16" t="s">
        <v>94</v>
      </c>
    </row>
    <row r="18" spans="1:13">
      <c r="A18" s="16" t="s">
        <v>49</v>
      </c>
      <c r="B18" s="16" t="s">
        <v>50</v>
      </c>
      <c r="C18" s="17" t="s">
        <v>63</v>
      </c>
      <c r="D18" s="18" t="s">
        <v>127</v>
      </c>
      <c r="E18" s="18" t="str">
        <f t="shared" si="0"/>
        <v>HORA DE LA TRANSACCIÓN</v>
      </c>
      <c r="F18" s="18" t="s">
        <v>188</v>
      </c>
      <c r="G18" s="16" t="s">
        <v>56</v>
      </c>
      <c r="H18" s="16" t="s">
        <v>99</v>
      </c>
      <c r="I18" s="18"/>
      <c r="J18" s="16" t="s">
        <v>56</v>
      </c>
      <c r="K18" s="16" t="s">
        <v>94</v>
      </c>
      <c r="L18" s="16" t="s">
        <v>56</v>
      </c>
      <c r="M18" s="16" t="s">
        <v>56</v>
      </c>
    </row>
    <row r="19" spans="1:13">
      <c r="A19" s="16" t="s">
        <v>49</v>
      </c>
      <c r="B19" s="16" t="s">
        <v>50</v>
      </c>
      <c r="C19" s="17" t="s">
        <v>63</v>
      </c>
      <c r="D19" s="18" t="s">
        <v>129</v>
      </c>
      <c r="E19" s="18" t="str">
        <f t="shared" si="0"/>
        <v>MONTO DE LA TRANSACCIÓN</v>
      </c>
      <c r="F19" s="18" t="s">
        <v>189</v>
      </c>
      <c r="G19" s="16" t="s">
        <v>56</v>
      </c>
      <c r="H19" s="16" t="s">
        <v>108</v>
      </c>
      <c r="I19" s="18"/>
      <c r="J19" s="16" t="s">
        <v>56</v>
      </c>
      <c r="K19" s="16" t="s">
        <v>94</v>
      </c>
      <c r="L19" s="16" t="s">
        <v>56</v>
      </c>
      <c r="M19" s="16" t="s">
        <v>56</v>
      </c>
    </row>
    <row r="20" spans="1:13">
      <c r="A20" s="16" t="s">
        <v>49</v>
      </c>
      <c r="B20" s="16" t="s">
        <v>50</v>
      </c>
      <c r="C20" s="17" t="s">
        <v>63</v>
      </c>
      <c r="D20" s="18" t="s">
        <v>104</v>
      </c>
      <c r="E20" s="18" t="str">
        <f t="shared" si="0"/>
        <v>IDENTIFICACIÓN DE TRANSACCIÓN / NÚMERO DE AUTORIZACIÓN</v>
      </c>
      <c r="F20" s="18" t="s">
        <v>190</v>
      </c>
      <c r="G20" s="16" t="s">
        <v>56</v>
      </c>
      <c r="H20" s="16" t="s">
        <v>99</v>
      </c>
      <c r="I20" s="18"/>
      <c r="J20" s="16" t="s">
        <v>56</v>
      </c>
      <c r="K20" s="16" t="s">
        <v>94</v>
      </c>
      <c r="L20" s="16" t="s">
        <v>56</v>
      </c>
      <c r="M20" s="16" t="s">
        <v>56</v>
      </c>
    </row>
    <row r="21" spans="1:13">
      <c r="A21" s="16" t="s">
        <v>49</v>
      </c>
      <c r="B21" s="16" t="s">
        <v>50</v>
      </c>
      <c r="C21" s="17" t="s">
        <v>63</v>
      </c>
      <c r="D21" s="18" t="s">
        <v>102</v>
      </c>
      <c r="E21" s="18" t="str">
        <f t="shared" si="0"/>
        <v>CÓDIGO DE RESPUESTA</v>
      </c>
      <c r="F21" s="18" t="s">
        <v>191</v>
      </c>
      <c r="G21" s="16" t="s">
        <v>56</v>
      </c>
      <c r="H21" s="16" t="s">
        <v>99</v>
      </c>
      <c r="I21" s="18"/>
      <c r="J21" s="16" t="s">
        <v>56</v>
      </c>
      <c r="K21" s="16" t="s">
        <v>94</v>
      </c>
      <c r="L21" s="16" t="s">
        <v>56</v>
      </c>
      <c r="M21" s="16" t="s">
        <v>56</v>
      </c>
    </row>
    <row r="22" spans="1:13">
      <c r="A22" s="16" t="s">
        <v>49</v>
      </c>
      <c r="B22" s="16" t="s">
        <v>50</v>
      </c>
      <c r="C22" s="17" t="s">
        <v>63</v>
      </c>
      <c r="D22" s="18" t="s">
        <v>192</v>
      </c>
      <c r="E22" s="18" t="str">
        <f t="shared" si="0"/>
        <v>RESULTADO DEL RECLAMO</v>
      </c>
      <c r="F22" s="18" t="s">
        <v>193</v>
      </c>
      <c r="G22" s="16" t="s">
        <v>56</v>
      </c>
      <c r="H22" s="16" t="s">
        <v>99</v>
      </c>
      <c r="I22" s="18"/>
      <c r="J22" s="16" t="s">
        <v>56</v>
      </c>
      <c r="K22" s="16" t="s">
        <v>94</v>
      </c>
      <c r="L22" s="16" t="s">
        <v>56</v>
      </c>
      <c r="M22" s="16" t="s">
        <v>56</v>
      </c>
    </row>
    <row r="23" spans="1:13">
      <c r="A23" s="16" t="s">
        <v>49</v>
      </c>
      <c r="B23" s="16" t="s">
        <v>50</v>
      </c>
      <c r="C23" s="17" t="s">
        <v>63</v>
      </c>
      <c r="D23" s="18" t="s">
        <v>100</v>
      </c>
      <c r="E23" s="18" t="str">
        <f t="shared" si="0"/>
        <v>CÓDIGO DE COMERCIO (ACF)</v>
      </c>
      <c r="F23" s="18" t="s">
        <v>194</v>
      </c>
      <c r="G23" s="16" t="s">
        <v>56</v>
      </c>
      <c r="H23" s="16" t="s">
        <v>99</v>
      </c>
      <c r="I23" s="18"/>
      <c r="J23" s="16" t="s">
        <v>56</v>
      </c>
      <c r="K23" s="16" t="s">
        <v>94</v>
      </c>
      <c r="L23" s="16" t="s">
        <v>56</v>
      </c>
      <c r="M23" s="16" t="s">
        <v>94</v>
      </c>
    </row>
    <row r="24" spans="1:13">
      <c r="A24" s="16" t="s">
        <v>49</v>
      </c>
      <c r="B24" s="16" t="s">
        <v>50</v>
      </c>
      <c r="C24" s="17" t="s">
        <v>63</v>
      </c>
      <c r="D24" s="18" t="s">
        <v>195</v>
      </c>
      <c r="E24" s="18" t="str">
        <f t="shared" si="0"/>
        <v>TARJETA REGISTRO 750 — PAN ENMASCARADO</v>
      </c>
      <c r="F24" s="18" t="s">
        <v>196</v>
      </c>
      <c r="G24" s="16" t="s">
        <v>56</v>
      </c>
      <c r="H24" s="16" t="s">
        <v>99</v>
      </c>
      <c r="I24" s="18"/>
      <c r="J24" s="16" t="s">
        <v>56</v>
      </c>
      <c r="K24" s="16" t="s">
        <v>94</v>
      </c>
      <c r="L24" s="16" t="s">
        <v>56</v>
      </c>
      <c r="M24" s="16" t="s">
        <v>56</v>
      </c>
    </row>
    <row r="25" spans="1:13">
      <c r="A25" s="16" t="s">
        <v>49</v>
      </c>
      <c r="B25" s="16" t="s">
        <v>50</v>
      </c>
      <c r="C25" s="17" t="s">
        <v>63</v>
      </c>
      <c r="D25" s="18" t="s">
        <v>109</v>
      </c>
      <c r="E25" s="18" t="str">
        <f t="shared" si="0"/>
        <v>NOMBRE DEL COMERCIO</v>
      </c>
      <c r="F25" s="18" t="s">
        <v>197</v>
      </c>
      <c r="G25" s="16" t="s">
        <v>56</v>
      </c>
      <c r="H25" s="16" t="s">
        <v>99</v>
      </c>
      <c r="I25" s="18"/>
      <c r="J25" s="16" t="s">
        <v>56</v>
      </c>
      <c r="K25" s="16" t="s">
        <v>94</v>
      </c>
      <c r="L25" s="16" t="s">
        <v>56</v>
      </c>
      <c r="M25" s="16" t="s">
        <v>56</v>
      </c>
    </row>
    <row r="26" spans="1:13">
      <c r="A26" s="16" t="s">
        <v>49</v>
      </c>
      <c r="B26" s="16" t="s">
        <v>50</v>
      </c>
      <c r="C26" s="17" t="s">
        <v>63</v>
      </c>
      <c r="D26" s="18" t="s">
        <v>198</v>
      </c>
      <c r="E26" s="18" t="str">
        <f t="shared" si="0"/>
        <v>MCC — MERCHANT CATEGORY CODE (RUBRO DEL COMERCIO)</v>
      </c>
      <c r="F26" s="18" t="s">
        <v>199</v>
      </c>
      <c r="G26" s="16" t="s">
        <v>56</v>
      </c>
      <c r="H26" s="16" t="s">
        <v>99</v>
      </c>
      <c r="I26" s="18"/>
      <c r="J26" s="16" t="s">
        <v>56</v>
      </c>
      <c r="K26" s="16" t="s">
        <v>94</v>
      </c>
      <c r="L26" s="16" t="s">
        <v>56</v>
      </c>
      <c r="M26" s="16" t="s">
        <v>56</v>
      </c>
    </row>
    <row r="27" spans="1:13">
      <c r="A27" s="16" t="s">
        <v>49</v>
      </c>
      <c r="B27" s="16" t="s">
        <v>50</v>
      </c>
      <c r="C27" s="17" t="s">
        <v>63</v>
      </c>
      <c r="D27" s="18" t="s">
        <v>200</v>
      </c>
      <c r="E27" s="18" t="str">
        <f t="shared" si="0"/>
        <v>BIN DE LA TARJETA (PRIMEROS 6 DÍGITOS)</v>
      </c>
      <c r="F27" s="18" t="s">
        <v>201</v>
      </c>
      <c r="G27" s="16" t="s">
        <v>56</v>
      </c>
      <c r="H27" s="16" t="s">
        <v>99</v>
      </c>
      <c r="I27" s="18"/>
      <c r="J27" s="16" t="s">
        <v>56</v>
      </c>
      <c r="K27" s="16" t="s">
        <v>94</v>
      </c>
      <c r="L27" s="16" t="s">
        <v>56</v>
      </c>
      <c r="M27" s="16" t="s">
        <v>94</v>
      </c>
    </row>
    <row r="28" spans="1:13">
      <c r="A28" s="16" t="s">
        <v>49</v>
      </c>
      <c r="B28" s="16" t="s">
        <v>50</v>
      </c>
      <c r="C28" s="17" t="s">
        <v>63</v>
      </c>
      <c r="D28" s="18" t="s">
        <v>202</v>
      </c>
      <c r="E28" s="18" t="str">
        <f t="shared" si="0"/>
        <v>ENTRY MODE — MODO DE INGRESO DE LA TARJETA</v>
      </c>
      <c r="F28" s="18" t="s">
        <v>203</v>
      </c>
      <c r="G28" s="16" t="s">
        <v>56</v>
      </c>
      <c r="H28" s="16" t="s">
        <v>99</v>
      </c>
      <c r="I28" s="18"/>
      <c r="J28" s="16" t="s">
        <v>56</v>
      </c>
      <c r="K28" s="16" t="s">
        <v>94</v>
      </c>
      <c r="L28" s="16" t="s">
        <v>56</v>
      </c>
      <c r="M28" s="16" t="s">
        <v>56</v>
      </c>
    </row>
    <row r="29" spans="1:13">
      <c r="A29" s="16" t="s">
        <v>49</v>
      </c>
      <c r="B29" s="16" t="s">
        <v>50</v>
      </c>
      <c r="C29" s="17" t="s">
        <v>63</v>
      </c>
      <c r="D29" s="18" t="s">
        <v>204</v>
      </c>
      <c r="E29" s="18" t="str">
        <f t="shared" si="0"/>
        <v>UCAF — UNIVERSAL CARDHOLDER AUTHENTICATION FIELD</v>
      </c>
      <c r="F29" s="18" t="s">
        <v>205</v>
      </c>
      <c r="G29" s="16" t="s">
        <v>56</v>
      </c>
      <c r="H29" s="16" t="s">
        <v>99</v>
      </c>
      <c r="I29" s="18"/>
      <c r="J29" s="16" t="s">
        <v>56</v>
      </c>
      <c r="K29" s="16" t="s">
        <v>94</v>
      </c>
      <c r="L29" s="16" t="s">
        <v>56</v>
      </c>
      <c r="M29" s="16" t="s">
        <v>56</v>
      </c>
    </row>
    <row r="30" spans="1:13">
      <c r="A30" s="16" t="s">
        <v>49</v>
      </c>
      <c r="B30" s="16" t="s">
        <v>50</v>
      </c>
      <c r="C30" s="17" t="s">
        <v>63</v>
      </c>
      <c r="D30" s="18" t="s">
        <v>145</v>
      </c>
      <c r="E30" s="18" t="str">
        <f t="shared" si="0"/>
        <v>CANAL DE LA TRANSACCIÓN</v>
      </c>
      <c r="F30" s="18" t="s">
        <v>206</v>
      </c>
      <c r="G30" s="16" t="s">
        <v>56</v>
      </c>
      <c r="H30" s="16" t="s">
        <v>99</v>
      </c>
      <c r="I30" s="18"/>
      <c r="J30" s="16" t="s">
        <v>56</v>
      </c>
      <c r="K30" s="16" t="s">
        <v>94</v>
      </c>
      <c r="L30" s="16" t="s">
        <v>56</v>
      </c>
      <c r="M30" s="16" t="s">
        <v>56</v>
      </c>
    </row>
    <row r="31" spans="1:13">
      <c r="A31" s="16" t="s">
        <v>49</v>
      </c>
      <c r="B31" s="16" t="s">
        <v>50</v>
      </c>
      <c r="C31" s="17" t="s">
        <v>63</v>
      </c>
      <c r="D31" s="18" t="s">
        <v>207</v>
      </c>
      <c r="E31" s="18" t="str">
        <f t="shared" si="0"/>
        <v>ID DEL COMERCIO EN EL SISTEMA TRANSACCIONAL</v>
      </c>
      <c r="F31" s="18" t="s">
        <v>208</v>
      </c>
      <c r="G31" s="16" t="s">
        <v>56</v>
      </c>
      <c r="H31" s="16" t="s">
        <v>99</v>
      </c>
      <c r="I31" s="18"/>
      <c r="J31" s="16" t="s">
        <v>56</v>
      </c>
      <c r="K31" s="16" t="s">
        <v>94</v>
      </c>
      <c r="L31" s="16" t="s">
        <v>56</v>
      </c>
      <c r="M31" s="16" t="s">
        <v>56</v>
      </c>
    </row>
    <row r="32" spans="1:13">
      <c r="A32" s="16" t="s">
        <v>49</v>
      </c>
      <c r="B32" s="16" t="s">
        <v>50</v>
      </c>
      <c r="C32" s="17" t="s">
        <v>63</v>
      </c>
      <c r="D32" s="18" t="s">
        <v>209</v>
      </c>
      <c r="E32" s="18" t="str">
        <f t="shared" si="0"/>
        <v>CAMPO DISPONIBLE PARA USO FUTURO 1</v>
      </c>
      <c r="F32" s="18" t="s">
        <v>210</v>
      </c>
      <c r="G32" s="16" t="s">
        <v>56</v>
      </c>
      <c r="H32" s="16" t="s">
        <v>99</v>
      </c>
      <c r="I32" s="18"/>
      <c r="J32" s="16" t="s">
        <v>56</v>
      </c>
      <c r="K32" s="16" t="s">
        <v>94</v>
      </c>
      <c r="L32" s="16" t="s">
        <v>56</v>
      </c>
      <c r="M32" s="16" t="s">
        <v>56</v>
      </c>
    </row>
    <row r="33" spans="1:13">
      <c r="A33" s="16" t="s">
        <v>49</v>
      </c>
      <c r="B33" s="16" t="s">
        <v>50</v>
      </c>
      <c r="C33" s="17" t="s">
        <v>63</v>
      </c>
      <c r="D33" s="18" t="s">
        <v>211</v>
      </c>
      <c r="E33" s="18" t="str">
        <f t="shared" si="0"/>
        <v>CAMPO DISPONIBLE PARA USO FUTURO 2</v>
      </c>
      <c r="F33" s="18" t="s">
        <v>212</v>
      </c>
      <c r="G33" s="16" t="s">
        <v>56</v>
      </c>
      <c r="H33" s="16" t="s">
        <v>99</v>
      </c>
      <c r="I33" s="18"/>
      <c r="J33" s="16" t="s">
        <v>56</v>
      </c>
      <c r="K33" s="16" t="s">
        <v>94</v>
      </c>
      <c r="L33" s="16" t="s">
        <v>56</v>
      </c>
      <c r="M33" s="16" t="s">
        <v>56</v>
      </c>
    </row>
    <row r="34" spans="1:13">
      <c r="A34" s="16" t="s">
        <v>49</v>
      </c>
      <c r="B34" s="16" t="s">
        <v>50</v>
      </c>
      <c r="C34" s="17" t="s">
        <v>63</v>
      </c>
      <c r="D34" s="18" t="s">
        <v>213</v>
      </c>
      <c r="E34" s="18" t="str">
        <f t="shared" si="0"/>
        <v>CAMPO DISPONIBLE PARA USO FUTURO 3</v>
      </c>
      <c r="F34" s="18" t="s">
        <v>214</v>
      </c>
      <c r="G34" s="16" t="s">
        <v>56</v>
      </c>
      <c r="H34" s="16" t="s">
        <v>99</v>
      </c>
      <c r="I34" s="18"/>
      <c r="J34" s="16" t="s">
        <v>56</v>
      </c>
      <c r="K34" s="16" t="s">
        <v>94</v>
      </c>
      <c r="L34" s="16" t="s">
        <v>56</v>
      </c>
      <c r="M34" s="16" t="s">
        <v>56</v>
      </c>
    </row>
    <row r="35" spans="1:13">
      <c r="A35" s="16" t="s">
        <v>49</v>
      </c>
      <c r="B35" s="16" t="s">
        <v>50</v>
      </c>
      <c r="C35" s="17" t="s">
        <v>63</v>
      </c>
      <c r="D35" s="18" t="s">
        <v>215</v>
      </c>
      <c r="E35" s="18" t="str">
        <f t="shared" si="0"/>
        <v>CAMPO DISPONIBLE PARA USO FUTURO 4</v>
      </c>
      <c r="F35" s="18" t="s">
        <v>216</v>
      </c>
      <c r="G35" s="16" t="s">
        <v>56</v>
      </c>
      <c r="H35" s="16" t="s">
        <v>99</v>
      </c>
      <c r="I35" s="18"/>
      <c r="J35" s="16" t="s">
        <v>56</v>
      </c>
      <c r="K35" s="16" t="s">
        <v>94</v>
      </c>
      <c r="L35" s="16" t="s">
        <v>56</v>
      </c>
      <c r="M35" s="16" t="s">
        <v>56</v>
      </c>
    </row>
    <row r="36" spans="1:13">
      <c r="A36" s="16" t="s">
        <v>49</v>
      </c>
      <c r="B36" s="16" t="s">
        <v>50</v>
      </c>
      <c r="C36" s="17" t="s">
        <v>63</v>
      </c>
      <c r="D36" s="18" t="s">
        <v>217</v>
      </c>
      <c r="E36" s="18" t="str">
        <f t="shared" si="0"/>
        <v>CAMPO DISPONIBLE PARA USO FUTURO 5</v>
      </c>
      <c r="F36" s="18" t="s">
        <v>218</v>
      </c>
      <c r="G36" s="16" t="s">
        <v>56</v>
      </c>
      <c r="H36" s="16" t="s">
        <v>99</v>
      </c>
      <c r="I36" s="18"/>
      <c r="J36" s="16" t="s">
        <v>56</v>
      </c>
      <c r="K36" s="16" t="s">
        <v>94</v>
      </c>
      <c r="L36" s="16" t="s">
        <v>56</v>
      </c>
      <c r="M36" s="16" t="s">
        <v>56</v>
      </c>
    </row>
    <row r="37" spans="1:13">
      <c r="A37" s="16" t="s">
        <v>49</v>
      </c>
      <c r="B37" s="16" t="s">
        <v>50</v>
      </c>
      <c r="C37" s="17" t="s">
        <v>63</v>
      </c>
      <c r="D37" s="18" t="s">
        <v>219</v>
      </c>
      <c r="E37" s="18" t="str">
        <f t="shared" si="0"/>
        <v>CAMPO DISPONIBLE PARA USO FUTURO 6</v>
      </c>
      <c r="F37" s="18" t="s">
        <v>220</v>
      </c>
      <c r="G37" s="16" t="s">
        <v>56</v>
      </c>
      <c r="H37" s="16" t="s">
        <v>99</v>
      </c>
      <c r="I37" s="18"/>
      <c r="J37" s="16" t="s">
        <v>56</v>
      </c>
      <c r="K37" s="16" t="s">
        <v>94</v>
      </c>
      <c r="L37" s="16" t="s">
        <v>56</v>
      </c>
      <c r="M37" s="16" t="s">
        <v>56</v>
      </c>
    </row>
    <row r="38" spans="1:13">
      <c r="A38" s="16" t="s">
        <v>49</v>
      </c>
      <c r="B38" s="16" t="s">
        <v>50</v>
      </c>
      <c r="C38" s="17" t="s">
        <v>63</v>
      </c>
      <c r="D38" s="18" t="s">
        <v>221</v>
      </c>
      <c r="E38" s="18" t="str">
        <f t="shared" si="0"/>
        <v>CÓDIGO DEL RESULTADO DE LA INVESTIGACIÓN</v>
      </c>
      <c r="F38" s="18" t="s">
        <v>222</v>
      </c>
      <c r="G38" s="16" t="s">
        <v>56</v>
      </c>
      <c r="H38" s="16" t="s">
        <v>99</v>
      </c>
      <c r="I38" s="18"/>
      <c r="J38" s="16" t="s">
        <v>56</v>
      </c>
      <c r="K38" s="16" t="s">
        <v>94</v>
      </c>
      <c r="L38" s="16" t="s">
        <v>56</v>
      </c>
      <c r="M38" s="16" t="s">
        <v>56</v>
      </c>
    </row>
    <row r="39" spans="1:13">
      <c r="A39" s="16" t="s">
        <v>49</v>
      </c>
      <c r="B39" s="16" t="s">
        <v>50</v>
      </c>
      <c r="C39" s="17" t="s">
        <v>63</v>
      </c>
      <c r="D39" s="18" t="s">
        <v>223</v>
      </c>
      <c r="E39" s="18" t="str">
        <f t="shared" si="0"/>
        <v>DETALLE DE LA INVESTIGACIÓN DEL RECLAMO — TIPO DE FRAUDE MARCADO</v>
      </c>
      <c r="F39" s="18" t="s">
        <v>224</v>
      </c>
      <c r="G39" s="16" t="s">
        <v>56</v>
      </c>
      <c r="H39" s="16" t="s">
        <v>99</v>
      </c>
      <c r="I39" s="18"/>
      <c r="J39" s="16" t="s">
        <v>56</v>
      </c>
      <c r="K39" s="16" t="s">
        <v>94</v>
      </c>
      <c r="L39" s="16" t="s">
        <v>56</v>
      </c>
      <c r="M39" s="16" t="s">
        <v>56</v>
      </c>
    </row>
    <row r="40" spans="1:13">
      <c r="A40" s="16" t="s">
        <v>49</v>
      </c>
      <c r="B40" s="16" t="s">
        <v>50</v>
      </c>
      <c r="C40" s="17" t="s">
        <v>63</v>
      </c>
      <c r="D40" s="18" t="s">
        <v>225</v>
      </c>
      <c r="E40" s="18" t="str">
        <f t="shared" si="0"/>
        <v>USUARIO QUE INVESTIGÓ EL RECLAMO</v>
      </c>
      <c r="F40" s="18" t="s">
        <v>226</v>
      </c>
      <c r="G40" s="16" t="s">
        <v>56</v>
      </c>
      <c r="H40" s="16" t="s">
        <v>99</v>
      </c>
      <c r="I40" s="18"/>
      <c r="J40" s="16" t="s">
        <v>56</v>
      </c>
      <c r="K40" s="16" t="s">
        <v>94</v>
      </c>
      <c r="L40" s="16" t="s">
        <v>56</v>
      </c>
      <c r="M40" s="16" t="s">
        <v>56</v>
      </c>
    </row>
    <row r="41" spans="1:13">
      <c r="A41" s="16" t="s">
        <v>49</v>
      </c>
      <c r="B41" s="16" t="s">
        <v>50</v>
      </c>
      <c r="C41" s="17" t="s">
        <v>63</v>
      </c>
      <c r="D41" s="18" t="s">
        <v>227</v>
      </c>
      <c r="E41" s="18" t="str">
        <f t="shared" si="0"/>
        <v>CÓDIGO DE LA INSTITUCIÓN</v>
      </c>
      <c r="F41" s="18" t="s">
        <v>228</v>
      </c>
      <c r="G41" s="16" t="s">
        <v>56</v>
      </c>
      <c r="H41" s="16" t="s">
        <v>99</v>
      </c>
      <c r="I41" s="18"/>
      <c r="J41" s="16" t="s">
        <v>56</v>
      </c>
      <c r="K41" s="16" t="s">
        <v>94</v>
      </c>
      <c r="L41" s="16" t="s">
        <v>56</v>
      </c>
      <c r="M41" s="16" t="s">
        <v>56</v>
      </c>
    </row>
    <row r="42" spans="1:13">
      <c r="A42" s="16" t="s">
        <v>49</v>
      </c>
      <c r="B42" s="16" t="s">
        <v>50</v>
      </c>
      <c r="C42" s="17" t="s">
        <v>63</v>
      </c>
      <c r="D42" s="18" t="s">
        <v>229</v>
      </c>
      <c r="E42" s="18" t="str">
        <f t="shared" si="0"/>
        <v>FECHA DE INVESTIGACIÓN DEL RECLAMO</v>
      </c>
      <c r="F42" s="18" t="s">
        <v>230</v>
      </c>
      <c r="G42" s="16" t="s">
        <v>56</v>
      </c>
      <c r="H42" s="16" t="s">
        <v>93</v>
      </c>
      <c r="I42" s="18"/>
      <c r="J42" s="16" t="s">
        <v>56</v>
      </c>
      <c r="K42" s="16" t="s">
        <v>94</v>
      </c>
      <c r="L42" s="16" t="s">
        <v>56</v>
      </c>
      <c r="M42" s="16" t="s">
        <v>56</v>
      </c>
    </row>
    <row r="43" spans="1:13">
      <c r="A43" s="16" t="s">
        <v>49</v>
      </c>
      <c r="B43" s="16" t="s">
        <v>50</v>
      </c>
      <c r="C43" s="17" t="s">
        <v>63</v>
      </c>
      <c r="D43" s="18" t="s">
        <v>231</v>
      </c>
      <c r="E43" s="18" t="str">
        <f t="shared" si="0"/>
        <v>HORA DE INVESTIGACIÓN DEL RECLAMO</v>
      </c>
      <c r="F43" s="18" t="s">
        <v>232</v>
      </c>
      <c r="G43" s="16" t="s">
        <v>56</v>
      </c>
      <c r="H43" s="16" t="s">
        <v>99</v>
      </c>
      <c r="I43" s="18"/>
      <c r="J43" s="16" t="s">
        <v>56</v>
      </c>
      <c r="K43" s="16" t="s">
        <v>94</v>
      </c>
      <c r="L43" s="16" t="s">
        <v>56</v>
      </c>
      <c r="M43" s="16" t="s">
        <v>56</v>
      </c>
    </row>
    <row r="44" spans="1:13">
      <c r="A44" s="16" t="s">
        <v>49</v>
      </c>
      <c r="B44" s="16" t="s">
        <v>50</v>
      </c>
      <c r="C44" s="17" t="s">
        <v>63</v>
      </c>
      <c r="D44" s="18" t="s">
        <v>233</v>
      </c>
      <c r="E44" s="18" t="str">
        <f t="shared" ref="E44:E47" si="1">UPPER(F44)</f>
        <v>DETECTADO POR SISTEMA DE MONITOREO (0=NO, 1=SÍ)</v>
      </c>
      <c r="F44" s="18" t="s">
        <v>234</v>
      </c>
      <c r="G44" s="16" t="s">
        <v>56</v>
      </c>
      <c r="H44" s="16" t="s">
        <v>99</v>
      </c>
      <c r="I44" s="18"/>
      <c r="J44" s="16" t="s">
        <v>56</v>
      </c>
      <c r="K44" s="16" t="s">
        <v>94</v>
      </c>
      <c r="L44" s="16" t="s">
        <v>56</v>
      </c>
      <c r="M44" s="16" t="s">
        <v>56</v>
      </c>
    </row>
    <row r="45" spans="1:13">
      <c r="A45" s="16" t="s">
        <v>49</v>
      </c>
      <c r="B45" s="16" t="s">
        <v>50</v>
      </c>
      <c r="C45" s="17" t="s">
        <v>63</v>
      </c>
      <c r="D45" s="18" t="s">
        <v>151</v>
      </c>
      <c r="E45" s="18" t="str">
        <f t="shared" si="1"/>
        <v>DATO DE AUDITORÍA: DESCRIPCIÓN DEL APLICATIVO ORIGEN DE LOS DATOS.</v>
      </c>
      <c r="F45" s="18" t="s">
        <v>152</v>
      </c>
      <c r="G45" s="16" t="s">
        <v>56</v>
      </c>
      <c r="H45" s="16" t="s">
        <v>99</v>
      </c>
      <c r="I45" s="18" t="s">
        <v>235</v>
      </c>
      <c r="J45" s="16" t="s">
        <v>56</v>
      </c>
      <c r="K45" s="16" t="s">
        <v>56</v>
      </c>
      <c r="L45" s="16" t="s">
        <v>56</v>
      </c>
      <c r="M45" s="16" t="s">
        <v>56</v>
      </c>
    </row>
    <row r="46" spans="1:13">
      <c r="A46" s="16" t="s">
        <v>49</v>
      </c>
      <c r="B46" s="16" t="s">
        <v>50</v>
      </c>
      <c r="C46" s="17" t="s">
        <v>63</v>
      </c>
      <c r="D46" s="18" t="s">
        <v>154</v>
      </c>
      <c r="E46" s="18" t="str">
        <f t="shared" si="1"/>
        <v>FECHA Y HORA DE INSERCIÓN DEL REGISTRO EN EL MODELO</v>
      </c>
      <c r="F46" s="18" t="s">
        <v>155</v>
      </c>
      <c r="G46" s="16" t="s">
        <v>56</v>
      </c>
      <c r="H46" s="16" t="s">
        <v>156</v>
      </c>
      <c r="I46" s="18" t="s">
        <v>157</v>
      </c>
      <c r="J46" s="16" t="s">
        <v>56</v>
      </c>
      <c r="K46" s="16" t="s">
        <v>56</v>
      </c>
      <c r="L46" s="16" t="s">
        <v>56</v>
      </c>
      <c r="M46" s="16" t="s">
        <v>56</v>
      </c>
    </row>
    <row r="47" spans="1:13">
      <c r="A47" s="16" t="s">
        <v>49</v>
      </c>
      <c r="B47" s="16" t="s">
        <v>50</v>
      </c>
      <c r="C47" s="17" t="s">
        <v>63</v>
      </c>
      <c r="D47" s="18" t="s">
        <v>158</v>
      </c>
      <c r="E47" s="18" t="str">
        <f t="shared" si="1"/>
        <v>USUARIO QUE CREA EL REGISTRO EN LA BD</v>
      </c>
      <c r="F47" s="18" t="s">
        <v>159</v>
      </c>
      <c r="G47" s="16" t="s">
        <v>56</v>
      </c>
      <c r="H47" s="16" t="s">
        <v>99</v>
      </c>
      <c r="I47" s="20" t="s">
        <v>160</v>
      </c>
      <c r="J47" s="16" t="s">
        <v>56</v>
      </c>
      <c r="K47" s="16" t="s">
        <v>56</v>
      </c>
      <c r="L47" s="16" t="s">
        <v>56</v>
      </c>
      <c r="M47" s="16" t="s">
        <v>56</v>
      </c>
    </row>
  </sheetData>
  <hyperlinks>
    <hyperlink ref="I47" r:id="rId1" xr:uid="{2D5F6D78-C635-44B7-9B85-8E673744FC1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DD8A2-5946-4F98-AD2A-109810405DEB}">
  <sheetPr codeName="Hoja6"/>
  <dimension ref="A1:M47"/>
  <sheetViews>
    <sheetView showGridLines="0" topLeftCell="A21" workbookViewId="0">
      <selection activeCell="D3" sqref="D3:D47"/>
    </sheetView>
  </sheetViews>
  <sheetFormatPr defaultColWidth="11.42578125" defaultRowHeight="14.45"/>
  <cols>
    <col min="1" max="4" width="29" customWidth="1"/>
    <col min="5" max="5" width="70.7109375" customWidth="1"/>
    <col min="6" max="6" width="48.28515625" customWidth="1"/>
    <col min="7" max="8" width="29" customWidth="1"/>
    <col min="9" max="9" width="40.5703125" customWidth="1"/>
    <col min="10" max="13" width="29" customWidth="1"/>
  </cols>
  <sheetData>
    <row r="1" spans="1:13" ht="31.15">
      <c r="A1" s="13" t="s">
        <v>14</v>
      </c>
      <c r="B1" s="14" t="s">
        <v>15</v>
      </c>
      <c r="C1" s="14" t="s">
        <v>6</v>
      </c>
      <c r="D1" s="14" t="s">
        <v>7</v>
      </c>
      <c r="E1" s="14" t="s">
        <v>72</v>
      </c>
      <c r="F1" s="14" t="s">
        <v>73</v>
      </c>
      <c r="G1" s="14" t="s">
        <v>74</v>
      </c>
      <c r="H1" s="14" t="s">
        <v>75</v>
      </c>
      <c r="I1" s="14" t="s">
        <v>76</v>
      </c>
      <c r="J1" s="14" t="s">
        <v>77</v>
      </c>
      <c r="K1" s="14" t="s">
        <v>78</v>
      </c>
      <c r="L1" s="14" t="s">
        <v>79</v>
      </c>
      <c r="M1" s="14" t="s">
        <v>80</v>
      </c>
    </row>
    <row r="2" spans="1:13" ht="46.9">
      <c r="A2" s="15" t="s">
        <v>32</v>
      </c>
      <c r="B2" s="15" t="s">
        <v>33</v>
      </c>
      <c r="C2" s="15" t="s">
        <v>81</v>
      </c>
      <c r="D2" s="15" t="s">
        <v>82</v>
      </c>
      <c r="E2" s="15" t="s">
        <v>83</v>
      </c>
      <c r="F2" s="15" t="s">
        <v>84</v>
      </c>
      <c r="G2" s="15" t="s">
        <v>85</v>
      </c>
      <c r="H2" s="15" t="s">
        <v>86</v>
      </c>
      <c r="I2" s="15" t="s">
        <v>87</v>
      </c>
      <c r="J2" s="15" t="s">
        <v>88</v>
      </c>
      <c r="K2" s="15" t="s">
        <v>89</v>
      </c>
      <c r="L2" s="15" t="s">
        <v>90</v>
      </c>
      <c r="M2" s="15" t="s">
        <v>89</v>
      </c>
    </row>
    <row r="3" spans="1:13">
      <c r="A3" s="16" t="s">
        <v>49</v>
      </c>
      <c r="B3" s="16" t="s">
        <v>50</v>
      </c>
      <c r="C3" s="17" t="s">
        <v>65</v>
      </c>
      <c r="D3" s="18" t="s">
        <v>91</v>
      </c>
      <c r="E3" s="18" t="str">
        <f t="shared" ref="E3:E47" si="0">UPPER(F3)</f>
        <v>FECHA DE FOTO/DATOS CONFIGURADA EN EL ETL PARA LA EXTRACCIÓN DE DATOS, CORRESPONDE A APERTURAS DE COMERCIOS HASTA EL CIERRE DEL DÍA ANTERIOR</v>
      </c>
      <c r="F3" s="18" t="s">
        <v>92</v>
      </c>
      <c r="G3" s="16" t="s">
        <v>56</v>
      </c>
      <c r="H3" s="16" t="s">
        <v>93</v>
      </c>
      <c r="I3" s="19">
        <v>45841</v>
      </c>
      <c r="J3" s="16" t="s">
        <v>56</v>
      </c>
      <c r="K3" s="16" t="s">
        <v>56</v>
      </c>
      <c r="L3" s="16" t="s">
        <v>94</v>
      </c>
      <c r="M3" s="16" t="s">
        <v>56</v>
      </c>
    </row>
    <row r="4" spans="1:13">
      <c r="A4" s="16" t="s">
        <v>49</v>
      </c>
      <c r="B4" s="16" t="s">
        <v>50</v>
      </c>
      <c r="C4" s="17" t="s">
        <v>65</v>
      </c>
      <c r="D4" s="18" t="s">
        <v>161</v>
      </c>
      <c r="E4" s="18" t="str">
        <f t="shared" si="0"/>
        <v>CÓDIGO DE RECLAMO</v>
      </c>
      <c r="F4" s="18" t="s">
        <v>162</v>
      </c>
      <c r="G4" s="16" t="s">
        <v>56</v>
      </c>
      <c r="H4" s="16" t="s">
        <v>99</v>
      </c>
      <c r="I4" s="18"/>
      <c r="J4" s="16" t="s">
        <v>56</v>
      </c>
      <c r="K4" s="16" t="s">
        <v>94</v>
      </c>
      <c r="L4" s="16" t="s">
        <v>56</v>
      </c>
      <c r="M4" s="16" t="s">
        <v>56</v>
      </c>
    </row>
    <row r="5" spans="1:13">
      <c r="A5" s="16" t="s">
        <v>49</v>
      </c>
      <c r="B5" s="16" t="s">
        <v>50</v>
      </c>
      <c r="C5" s="17" t="s">
        <v>65</v>
      </c>
      <c r="D5" s="18" t="s">
        <v>163</v>
      </c>
      <c r="E5" s="18" t="str">
        <f t="shared" si="0"/>
        <v>CORRELATIVO ÚNICO DEL REGISTRO. FORMATO YYMMDD + SECUENCIA DE 4 DÍGITOS</v>
      </c>
      <c r="F5" s="18" t="s">
        <v>164</v>
      </c>
      <c r="G5" s="16" t="s">
        <v>56</v>
      </c>
      <c r="H5" s="16" t="s">
        <v>99</v>
      </c>
      <c r="I5" s="18"/>
      <c r="J5" s="16" t="s">
        <v>56</v>
      </c>
      <c r="K5" s="16" t="s">
        <v>94</v>
      </c>
      <c r="L5" s="16" t="s">
        <v>56</v>
      </c>
      <c r="M5" s="16" t="s">
        <v>56</v>
      </c>
    </row>
    <row r="6" spans="1:13">
      <c r="A6" s="16" t="s">
        <v>49</v>
      </c>
      <c r="B6" s="16" t="s">
        <v>50</v>
      </c>
      <c r="C6" s="17" t="s">
        <v>65</v>
      </c>
      <c r="D6" s="18" t="s">
        <v>165</v>
      </c>
      <c r="E6" s="18" t="str">
        <f t="shared" si="0"/>
        <v>USUARIO QUE TOMÓ EL RECLAMO</v>
      </c>
      <c r="F6" s="18" t="s">
        <v>166</v>
      </c>
      <c r="G6" s="16" t="s">
        <v>56</v>
      </c>
      <c r="H6" s="16" t="s">
        <v>99</v>
      </c>
      <c r="I6" s="18"/>
      <c r="J6" s="16" t="s">
        <v>56</v>
      </c>
      <c r="K6" s="16" t="s">
        <v>94</v>
      </c>
      <c r="L6" s="16" t="s">
        <v>56</v>
      </c>
      <c r="M6" s="16" t="s">
        <v>56</v>
      </c>
    </row>
    <row r="7" spans="1:13">
      <c r="A7" s="16" t="s">
        <v>49</v>
      </c>
      <c r="B7" s="16" t="s">
        <v>50</v>
      </c>
      <c r="C7" s="17" t="s">
        <v>65</v>
      </c>
      <c r="D7" s="18" t="s">
        <v>167</v>
      </c>
      <c r="E7" s="18" t="str">
        <f t="shared" si="0"/>
        <v>SUCURSAL DE RECLAMO</v>
      </c>
      <c r="F7" s="18" t="s">
        <v>168</v>
      </c>
      <c r="G7" s="16" t="s">
        <v>56</v>
      </c>
      <c r="H7" s="16" t="s">
        <v>99</v>
      </c>
      <c r="I7" s="18"/>
      <c r="J7" s="16" t="s">
        <v>56</v>
      </c>
      <c r="K7" s="16" t="s">
        <v>94</v>
      </c>
      <c r="L7" s="16" t="s">
        <v>56</v>
      </c>
      <c r="M7" s="16" t="s">
        <v>56</v>
      </c>
    </row>
    <row r="8" spans="1:13">
      <c r="A8" s="16" t="s">
        <v>49</v>
      </c>
      <c r="B8" s="16" t="s">
        <v>50</v>
      </c>
      <c r="C8" s="17" t="s">
        <v>65</v>
      </c>
      <c r="D8" s="18" t="s">
        <v>169</v>
      </c>
      <c r="E8" s="18" t="str">
        <f t="shared" si="0"/>
        <v>FECHA DEL RECLAMO</v>
      </c>
      <c r="F8" s="18" t="s">
        <v>170</v>
      </c>
      <c r="G8" s="16" t="s">
        <v>56</v>
      </c>
      <c r="H8" s="16" t="s">
        <v>93</v>
      </c>
      <c r="I8" s="18"/>
      <c r="J8" s="16" t="s">
        <v>56</v>
      </c>
      <c r="K8" s="16" t="s">
        <v>94</v>
      </c>
      <c r="L8" s="16" t="s">
        <v>56</v>
      </c>
      <c r="M8" s="16" t="s">
        <v>94</v>
      </c>
    </row>
    <row r="9" spans="1:13">
      <c r="A9" s="16" t="s">
        <v>49</v>
      </c>
      <c r="B9" s="16" t="s">
        <v>50</v>
      </c>
      <c r="C9" s="17" t="s">
        <v>65</v>
      </c>
      <c r="D9" s="18" t="s">
        <v>171</v>
      </c>
      <c r="E9" s="18" t="str">
        <f t="shared" si="0"/>
        <v>HORA DEL RECLAMO</v>
      </c>
      <c r="F9" s="18" t="s">
        <v>172</v>
      </c>
      <c r="G9" s="16" t="s">
        <v>56</v>
      </c>
      <c r="H9" s="16" t="s">
        <v>99</v>
      </c>
      <c r="I9" s="18"/>
      <c r="J9" s="16" t="s">
        <v>56</v>
      </c>
      <c r="K9" s="16" t="s">
        <v>94</v>
      </c>
      <c r="L9" s="16" t="s">
        <v>56</v>
      </c>
      <c r="M9" s="16" t="s">
        <v>56</v>
      </c>
    </row>
    <row r="10" spans="1:13">
      <c r="A10" s="16" t="s">
        <v>49</v>
      </c>
      <c r="B10" s="16" t="s">
        <v>50</v>
      </c>
      <c r="C10" s="17" t="s">
        <v>65</v>
      </c>
      <c r="D10" s="18" t="s">
        <v>173</v>
      </c>
      <c r="E10" s="18" t="str">
        <f t="shared" si="0"/>
        <v>DETALLE DEL RECLAMO — FUENTE DEL FRAUDE (TC40, SAFE, ASBANC, CONTRACARGOS)</v>
      </c>
      <c r="F10" s="18" t="s">
        <v>174</v>
      </c>
      <c r="G10" s="16" t="s">
        <v>56</v>
      </c>
      <c r="H10" s="16" t="s">
        <v>99</v>
      </c>
      <c r="I10" s="18"/>
      <c r="J10" s="16" t="s">
        <v>56</v>
      </c>
      <c r="K10" s="16" t="s">
        <v>94</v>
      </c>
      <c r="L10" s="16" t="s">
        <v>56</v>
      </c>
      <c r="M10" s="16" t="s">
        <v>56</v>
      </c>
    </row>
    <row r="11" spans="1:13">
      <c r="A11" s="16" t="s">
        <v>49</v>
      </c>
      <c r="B11" s="16" t="s">
        <v>50</v>
      </c>
      <c r="C11" s="17" t="s">
        <v>65</v>
      </c>
      <c r="D11" s="18" t="s">
        <v>175</v>
      </c>
      <c r="E11" s="18" t="str">
        <f t="shared" si="0"/>
        <v>MEDIO O CANAL DEL RECLAMO</v>
      </c>
      <c r="F11" s="18" t="s">
        <v>176</v>
      </c>
      <c r="G11" s="16" t="s">
        <v>56</v>
      </c>
      <c r="H11" s="16" t="s">
        <v>99</v>
      </c>
      <c r="I11" s="18"/>
      <c r="J11" s="16" t="s">
        <v>56</v>
      </c>
      <c r="K11" s="16" t="s">
        <v>94</v>
      </c>
      <c r="L11" s="16" t="s">
        <v>56</v>
      </c>
      <c r="M11" s="16" t="s">
        <v>56</v>
      </c>
    </row>
    <row r="12" spans="1:13">
      <c r="A12" s="16" t="s">
        <v>49</v>
      </c>
      <c r="B12" s="16" t="s">
        <v>50</v>
      </c>
      <c r="C12" s="17" t="s">
        <v>65</v>
      </c>
      <c r="D12" s="18" t="s">
        <v>177</v>
      </c>
      <c r="E12" s="18" t="str">
        <f t="shared" si="0"/>
        <v>FUENTE DEL RECLAMO</v>
      </c>
      <c r="F12" s="18" t="s">
        <v>178</v>
      </c>
      <c r="G12" s="16" t="s">
        <v>56</v>
      </c>
      <c r="H12" s="16" t="s">
        <v>99</v>
      </c>
      <c r="I12" s="18"/>
      <c r="J12" s="16" t="s">
        <v>56</v>
      </c>
      <c r="K12" s="16" t="s">
        <v>94</v>
      </c>
      <c r="L12" s="16" t="s">
        <v>56</v>
      </c>
      <c r="M12" s="16" t="s">
        <v>56</v>
      </c>
    </row>
    <row r="13" spans="1:13">
      <c r="A13" s="16" t="s">
        <v>49</v>
      </c>
      <c r="B13" s="16" t="s">
        <v>50</v>
      </c>
      <c r="C13" s="17" t="s">
        <v>65</v>
      </c>
      <c r="D13" s="18" t="s">
        <v>179</v>
      </c>
      <c r="E13" s="18" t="str">
        <f t="shared" si="0"/>
        <v>DEPARTAMENTO / DIVISIÓN / ÁREA</v>
      </c>
      <c r="F13" s="18" t="s">
        <v>180</v>
      </c>
      <c r="G13" s="16" t="s">
        <v>56</v>
      </c>
      <c r="H13" s="16" t="s">
        <v>99</v>
      </c>
      <c r="I13" s="18"/>
      <c r="J13" s="16" t="s">
        <v>56</v>
      </c>
      <c r="K13" s="16" t="s">
        <v>94</v>
      </c>
      <c r="L13" s="16" t="s">
        <v>56</v>
      </c>
      <c r="M13" s="16" t="s">
        <v>56</v>
      </c>
    </row>
    <row r="14" spans="1:13">
      <c r="A14" s="16" t="s">
        <v>49</v>
      </c>
      <c r="B14" s="16" t="s">
        <v>50</v>
      </c>
      <c r="C14" s="17" t="s">
        <v>65</v>
      </c>
      <c r="D14" s="18" t="s">
        <v>181</v>
      </c>
      <c r="E14" s="18" t="str">
        <f t="shared" si="0"/>
        <v>CÓDIGO DE EVENTO — IDENTIFICA EL ROL: 8751 ADQ, 8750 EMISOR</v>
      </c>
      <c r="F14" s="18" t="s">
        <v>182</v>
      </c>
      <c r="G14" s="16" t="s">
        <v>56</v>
      </c>
      <c r="H14" s="16" t="s">
        <v>99</v>
      </c>
      <c r="I14" s="18"/>
      <c r="J14" s="16" t="s">
        <v>56</v>
      </c>
      <c r="K14" s="16" t="s">
        <v>94</v>
      </c>
      <c r="L14" s="16" t="s">
        <v>56</v>
      </c>
      <c r="M14" s="16" t="s">
        <v>56</v>
      </c>
    </row>
    <row r="15" spans="1:13">
      <c r="A15" s="16" t="s">
        <v>49</v>
      </c>
      <c r="B15" s="16" t="s">
        <v>50</v>
      </c>
      <c r="C15" s="17" t="s">
        <v>65</v>
      </c>
      <c r="D15" s="18" t="s">
        <v>183</v>
      </c>
      <c r="E15" s="18" t="str">
        <f t="shared" si="0"/>
        <v>ID DEL CLIENTE TITULAR DE LA TARJETA</v>
      </c>
      <c r="F15" s="18" t="s">
        <v>184</v>
      </c>
      <c r="G15" s="16" t="s">
        <v>56</v>
      </c>
      <c r="H15" s="16" t="s">
        <v>99</v>
      </c>
      <c r="I15" s="18"/>
      <c r="J15" s="16" t="s">
        <v>56</v>
      </c>
      <c r="K15" s="16" t="s">
        <v>94</v>
      </c>
      <c r="L15" s="16" t="s">
        <v>56</v>
      </c>
      <c r="M15" s="16" t="s">
        <v>56</v>
      </c>
    </row>
    <row r="16" spans="1:13">
      <c r="A16" s="16" t="s">
        <v>49</v>
      </c>
      <c r="B16" s="16" t="s">
        <v>50</v>
      </c>
      <c r="C16" s="17" t="s">
        <v>65</v>
      </c>
      <c r="D16" s="18" t="s">
        <v>185</v>
      </c>
      <c r="E16" s="18" t="str">
        <f t="shared" si="0"/>
        <v>NÚMERO DE TARJETA EN ENCRIPCIÓN SHA256</v>
      </c>
      <c r="F16" s="18" t="s">
        <v>186</v>
      </c>
      <c r="G16" s="16" t="s">
        <v>56</v>
      </c>
      <c r="H16" s="16" t="s">
        <v>99</v>
      </c>
      <c r="I16" s="18"/>
      <c r="J16" s="16" t="s">
        <v>56</v>
      </c>
      <c r="K16" s="16" t="s">
        <v>94</v>
      </c>
      <c r="L16" s="16" t="s">
        <v>56</v>
      </c>
      <c r="M16" s="16" t="s">
        <v>56</v>
      </c>
    </row>
    <row r="17" spans="1:13">
      <c r="A17" s="16" t="s">
        <v>49</v>
      </c>
      <c r="B17" s="16" t="s">
        <v>50</v>
      </c>
      <c r="C17" s="17" t="s">
        <v>65</v>
      </c>
      <c r="D17" s="18" t="s">
        <v>95</v>
      </c>
      <c r="E17" s="18" t="str">
        <f t="shared" si="0"/>
        <v>FECHA DE LA TRANSACCIÓN</v>
      </c>
      <c r="F17" s="18" t="s">
        <v>187</v>
      </c>
      <c r="G17" s="16" t="s">
        <v>56</v>
      </c>
      <c r="H17" s="16" t="s">
        <v>93</v>
      </c>
      <c r="I17" s="18"/>
      <c r="J17" s="16" t="s">
        <v>56</v>
      </c>
      <c r="K17" s="16" t="s">
        <v>94</v>
      </c>
      <c r="L17" s="16" t="s">
        <v>56</v>
      </c>
      <c r="M17" s="16" t="s">
        <v>94</v>
      </c>
    </row>
    <row r="18" spans="1:13">
      <c r="A18" s="16" t="s">
        <v>49</v>
      </c>
      <c r="B18" s="16" t="s">
        <v>50</v>
      </c>
      <c r="C18" s="17" t="s">
        <v>65</v>
      </c>
      <c r="D18" s="18" t="s">
        <v>127</v>
      </c>
      <c r="E18" s="18" t="str">
        <f t="shared" si="0"/>
        <v>HORA DE LA TRANSACCIÓN</v>
      </c>
      <c r="F18" s="18" t="s">
        <v>188</v>
      </c>
      <c r="G18" s="16" t="s">
        <v>56</v>
      </c>
      <c r="H18" s="16" t="s">
        <v>99</v>
      </c>
      <c r="I18" s="18"/>
      <c r="J18" s="16" t="s">
        <v>56</v>
      </c>
      <c r="K18" s="16" t="s">
        <v>94</v>
      </c>
      <c r="L18" s="16" t="s">
        <v>56</v>
      </c>
      <c r="M18" s="16" t="s">
        <v>56</v>
      </c>
    </row>
    <row r="19" spans="1:13">
      <c r="A19" s="16" t="s">
        <v>49</v>
      </c>
      <c r="B19" s="16" t="s">
        <v>50</v>
      </c>
      <c r="C19" s="17" t="s">
        <v>65</v>
      </c>
      <c r="D19" s="18" t="s">
        <v>129</v>
      </c>
      <c r="E19" s="18" t="str">
        <f t="shared" si="0"/>
        <v>MONTO DE LA TRANSACCIÓN</v>
      </c>
      <c r="F19" s="18" t="s">
        <v>189</v>
      </c>
      <c r="G19" s="16" t="s">
        <v>56</v>
      </c>
      <c r="H19" s="16" t="s">
        <v>108</v>
      </c>
      <c r="I19" s="18"/>
      <c r="J19" s="16" t="s">
        <v>56</v>
      </c>
      <c r="K19" s="16" t="s">
        <v>94</v>
      </c>
      <c r="L19" s="16" t="s">
        <v>56</v>
      </c>
      <c r="M19" s="16" t="s">
        <v>56</v>
      </c>
    </row>
    <row r="20" spans="1:13">
      <c r="A20" s="16" t="s">
        <v>49</v>
      </c>
      <c r="B20" s="16" t="s">
        <v>50</v>
      </c>
      <c r="C20" s="17" t="s">
        <v>65</v>
      </c>
      <c r="D20" s="18" t="s">
        <v>104</v>
      </c>
      <c r="E20" s="18" t="str">
        <f t="shared" si="0"/>
        <v>IDENTIFICACIÓN DE TRANSACCIÓN / NÚMERO DE AUTORIZACIÓN</v>
      </c>
      <c r="F20" s="18" t="s">
        <v>190</v>
      </c>
      <c r="G20" s="16" t="s">
        <v>56</v>
      </c>
      <c r="H20" s="16" t="s">
        <v>99</v>
      </c>
      <c r="I20" s="18"/>
      <c r="J20" s="16" t="s">
        <v>56</v>
      </c>
      <c r="K20" s="16" t="s">
        <v>94</v>
      </c>
      <c r="L20" s="16" t="s">
        <v>56</v>
      </c>
      <c r="M20" s="16" t="s">
        <v>56</v>
      </c>
    </row>
    <row r="21" spans="1:13">
      <c r="A21" s="16" t="s">
        <v>49</v>
      </c>
      <c r="B21" s="16" t="s">
        <v>50</v>
      </c>
      <c r="C21" s="17" t="s">
        <v>65</v>
      </c>
      <c r="D21" s="18" t="s">
        <v>102</v>
      </c>
      <c r="E21" s="18" t="str">
        <f t="shared" si="0"/>
        <v>CÓDIGO DE RESPUESTA</v>
      </c>
      <c r="F21" s="18" t="s">
        <v>191</v>
      </c>
      <c r="G21" s="16" t="s">
        <v>56</v>
      </c>
      <c r="H21" s="16" t="s">
        <v>99</v>
      </c>
      <c r="I21" s="18"/>
      <c r="J21" s="16" t="s">
        <v>56</v>
      </c>
      <c r="K21" s="16" t="s">
        <v>94</v>
      </c>
      <c r="L21" s="16" t="s">
        <v>56</v>
      </c>
      <c r="M21" s="16" t="s">
        <v>56</v>
      </c>
    </row>
    <row r="22" spans="1:13">
      <c r="A22" s="16" t="s">
        <v>49</v>
      </c>
      <c r="B22" s="16" t="s">
        <v>50</v>
      </c>
      <c r="C22" s="17" t="s">
        <v>65</v>
      </c>
      <c r="D22" s="18" t="s">
        <v>192</v>
      </c>
      <c r="E22" s="18" t="str">
        <f t="shared" si="0"/>
        <v>RESULTADO DEL RECLAMO</v>
      </c>
      <c r="F22" s="18" t="s">
        <v>193</v>
      </c>
      <c r="G22" s="16" t="s">
        <v>56</v>
      </c>
      <c r="H22" s="16" t="s">
        <v>99</v>
      </c>
      <c r="I22" s="18"/>
      <c r="J22" s="16" t="s">
        <v>56</v>
      </c>
      <c r="K22" s="16" t="s">
        <v>94</v>
      </c>
      <c r="L22" s="16" t="s">
        <v>56</v>
      </c>
      <c r="M22" s="16" t="s">
        <v>56</v>
      </c>
    </row>
    <row r="23" spans="1:13">
      <c r="A23" s="16" t="s">
        <v>49</v>
      </c>
      <c r="B23" s="16" t="s">
        <v>50</v>
      </c>
      <c r="C23" s="17" t="s">
        <v>65</v>
      </c>
      <c r="D23" s="18" t="s">
        <v>100</v>
      </c>
      <c r="E23" s="18" t="str">
        <f t="shared" si="0"/>
        <v>CÓDIGO DE COMERCIO (ACF)</v>
      </c>
      <c r="F23" s="18" t="s">
        <v>194</v>
      </c>
      <c r="G23" s="16" t="s">
        <v>56</v>
      </c>
      <c r="H23" s="16" t="s">
        <v>99</v>
      </c>
      <c r="I23" s="18"/>
      <c r="J23" s="16" t="s">
        <v>56</v>
      </c>
      <c r="K23" s="16" t="s">
        <v>94</v>
      </c>
      <c r="L23" s="16" t="s">
        <v>56</v>
      </c>
      <c r="M23" s="16" t="s">
        <v>94</v>
      </c>
    </row>
    <row r="24" spans="1:13">
      <c r="A24" s="16" t="s">
        <v>49</v>
      </c>
      <c r="B24" s="16" t="s">
        <v>50</v>
      </c>
      <c r="C24" s="17" t="s">
        <v>65</v>
      </c>
      <c r="D24" s="18" t="s">
        <v>195</v>
      </c>
      <c r="E24" s="18" t="str">
        <f t="shared" si="0"/>
        <v>TARJETA REGISTRO 750 — PAN ENMASCARADO</v>
      </c>
      <c r="F24" s="18" t="s">
        <v>196</v>
      </c>
      <c r="G24" s="16" t="s">
        <v>56</v>
      </c>
      <c r="H24" s="16" t="s">
        <v>99</v>
      </c>
      <c r="I24" s="18"/>
      <c r="J24" s="16" t="s">
        <v>56</v>
      </c>
      <c r="K24" s="16" t="s">
        <v>94</v>
      </c>
      <c r="L24" s="16" t="s">
        <v>56</v>
      </c>
      <c r="M24" s="16" t="s">
        <v>56</v>
      </c>
    </row>
    <row r="25" spans="1:13">
      <c r="A25" s="16" t="s">
        <v>49</v>
      </c>
      <c r="B25" s="16" t="s">
        <v>50</v>
      </c>
      <c r="C25" s="17" t="s">
        <v>65</v>
      </c>
      <c r="D25" s="18" t="s">
        <v>109</v>
      </c>
      <c r="E25" s="18" t="str">
        <f t="shared" si="0"/>
        <v>NOMBRE DEL COMERCIO</v>
      </c>
      <c r="F25" s="18" t="s">
        <v>197</v>
      </c>
      <c r="G25" s="16" t="s">
        <v>56</v>
      </c>
      <c r="H25" s="16" t="s">
        <v>99</v>
      </c>
      <c r="I25" s="18"/>
      <c r="J25" s="16" t="s">
        <v>56</v>
      </c>
      <c r="K25" s="16" t="s">
        <v>94</v>
      </c>
      <c r="L25" s="16" t="s">
        <v>56</v>
      </c>
      <c r="M25" s="16" t="s">
        <v>56</v>
      </c>
    </row>
    <row r="26" spans="1:13">
      <c r="A26" s="16" t="s">
        <v>49</v>
      </c>
      <c r="B26" s="16" t="s">
        <v>50</v>
      </c>
      <c r="C26" s="17" t="s">
        <v>65</v>
      </c>
      <c r="D26" s="18" t="s">
        <v>198</v>
      </c>
      <c r="E26" s="18" t="str">
        <f t="shared" si="0"/>
        <v>MCC — MERCHANT CATEGORY CODE (RUBRO DEL COMERCIO)</v>
      </c>
      <c r="F26" s="18" t="s">
        <v>199</v>
      </c>
      <c r="G26" s="16" t="s">
        <v>56</v>
      </c>
      <c r="H26" s="16" t="s">
        <v>99</v>
      </c>
      <c r="I26" s="18"/>
      <c r="J26" s="16" t="s">
        <v>56</v>
      </c>
      <c r="K26" s="16" t="s">
        <v>94</v>
      </c>
      <c r="L26" s="16" t="s">
        <v>56</v>
      </c>
      <c r="M26" s="16" t="s">
        <v>56</v>
      </c>
    </row>
    <row r="27" spans="1:13">
      <c r="A27" s="16" t="s">
        <v>49</v>
      </c>
      <c r="B27" s="16" t="s">
        <v>50</v>
      </c>
      <c r="C27" s="17" t="s">
        <v>65</v>
      </c>
      <c r="D27" s="18" t="s">
        <v>200</v>
      </c>
      <c r="E27" s="18" t="str">
        <f t="shared" si="0"/>
        <v>BIN DE LA TARJETA (PRIMEROS 6 DÍGITOS)</v>
      </c>
      <c r="F27" s="18" t="s">
        <v>201</v>
      </c>
      <c r="G27" s="16" t="s">
        <v>56</v>
      </c>
      <c r="H27" s="16" t="s">
        <v>99</v>
      </c>
      <c r="I27" s="18"/>
      <c r="J27" s="16" t="s">
        <v>56</v>
      </c>
      <c r="K27" s="16" t="s">
        <v>94</v>
      </c>
      <c r="L27" s="16" t="s">
        <v>56</v>
      </c>
      <c r="M27" s="16" t="s">
        <v>94</v>
      </c>
    </row>
    <row r="28" spans="1:13">
      <c r="A28" s="16" t="s">
        <v>49</v>
      </c>
      <c r="B28" s="16" t="s">
        <v>50</v>
      </c>
      <c r="C28" s="17" t="s">
        <v>65</v>
      </c>
      <c r="D28" s="18" t="s">
        <v>202</v>
      </c>
      <c r="E28" s="18" t="str">
        <f t="shared" si="0"/>
        <v>ENTRY MODE — MODO DE INGRESO DE LA TARJETA</v>
      </c>
      <c r="F28" s="18" t="s">
        <v>203</v>
      </c>
      <c r="G28" s="16" t="s">
        <v>56</v>
      </c>
      <c r="H28" s="16" t="s">
        <v>99</v>
      </c>
      <c r="I28" s="18"/>
      <c r="J28" s="16" t="s">
        <v>56</v>
      </c>
      <c r="K28" s="16" t="s">
        <v>94</v>
      </c>
      <c r="L28" s="16" t="s">
        <v>56</v>
      </c>
      <c r="M28" s="16" t="s">
        <v>56</v>
      </c>
    </row>
    <row r="29" spans="1:13">
      <c r="A29" s="16" t="s">
        <v>49</v>
      </c>
      <c r="B29" s="16" t="s">
        <v>50</v>
      </c>
      <c r="C29" s="17" t="s">
        <v>65</v>
      </c>
      <c r="D29" s="18" t="s">
        <v>204</v>
      </c>
      <c r="E29" s="18" t="str">
        <f t="shared" si="0"/>
        <v>UCAF — UNIVERSAL CARDHOLDER AUTHENTICATION FIELD</v>
      </c>
      <c r="F29" s="18" t="s">
        <v>205</v>
      </c>
      <c r="G29" s="16" t="s">
        <v>56</v>
      </c>
      <c r="H29" s="16" t="s">
        <v>99</v>
      </c>
      <c r="I29" s="18"/>
      <c r="J29" s="16" t="s">
        <v>56</v>
      </c>
      <c r="K29" s="16" t="s">
        <v>94</v>
      </c>
      <c r="L29" s="16" t="s">
        <v>56</v>
      </c>
      <c r="M29" s="16" t="s">
        <v>56</v>
      </c>
    </row>
    <row r="30" spans="1:13">
      <c r="A30" s="16" t="s">
        <v>49</v>
      </c>
      <c r="B30" s="16" t="s">
        <v>50</v>
      </c>
      <c r="C30" s="17" t="s">
        <v>65</v>
      </c>
      <c r="D30" s="18" t="s">
        <v>145</v>
      </c>
      <c r="E30" s="18" t="str">
        <f t="shared" si="0"/>
        <v>CANAL DE LA TRANSACCIÓN</v>
      </c>
      <c r="F30" s="18" t="s">
        <v>206</v>
      </c>
      <c r="G30" s="16" t="s">
        <v>56</v>
      </c>
      <c r="H30" s="16" t="s">
        <v>99</v>
      </c>
      <c r="I30" s="18"/>
      <c r="J30" s="16" t="s">
        <v>56</v>
      </c>
      <c r="K30" s="16" t="s">
        <v>94</v>
      </c>
      <c r="L30" s="16" t="s">
        <v>56</v>
      </c>
      <c r="M30" s="16" t="s">
        <v>56</v>
      </c>
    </row>
    <row r="31" spans="1:13">
      <c r="A31" s="16" t="s">
        <v>49</v>
      </c>
      <c r="B31" s="16" t="s">
        <v>50</v>
      </c>
      <c r="C31" s="17" t="s">
        <v>65</v>
      </c>
      <c r="D31" s="18" t="s">
        <v>207</v>
      </c>
      <c r="E31" s="18" t="str">
        <f t="shared" si="0"/>
        <v>ID DEL COMERCIO EN EL SISTEMA TRANSACCIONAL</v>
      </c>
      <c r="F31" s="18" t="s">
        <v>208</v>
      </c>
      <c r="G31" s="16" t="s">
        <v>56</v>
      </c>
      <c r="H31" s="16" t="s">
        <v>99</v>
      </c>
      <c r="I31" s="18"/>
      <c r="J31" s="16" t="s">
        <v>56</v>
      </c>
      <c r="K31" s="16" t="s">
        <v>94</v>
      </c>
      <c r="L31" s="16" t="s">
        <v>56</v>
      </c>
      <c r="M31" s="16" t="s">
        <v>56</v>
      </c>
    </row>
    <row r="32" spans="1:13">
      <c r="A32" s="16" t="s">
        <v>49</v>
      </c>
      <c r="B32" s="16" t="s">
        <v>50</v>
      </c>
      <c r="C32" s="17" t="s">
        <v>65</v>
      </c>
      <c r="D32" s="18" t="s">
        <v>209</v>
      </c>
      <c r="E32" s="18" t="str">
        <f t="shared" si="0"/>
        <v>CAMPO DISPONIBLE PARA USO FUTURO 1</v>
      </c>
      <c r="F32" s="18" t="s">
        <v>210</v>
      </c>
      <c r="G32" s="16" t="s">
        <v>56</v>
      </c>
      <c r="H32" s="16" t="s">
        <v>99</v>
      </c>
      <c r="I32" s="18"/>
      <c r="J32" s="16" t="s">
        <v>56</v>
      </c>
      <c r="K32" s="16" t="s">
        <v>94</v>
      </c>
      <c r="L32" s="16" t="s">
        <v>56</v>
      </c>
      <c r="M32" s="16" t="s">
        <v>56</v>
      </c>
    </row>
    <row r="33" spans="1:13">
      <c r="A33" s="16" t="s">
        <v>49</v>
      </c>
      <c r="B33" s="16" t="s">
        <v>50</v>
      </c>
      <c r="C33" s="17" t="s">
        <v>65</v>
      </c>
      <c r="D33" s="18" t="s">
        <v>211</v>
      </c>
      <c r="E33" s="18" t="str">
        <f t="shared" si="0"/>
        <v>CAMPO DISPONIBLE PARA USO FUTURO 2</v>
      </c>
      <c r="F33" s="18" t="s">
        <v>212</v>
      </c>
      <c r="G33" s="16" t="s">
        <v>56</v>
      </c>
      <c r="H33" s="16" t="s">
        <v>99</v>
      </c>
      <c r="I33" s="18"/>
      <c r="J33" s="16" t="s">
        <v>56</v>
      </c>
      <c r="K33" s="16" t="s">
        <v>94</v>
      </c>
      <c r="L33" s="16" t="s">
        <v>56</v>
      </c>
      <c r="M33" s="16" t="s">
        <v>56</v>
      </c>
    </row>
    <row r="34" spans="1:13">
      <c r="A34" s="16" t="s">
        <v>49</v>
      </c>
      <c r="B34" s="16" t="s">
        <v>50</v>
      </c>
      <c r="C34" s="17" t="s">
        <v>65</v>
      </c>
      <c r="D34" s="18" t="s">
        <v>213</v>
      </c>
      <c r="E34" s="18" t="str">
        <f t="shared" si="0"/>
        <v>CAMPO DISPONIBLE PARA USO FUTURO 3</v>
      </c>
      <c r="F34" s="18" t="s">
        <v>214</v>
      </c>
      <c r="G34" s="16" t="s">
        <v>56</v>
      </c>
      <c r="H34" s="16" t="s">
        <v>99</v>
      </c>
      <c r="I34" s="18"/>
      <c r="J34" s="16" t="s">
        <v>56</v>
      </c>
      <c r="K34" s="16" t="s">
        <v>94</v>
      </c>
      <c r="L34" s="16" t="s">
        <v>56</v>
      </c>
      <c r="M34" s="16" t="s">
        <v>56</v>
      </c>
    </row>
    <row r="35" spans="1:13">
      <c r="A35" s="16" t="s">
        <v>49</v>
      </c>
      <c r="B35" s="16" t="s">
        <v>50</v>
      </c>
      <c r="C35" s="17" t="s">
        <v>65</v>
      </c>
      <c r="D35" s="18" t="s">
        <v>215</v>
      </c>
      <c r="E35" s="18" t="str">
        <f t="shared" si="0"/>
        <v>CAMPO DISPONIBLE PARA USO FUTURO 4</v>
      </c>
      <c r="F35" s="18" t="s">
        <v>216</v>
      </c>
      <c r="G35" s="16" t="s">
        <v>56</v>
      </c>
      <c r="H35" s="16" t="s">
        <v>99</v>
      </c>
      <c r="I35" s="18"/>
      <c r="J35" s="16" t="s">
        <v>56</v>
      </c>
      <c r="K35" s="16" t="s">
        <v>94</v>
      </c>
      <c r="L35" s="16" t="s">
        <v>56</v>
      </c>
      <c r="M35" s="16" t="s">
        <v>56</v>
      </c>
    </row>
    <row r="36" spans="1:13">
      <c r="A36" s="16" t="s">
        <v>49</v>
      </c>
      <c r="B36" s="16" t="s">
        <v>50</v>
      </c>
      <c r="C36" s="17" t="s">
        <v>65</v>
      </c>
      <c r="D36" s="18" t="s">
        <v>217</v>
      </c>
      <c r="E36" s="18" t="str">
        <f t="shared" si="0"/>
        <v>CAMPO DISPONIBLE PARA USO FUTURO 5</v>
      </c>
      <c r="F36" s="18" t="s">
        <v>218</v>
      </c>
      <c r="G36" s="16" t="s">
        <v>56</v>
      </c>
      <c r="H36" s="16" t="s">
        <v>99</v>
      </c>
      <c r="I36" s="18"/>
      <c r="J36" s="16" t="s">
        <v>56</v>
      </c>
      <c r="K36" s="16" t="s">
        <v>94</v>
      </c>
      <c r="L36" s="16" t="s">
        <v>56</v>
      </c>
      <c r="M36" s="16" t="s">
        <v>56</v>
      </c>
    </row>
    <row r="37" spans="1:13">
      <c r="A37" s="16" t="s">
        <v>49</v>
      </c>
      <c r="B37" s="16" t="s">
        <v>50</v>
      </c>
      <c r="C37" s="17" t="s">
        <v>65</v>
      </c>
      <c r="D37" s="18" t="s">
        <v>219</v>
      </c>
      <c r="E37" s="18" t="str">
        <f t="shared" si="0"/>
        <v>CAMPO DISPONIBLE PARA USO FUTURO 6</v>
      </c>
      <c r="F37" s="18" t="s">
        <v>220</v>
      </c>
      <c r="G37" s="16" t="s">
        <v>56</v>
      </c>
      <c r="H37" s="16" t="s">
        <v>99</v>
      </c>
      <c r="I37" s="18"/>
      <c r="J37" s="16" t="s">
        <v>56</v>
      </c>
      <c r="K37" s="16" t="s">
        <v>94</v>
      </c>
      <c r="L37" s="16" t="s">
        <v>56</v>
      </c>
      <c r="M37" s="16" t="s">
        <v>56</v>
      </c>
    </row>
    <row r="38" spans="1:13">
      <c r="A38" s="16" t="s">
        <v>49</v>
      </c>
      <c r="B38" s="16" t="s">
        <v>50</v>
      </c>
      <c r="C38" s="17" t="s">
        <v>65</v>
      </c>
      <c r="D38" s="18" t="s">
        <v>221</v>
      </c>
      <c r="E38" s="18" t="str">
        <f t="shared" si="0"/>
        <v>CÓDIGO DEL RESULTADO DE LA INVESTIGACIÓN</v>
      </c>
      <c r="F38" s="18" t="s">
        <v>222</v>
      </c>
      <c r="G38" s="16" t="s">
        <v>56</v>
      </c>
      <c r="H38" s="16" t="s">
        <v>99</v>
      </c>
      <c r="I38" s="18"/>
      <c r="J38" s="16" t="s">
        <v>56</v>
      </c>
      <c r="K38" s="16" t="s">
        <v>94</v>
      </c>
      <c r="L38" s="16" t="s">
        <v>56</v>
      </c>
      <c r="M38" s="16" t="s">
        <v>56</v>
      </c>
    </row>
    <row r="39" spans="1:13">
      <c r="A39" s="16" t="s">
        <v>49</v>
      </c>
      <c r="B39" s="16" t="s">
        <v>50</v>
      </c>
      <c r="C39" s="17" t="s">
        <v>65</v>
      </c>
      <c r="D39" s="18" t="s">
        <v>223</v>
      </c>
      <c r="E39" s="18" t="str">
        <f t="shared" si="0"/>
        <v>DETALLE DE LA INVESTIGACIÓN DEL RECLAMO — TIPO DE FRAUDE MARCADO</v>
      </c>
      <c r="F39" s="18" t="s">
        <v>224</v>
      </c>
      <c r="G39" s="16" t="s">
        <v>56</v>
      </c>
      <c r="H39" s="16" t="s">
        <v>99</v>
      </c>
      <c r="I39" s="18"/>
      <c r="J39" s="16" t="s">
        <v>56</v>
      </c>
      <c r="K39" s="16" t="s">
        <v>94</v>
      </c>
      <c r="L39" s="16" t="s">
        <v>56</v>
      </c>
      <c r="M39" s="16" t="s">
        <v>56</v>
      </c>
    </row>
    <row r="40" spans="1:13">
      <c r="A40" s="16" t="s">
        <v>49</v>
      </c>
      <c r="B40" s="16" t="s">
        <v>50</v>
      </c>
      <c r="C40" s="17" t="s">
        <v>65</v>
      </c>
      <c r="D40" s="18" t="s">
        <v>225</v>
      </c>
      <c r="E40" s="18" t="str">
        <f t="shared" si="0"/>
        <v>USUARIO QUE INVESTIGÓ EL RECLAMO</v>
      </c>
      <c r="F40" s="18" t="s">
        <v>226</v>
      </c>
      <c r="G40" s="16" t="s">
        <v>56</v>
      </c>
      <c r="H40" s="16" t="s">
        <v>99</v>
      </c>
      <c r="I40" s="18"/>
      <c r="J40" s="16" t="s">
        <v>56</v>
      </c>
      <c r="K40" s="16" t="s">
        <v>94</v>
      </c>
      <c r="L40" s="16" t="s">
        <v>56</v>
      </c>
      <c r="M40" s="16" t="s">
        <v>56</v>
      </c>
    </row>
    <row r="41" spans="1:13">
      <c r="A41" s="16" t="s">
        <v>49</v>
      </c>
      <c r="B41" s="16" t="s">
        <v>50</v>
      </c>
      <c r="C41" s="17" t="s">
        <v>65</v>
      </c>
      <c r="D41" s="18" t="s">
        <v>227</v>
      </c>
      <c r="E41" s="18" t="str">
        <f t="shared" si="0"/>
        <v>CÓDIGO DE LA INSTITUCIÓN</v>
      </c>
      <c r="F41" s="18" t="s">
        <v>228</v>
      </c>
      <c r="G41" s="16" t="s">
        <v>56</v>
      </c>
      <c r="H41" s="16" t="s">
        <v>99</v>
      </c>
      <c r="I41" s="18"/>
      <c r="J41" s="16" t="s">
        <v>56</v>
      </c>
      <c r="K41" s="16" t="s">
        <v>94</v>
      </c>
      <c r="L41" s="16" t="s">
        <v>56</v>
      </c>
      <c r="M41" s="16" t="s">
        <v>56</v>
      </c>
    </row>
    <row r="42" spans="1:13">
      <c r="A42" s="16" t="s">
        <v>49</v>
      </c>
      <c r="B42" s="16" t="s">
        <v>50</v>
      </c>
      <c r="C42" s="17" t="s">
        <v>65</v>
      </c>
      <c r="D42" s="18" t="s">
        <v>229</v>
      </c>
      <c r="E42" s="18" t="str">
        <f t="shared" si="0"/>
        <v>FECHA DE INVESTIGACIÓN DEL RECLAMO</v>
      </c>
      <c r="F42" s="18" t="s">
        <v>230</v>
      </c>
      <c r="G42" s="16" t="s">
        <v>56</v>
      </c>
      <c r="H42" s="16" t="s">
        <v>93</v>
      </c>
      <c r="I42" s="18"/>
      <c r="J42" s="16" t="s">
        <v>56</v>
      </c>
      <c r="K42" s="16" t="s">
        <v>94</v>
      </c>
      <c r="L42" s="16" t="s">
        <v>56</v>
      </c>
      <c r="M42" s="16" t="s">
        <v>56</v>
      </c>
    </row>
    <row r="43" spans="1:13">
      <c r="A43" s="16" t="s">
        <v>49</v>
      </c>
      <c r="B43" s="16" t="s">
        <v>50</v>
      </c>
      <c r="C43" s="17" t="s">
        <v>65</v>
      </c>
      <c r="D43" s="18" t="s">
        <v>231</v>
      </c>
      <c r="E43" s="18" t="str">
        <f t="shared" si="0"/>
        <v>HORA DE INVESTIGACIÓN DEL RECLAMO</v>
      </c>
      <c r="F43" s="18" t="s">
        <v>232</v>
      </c>
      <c r="G43" s="16" t="s">
        <v>56</v>
      </c>
      <c r="H43" s="16" t="s">
        <v>99</v>
      </c>
      <c r="I43" s="18"/>
      <c r="J43" s="16" t="s">
        <v>56</v>
      </c>
      <c r="K43" s="16" t="s">
        <v>94</v>
      </c>
      <c r="L43" s="16" t="s">
        <v>56</v>
      </c>
      <c r="M43" s="16" t="s">
        <v>56</v>
      </c>
    </row>
    <row r="44" spans="1:13">
      <c r="A44" s="16" t="s">
        <v>49</v>
      </c>
      <c r="B44" s="16" t="s">
        <v>50</v>
      </c>
      <c r="C44" s="17" t="s">
        <v>65</v>
      </c>
      <c r="D44" s="18" t="s">
        <v>233</v>
      </c>
      <c r="E44" s="18" t="str">
        <f t="shared" si="0"/>
        <v>DETECTADO POR SISTEMA DE MONITOREO (0=NO, 1=SÍ)</v>
      </c>
      <c r="F44" s="18" t="s">
        <v>234</v>
      </c>
      <c r="G44" s="16" t="s">
        <v>56</v>
      </c>
      <c r="H44" s="16" t="s">
        <v>99</v>
      </c>
      <c r="I44" s="18"/>
      <c r="J44" s="16" t="s">
        <v>56</v>
      </c>
      <c r="K44" s="16" t="s">
        <v>94</v>
      </c>
      <c r="L44" s="16" t="s">
        <v>56</v>
      </c>
      <c r="M44" s="16" t="s">
        <v>56</v>
      </c>
    </row>
    <row r="45" spans="1:13">
      <c r="A45" s="16" t="s">
        <v>49</v>
      </c>
      <c r="B45" s="16" t="s">
        <v>50</v>
      </c>
      <c r="C45" s="17" t="s">
        <v>65</v>
      </c>
      <c r="D45" s="18" t="s">
        <v>151</v>
      </c>
      <c r="E45" s="18" t="str">
        <f t="shared" si="0"/>
        <v>DATO DE AUDITORÍA: DESCRIPCIÓN DEL APLICATIVO ORIGEN DE LOS DATOS.</v>
      </c>
      <c r="F45" s="18" t="s">
        <v>152</v>
      </c>
      <c r="G45" s="16" t="s">
        <v>56</v>
      </c>
      <c r="H45" s="16" t="s">
        <v>99</v>
      </c>
      <c r="I45" s="18" t="s">
        <v>235</v>
      </c>
      <c r="J45" s="16" t="s">
        <v>56</v>
      </c>
      <c r="K45" s="16" t="s">
        <v>56</v>
      </c>
      <c r="L45" s="16" t="s">
        <v>56</v>
      </c>
      <c r="M45" s="16" t="s">
        <v>56</v>
      </c>
    </row>
    <row r="46" spans="1:13">
      <c r="A46" s="16" t="s">
        <v>49</v>
      </c>
      <c r="B46" s="16" t="s">
        <v>50</v>
      </c>
      <c r="C46" s="17" t="s">
        <v>65</v>
      </c>
      <c r="D46" s="18" t="s">
        <v>154</v>
      </c>
      <c r="E46" s="18" t="str">
        <f t="shared" si="0"/>
        <v>FECHA Y HORA DE INSERCIÓN DEL REGISTRO EN EL MODELO</v>
      </c>
      <c r="F46" s="18" t="s">
        <v>155</v>
      </c>
      <c r="G46" s="16" t="s">
        <v>56</v>
      </c>
      <c r="H46" s="16" t="s">
        <v>156</v>
      </c>
      <c r="I46" s="18" t="s">
        <v>157</v>
      </c>
      <c r="J46" s="16" t="s">
        <v>56</v>
      </c>
      <c r="K46" s="16" t="s">
        <v>56</v>
      </c>
      <c r="L46" s="16" t="s">
        <v>56</v>
      </c>
      <c r="M46" s="16" t="s">
        <v>56</v>
      </c>
    </row>
    <row r="47" spans="1:13">
      <c r="A47" s="16" t="s">
        <v>49</v>
      </c>
      <c r="B47" s="16" t="s">
        <v>50</v>
      </c>
      <c r="C47" s="17" t="s">
        <v>65</v>
      </c>
      <c r="D47" s="18" t="s">
        <v>158</v>
      </c>
      <c r="E47" s="18" t="str">
        <f t="shared" si="0"/>
        <v>USUARIO QUE CREA EL REGISTRO EN LA BD</v>
      </c>
      <c r="F47" s="18" t="s">
        <v>159</v>
      </c>
      <c r="G47" s="16" t="s">
        <v>56</v>
      </c>
      <c r="H47" s="16" t="s">
        <v>99</v>
      </c>
      <c r="I47" s="20" t="s">
        <v>160</v>
      </c>
      <c r="J47" s="16" t="s">
        <v>56</v>
      </c>
      <c r="K47" s="16" t="s">
        <v>56</v>
      </c>
      <c r="L47" s="16" t="s">
        <v>56</v>
      </c>
      <c r="M47" s="16" t="s">
        <v>56</v>
      </c>
    </row>
  </sheetData>
  <hyperlinks>
    <hyperlink ref="I47" r:id="rId1" xr:uid="{06B353D2-FEDE-4A86-B4BC-FC1FBAB612E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5006A4-5124-4F73-8C0E-FFC53E124586}"/>
</file>

<file path=customXml/itemProps2.xml><?xml version="1.0" encoding="utf-8"?>
<ds:datastoreItem xmlns:ds="http://schemas.openxmlformats.org/officeDocument/2006/customXml" ds:itemID="{F7246CF0-ADF6-44A2-9C27-12C833695A9E}"/>
</file>

<file path=customXml/itemProps3.xml><?xml version="1.0" encoding="utf-8"?>
<ds:datastoreItem xmlns:ds="http://schemas.openxmlformats.org/officeDocument/2006/customXml" ds:itemID="{FCB7F921-B723-4C15-9B1B-F767409F206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Juan Sara</cp:lastModifiedBy>
  <cp:revision/>
  <dcterms:created xsi:type="dcterms:W3CDTF">2015-06-05T18:19:34Z</dcterms:created>
  <dcterms:modified xsi:type="dcterms:W3CDTF">2026-03-04T15:44:28Z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