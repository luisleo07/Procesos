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108 Reporte RPA_LINEA/Capa MASTER/"/>
    </mc:Choice>
  </mc:AlternateContent>
  <xr:revisionPtr revIDLastSave="220" documentId="8_{1DCF88E8-8811-44D0-8773-D3AB89B02E57}" xr6:coauthVersionLast="47" xr6:coauthVersionMax="47" xr10:uidLastSave="{C3B27AA8-F61C-4459-B008-42B8BAA7F418}"/>
  <bookViews>
    <workbookView xWindow="-108" yWindow="-108" windowWidth="23256" windowHeight="12456" firstSheet="2" activeTab="5" xr2:uid="{00000000-000D-0000-FFFF-FFFF00000000}"/>
  </bookViews>
  <sheets>
    <sheet name="Datos Sensibles" sheetId="4" r:id="rId1"/>
    <sheet name="Estructuras del Modelo" sheetId="1" r:id="rId2"/>
    <sheet name="c_situacion_comercio" sheetId="2" r:id="rId3"/>
    <sheet name="c_giro_comercio_mcc" sheetId="5" r:id="rId4"/>
    <sheet name="c_motivo_contracargo" sheetId="6" r:id="rId5"/>
    <sheet name="m_autenticacion_ecommerce" sheetId="7" r:id="rId6"/>
  </sheets>
  <functionGroups builtInGroupCount="19"/>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7" l="1"/>
  <c r="E9" i="7"/>
  <c r="E8" i="7"/>
  <c r="E7" i="7"/>
  <c r="E6" i="7"/>
  <c r="E5" i="7"/>
  <c r="E4" i="7"/>
  <c r="E3" i="7"/>
  <c r="E6" i="6"/>
  <c r="E9" i="6"/>
  <c r="E8" i="6"/>
  <c r="E7" i="6"/>
  <c r="E5" i="6"/>
  <c r="E4" i="6"/>
  <c r="E3" i="6"/>
  <c r="E8" i="5"/>
  <c r="E7" i="5"/>
  <c r="E6" i="5"/>
  <c r="E5" i="5"/>
  <c r="E4" i="5"/>
  <c r="E3" i="5"/>
  <c r="E4" i="2"/>
  <c r="E5" i="2"/>
  <c r="E6" i="2"/>
  <c r="E7" i="2"/>
  <c r="E8" i="2"/>
  <c r="E3" i="2"/>
</calcChain>
</file>

<file path=xl/sharedStrings.xml><?xml version="1.0" encoding="utf-8"?>
<sst xmlns="http://schemas.openxmlformats.org/spreadsheetml/2006/main" count="551" uniqueCount="147">
  <si>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</si>
  <si>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</si>
  <si>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</si>
  <si>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</si>
  <si>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</si>
  <si>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</si>
  <si>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</si>
  <si>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</si>
  <si>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</si>
  <si>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</si>
  <si>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</si>
  <si>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</si>
  <si>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</si>
  <si>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</si>
  <si>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</si>
  <si>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</si>
  <si>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</si>
  <si>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</si>
  <si>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</si>
  <si>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</si>
  <si>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</si>
  <si>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</si>
  <si>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</si>
  <si>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</si>
  <si>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</si>
  <si>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</si>
  <si>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</si>
  <si>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</si>
  <si>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</si>
  <si>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</si>
  <si>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</si>
  <si>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</si>
  <si>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</si>
  <si>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</si>
  <si>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</si>
  <si>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</si>
  <si>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</si>
  <si>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</si>
  <si>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</si>
  <si>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</si>
  <si>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m_comercio</t>
  </si>
  <si>
    <t>N</t>
  </si>
  <si>
    <t>prod</t>
  </si>
  <si>
    <t>Master</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</si>
  <si>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</si>
  <si>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</si>
  <si>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</si>
  <si>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</si>
  <si>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</si>
  <si>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</si>
  <si>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</si>
  <si>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</si>
  <si>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</si>
  <si>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</si>
  <si>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</si>
  <si>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</si>
  <si>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</si>
  <si>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</si>
  <si>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</si>
  <si>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</si>
  <si>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</si>
  <si>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</si>
  <si>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</si>
  <si>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</si>
  <si>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</si>
  <si>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</si>
  <si>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</si>
  <si>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</si>
  <si>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</si>
  <si>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</si>
  <si>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</si>
  <si>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</si>
  <si>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</si>
  <si>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</si>
  <si>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cod_comercio</t>
  </si>
  <si>
    <t>nom_responsable_cuenta</t>
  </si>
  <si>
    <t>nom_ejecutivo_dealer</t>
  </si>
  <si>
    <t>record_source</t>
  </si>
  <si>
    <t>Dato de Auditoría: Descripción del aplicativo origen de los datos.</t>
  </si>
  <si>
    <t>as400</t>
  </si>
  <si>
    <t>load_date</t>
  </si>
  <si>
    <t>Fecha y hora de inserción del registro en el modelo</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</si>
  <si>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</si>
  <si>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</si>
  <si>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</si>
  <si>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</si>
  <si>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</si>
  <si>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</si>
  <si>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</si>
  <si>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</si>
  <si>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</si>
  <si>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HEREDADA</t>
  </si>
  <si>
    <t>Apellido paterno</t>
  </si>
  <si>
    <t>Apellido materno</t>
  </si>
  <si>
    <t>Zona (Raw, Master, BI)</t>
  </si>
  <si>
    <t>mc2103@izipay.pe</t>
  </si>
  <si>
    <t>DATETIME</t>
  </si>
  <si>
    <t>2025-07-04T03:07:39.145385</t>
  </si>
  <si>
    <t>master_data</t>
  </si>
  <si>
    <t>c_situacion_comercio</t>
  </si>
  <si>
    <t>Catálogo que muestra la descripción de las situaciones por la que pasa un comercio de IziPay</t>
  </si>
  <si>
    <t>Única Carga</t>
  </si>
  <si>
    <t>Data</t>
  </si>
  <si>
    <t>cod_situacion_comercio</t>
  </si>
  <si>
    <t>desc_situacion_comercio</t>
  </si>
  <si>
    <t>Descripción del estado o situación del comercio</t>
  </si>
  <si>
    <t>Código que indica la situación del comercio</t>
  </si>
  <si>
    <t>1,2,3,4,5,6,7,8,9</t>
  </si>
  <si>
    <t>CÓDIGO ACTIVO (TRANSACCIONÓ EN LOS ÚLTIMOS 3 MESES), ETC</t>
  </si>
  <si>
    <t>c_giro_comercio_mcc</t>
  </si>
  <si>
    <t>Catálogo que contiene los giros de comercios establecidos por las marcas (MCC) y su definicion</t>
  </si>
  <si>
    <t>cod_giro_comercio</t>
  </si>
  <si>
    <t>nom_giro_comercio</t>
  </si>
  <si>
    <t>Código correspondiente al giro del negocio, proveniente de las diversas marcas (Visa, Mastercard)</t>
  </si>
  <si>
    <t>Descripción del giro del negocio que se utiliza para clasificar los comercios</t>
  </si>
  <si>
    <t>1740, 2842, ETC</t>
  </si>
  <si>
    <t>CONTRATISTAS DE CALEFACCIÓN, PLOMERÍA Y AIRE ACONDICIONADO, ETC</t>
  </si>
  <si>
    <t>c_motivo_contracargo</t>
  </si>
  <si>
    <t>Catalogo que contiene con los información de los motivos de contracargo (código de contracargo, descripción y categoría)</t>
  </si>
  <si>
    <t>cod_contracargo</t>
  </si>
  <si>
    <t>descripcion_motivo_contracargo</t>
  </si>
  <si>
    <t>categoria_motivo_contracargo</t>
  </si>
  <si>
    <t>Codigo de razón de contracargo</t>
  </si>
  <si>
    <t>Descripcion del codigo del motivo del contracargo</t>
  </si>
  <si>
    <t>Categoría del motivo de contracargo</t>
  </si>
  <si>
    <t>ADENDA A TRANSACCIÓN,  NO SHOW,  DISPUTA ATM</t>
  </si>
  <si>
    <t>SERVICIOS/MERCADERÍA - DISPUTAS DEL CONSUMIDOR</t>
  </si>
  <si>
    <t>CLIENTES</t>
  </si>
  <si>
    <t>RIESGOS</t>
  </si>
  <si>
    <t>CONTRACARGO</t>
  </si>
  <si>
    <t>SEGURIDAD</t>
  </si>
  <si>
    <t>m_autenticacion_ecommerce</t>
  </si>
  <si>
    <t>Última foto</t>
  </si>
  <si>
    <t>Diario (Hora por confirmar)</t>
  </si>
  <si>
    <t>Ecommerce</t>
  </si>
  <si>
    <t>master_party</t>
  </si>
  <si>
    <t>Maestro que indica el tipo de autenticación que deben pasar los comercios ecommerce al momento de realizar la transacción (3DS/OTP)</t>
  </si>
  <si>
    <t>nom_comercio</t>
  </si>
  <si>
    <t>marca_tarjeta</t>
  </si>
  <si>
    <t>tipo_autenticacion</t>
  </si>
  <si>
    <t>Código del comercio</t>
  </si>
  <si>
    <t>Nombre del comercio</t>
  </si>
  <si>
    <t>Marca de la tarjeta que indica qué tipo de autenticación debe pasar el tarjeta habiente</t>
  </si>
  <si>
    <t>Tipo de autenticación que debe pasar el tarjeta habiente al momento de realizar la compra</t>
  </si>
  <si>
    <t>TARJETA W,ETC</t>
  </si>
  <si>
    <t>Visa. MasterCard, Diners, Amex</t>
  </si>
  <si>
    <t>Autenticacion 3DS,Autenticacion OTP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</si>
</sst>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11"/>
      <color theme="0"/>
      <name val="Calibri"/>
      <family val="2"/>
      <scheme val="minor"/>
    </font>
    <font>
      <sz val="11"/>
      <name val="Calibri"/>
      <family val="2"/>
      <scheme val="minor"/>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3">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5" fillId="0" borderId="1" xfId="1" applyBorder="1" applyAlignment="1">
      <alignment vertical="center"/>
    </xf>
    <xf numFmtId="0" fontId="0" fillId="0" borderId="0" xfId="0" applyAlignment="1">
      <alignment horizontal="center" wrapText="1"/>
    </xf>
    <xf numFmtId="0" fontId="5" fillId="0" borderId="0" xfId="1" applyBorder="1" applyAlignment="1">
      <alignment wrapText="1"/>
    </xf>
    <xf numFmtId="0" fontId="11" fillId="0" borderId="0" xfId="0" applyFont="1" applyAlignment="1">
      <alignment vertical="center" wrapText="1"/>
    </xf>
    <xf numFmtId="0" fontId="14" fillId="2" borderId="1" xfId="0" applyFont="1" applyFill="1" applyBorder="1" applyAlignment="1">
      <alignment horizontal="center" wrapText="1"/>
    </xf>
    <xf numFmtId="0" fontId="15" fillId="0" borderId="1" xfId="0" applyFont="1" applyBorder="1" applyAlignment="1">
      <alignment horizont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K8" sqref="K8"/>
    </sheetView>
  </sheetViews>
  <sheetFormatPr baseColWidth="10"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9" t="s">
        <v>85</v>
      </c>
      <c r="B2" s="1"/>
      <c r="C2" s="1"/>
      <c r="D2" s="1"/>
      <c r="E2" s="1"/>
      <c r="F2" s="1"/>
      <c r="G2" s="1"/>
    </row>
    <row r="3" spans="1:7" s="1" customFormat="1" ht="66" customHeight="1">
      <c r="A3" s="30" t="s">
        <v>86</v>
      </c>
      <c r="B3" s="30"/>
      <c r="C3" s="30"/>
      <c r="D3" s="30"/>
      <c r="E3" s="30"/>
      <c r="F3" s="30"/>
      <c r="G3" s="30"/>
    </row>
    <row r="4" spans="1:7">
      <c r="A4" s="1"/>
      <c r="B4" s="1"/>
      <c r="C4" s="1"/>
      <c r="D4" s="1"/>
      <c r="E4" s="1"/>
      <c r="F4" s="1"/>
      <c r="G4" s="1"/>
    </row>
    <row r="5" spans="1:7">
      <c r="A5" s="10" t="s">
        <v>87</v>
      </c>
      <c r="B5" s="10" t="s">
        <v>88</v>
      </c>
      <c r="C5" s="10" t="s">
        <v>89</v>
      </c>
      <c r="D5" s="10" t="s">
        <v>90</v>
      </c>
      <c r="E5" s="10" t="s">
        <v>7</v>
      </c>
      <c r="F5" s="10" t="s">
        <v>49</v>
      </c>
      <c r="G5" s="10" t="s">
        <v>8</v>
      </c>
    </row>
    <row r="6" spans="1:7">
      <c r="A6" s="11">
        <v>1</v>
      </c>
      <c r="B6" s="8" t="s">
        <v>91</v>
      </c>
      <c r="C6" s="8" t="s">
        <v>91</v>
      </c>
      <c r="D6" s="8" t="s">
        <v>91</v>
      </c>
      <c r="E6" s="8" t="s">
        <v>40</v>
      </c>
      <c r="F6" s="12" t="s">
        <v>75</v>
      </c>
      <c r="G6" s="13" t="s">
        <v>92</v>
      </c>
    </row>
    <row r="7" spans="1:7">
      <c r="A7" s="11">
        <v>2</v>
      </c>
      <c r="B7" s="8" t="s">
        <v>91</v>
      </c>
      <c r="C7" s="8" t="s">
        <v>91</v>
      </c>
      <c r="D7" s="8" t="s">
        <v>91</v>
      </c>
      <c r="E7" s="8" t="s">
        <v>40</v>
      </c>
      <c r="F7" s="12" t="s">
        <v>76</v>
      </c>
      <c r="G7" s="13" t="s">
        <v>93</v>
      </c>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1"/>
      <c r="B12" s="8"/>
      <c r="C12" s="8"/>
      <c r="D12" s="8"/>
      <c r="E12" s="8"/>
      <c r="F12" s="14"/>
      <c r="G12" s="13"/>
    </row>
    <row r="13" spans="1:7">
      <c r="A13" s="11"/>
      <c r="B13" s="8"/>
      <c r="C13" s="8"/>
      <c r="D13" s="8"/>
      <c r="E13" s="8"/>
      <c r="F13" s="14"/>
      <c r="G13" s="13"/>
    </row>
    <row r="14" spans="1:7">
      <c r="A14" s="11"/>
      <c r="B14" s="8"/>
      <c r="C14" s="8"/>
      <c r="D14" s="8"/>
      <c r="E14" s="8"/>
      <c r="F14" s="14"/>
      <c r="G14" s="13"/>
    </row>
    <row r="15" spans="1:7">
      <c r="A15" s="11"/>
      <c r="B15" s="8"/>
      <c r="C15" s="8"/>
      <c r="D15" s="8"/>
      <c r="E15" s="8"/>
      <c r="F15" s="14"/>
      <c r="G15" s="13"/>
    </row>
    <row r="16" spans="1:7">
      <c r="A16" s="11"/>
      <c r="B16" s="8"/>
      <c r="C16" s="8"/>
      <c r="D16" s="8"/>
      <c r="E16" s="8"/>
      <c r="F16" s="14"/>
      <c r="G16" s="13"/>
    </row>
    <row r="17" spans="1:7">
      <c r="A17" s="11"/>
      <c r="B17" s="8"/>
      <c r="C17" s="8"/>
      <c r="D17" s="8"/>
      <c r="E17" s="8"/>
      <c r="F17" s="14"/>
      <c r="G17" s="13"/>
    </row>
    <row r="18" spans="1:7">
      <c r="A18" s="11"/>
      <c r="B18" s="8"/>
      <c r="C18" s="8"/>
      <c r="D18" s="8"/>
      <c r="E18" s="8"/>
      <c r="F18" s="14"/>
      <c r="G18" s="13"/>
    </row>
    <row r="19" spans="1:7">
      <c r="A19" s="11"/>
      <c r="B19" s="8"/>
      <c r="C19" s="8"/>
      <c r="D19" s="8"/>
      <c r="E19" s="8"/>
      <c r="F19" s="14"/>
      <c r="G19" s="13"/>
    </row>
    <row r="20" spans="1:7">
      <c r="A20" s="11"/>
      <c r="B20" s="8"/>
      <c r="C20" s="8"/>
      <c r="D20" s="8"/>
      <c r="E20" s="8"/>
      <c r="F20" s="14"/>
      <c r="G20" s="13"/>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4"/>
  <sheetViews>
    <sheetView showGridLines="0" topLeftCell="D1" workbookViewId="0">
      <selection activeCell="D6" sqref="D6:E6"/>
    </sheetView>
  </sheetViews>
  <sheetFormatPr baseColWidth="10" defaultColWidth="9.109375" defaultRowHeight="14.4"/>
  <cols>
    <col min="1" max="8" width="33.33203125" customWidth="1"/>
    <col min="9" max="9" width="59" customWidth="1"/>
    <col min="10" max="20" width="33.33203125" customWidth="1"/>
  </cols>
  <sheetData>
    <row r="1" spans="1:20">
      <c r="A1" s="15" t="s">
        <v>0</v>
      </c>
      <c r="B1" s="15" t="s">
        <v>1</v>
      </c>
      <c r="C1" s="15" t="s">
        <v>2</v>
      </c>
      <c r="D1" s="15" t="s">
        <v>3</v>
      </c>
      <c r="E1" s="15" t="s">
        <v>4</v>
      </c>
      <c r="F1" s="16" t="s">
        <v>5</v>
      </c>
      <c r="G1" s="31"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ht="41.4">
      <c r="A2" s="17" t="s">
        <v>20</v>
      </c>
      <c r="B2" s="17" t="s">
        <v>21</v>
      </c>
      <c r="C2" s="17" t="s">
        <v>22</v>
      </c>
      <c r="D2" s="17" t="s">
        <v>23</v>
      </c>
      <c r="E2" s="17" t="s">
        <v>24</v>
      </c>
      <c r="F2" s="17" t="s">
        <v>25</v>
      </c>
      <c r="G2" s="17" t="s">
        <v>26</v>
      </c>
      <c r="H2" s="17" t="s">
        <v>27</v>
      </c>
      <c r="I2" s="17" t="s">
        <v>28</v>
      </c>
      <c r="J2" s="18" t="s">
        <v>29</v>
      </c>
      <c r="K2" s="18" t="s">
        <v>30</v>
      </c>
      <c r="L2" s="19"/>
      <c r="M2" s="17" t="s">
        <v>31</v>
      </c>
      <c r="N2" s="17" t="s">
        <v>32</v>
      </c>
      <c r="O2" s="17" t="s">
        <v>33</v>
      </c>
      <c r="P2" s="17" t="s">
        <v>94</v>
      </c>
      <c r="Q2" s="17" t="s">
        <v>34</v>
      </c>
      <c r="R2" s="17" t="s">
        <v>35</v>
      </c>
      <c r="S2" s="17" t="s">
        <v>36</v>
      </c>
      <c r="T2" s="17" t="s">
        <v>37</v>
      </c>
    </row>
    <row r="3" spans="1:20">
      <c r="A3" s="5" t="s">
        <v>38</v>
      </c>
      <c r="B3" s="5" t="s">
        <v>127</v>
      </c>
      <c r="C3" s="5" t="s">
        <v>127</v>
      </c>
      <c r="D3" s="5" t="s">
        <v>127</v>
      </c>
      <c r="E3" s="5" t="s">
        <v>127</v>
      </c>
      <c r="F3" s="5" t="s">
        <v>39</v>
      </c>
      <c r="G3" s="32" t="s">
        <v>98</v>
      </c>
      <c r="H3" s="6" t="s">
        <v>99</v>
      </c>
      <c r="I3" s="7" t="s">
        <v>100</v>
      </c>
      <c r="J3" s="5" t="s">
        <v>101</v>
      </c>
      <c r="K3" s="5" t="s">
        <v>101</v>
      </c>
      <c r="L3" s="8"/>
      <c r="M3" s="6" t="s">
        <v>95</v>
      </c>
      <c r="N3" s="5" t="s">
        <v>41</v>
      </c>
      <c r="O3" s="5" t="s">
        <v>42</v>
      </c>
      <c r="P3" s="5" t="s">
        <v>43</v>
      </c>
      <c r="Q3" s="5" t="s">
        <v>102</v>
      </c>
      <c r="R3" s="5"/>
      <c r="S3" s="5"/>
      <c r="T3" s="5"/>
    </row>
    <row r="4" spans="1:20">
      <c r="A4" s="5" t="s">
        <v>38</v>
      </c>
      <c r="B4" s="5" t="s">
        <v>127</v>
      </c>
      <c r="C4" s="5" t="s">
        <v>127</v>
      </c>
      <c r="D4" s="5" t="s">
        <v>127</v>
      </c>
      <c r="E4" s="5" t="s">
        <v>127</v>
      </c>
      <c r="F4" s="5" t="s">
        <v>39</v>
      </c>
      <c r="G4" s="32" t="s">
        <v>98</v>
      </c>
      <c r="H4" s="6" t="s">
        <v>109</v>
      </c>
      <c r="I4" s="7" t="s">
        <v>110</v>
      </c>
      <c r="J4" s="5" t="s">
        <v>101</v>
      </c>
      <c r="K4" s="5" t="s">
        <v>101</v>
      </c>
      <c r="L4" s="8"/>
      <c r="M4" s="6" t="s">
        <v>95</v>
      </c>
      <c r="N4" s="5" t="s">
        <v>41</v>
      </c>
      <c r="O4" s="5" t="s">
        <v>42</v>
      </c>
      <c r="P4" s="5" t="s">
        <v>43</v>
      </c>
      <c r="Q4" s="5" t="s">
        <v>102</v>
      </c>
      <c r="R4" s="5"/>
      <c r="S4" s="5"/>
      <c r="T4" s="5"/>
    </row>
    <row r="5" spans="1:20">
      <c r="A5" s="5" t="s">
        <v>38</v>
      </c>
      <c r="B5" s="5" t="s">
        <v>128</v>
      </c>
      <c r="C5" s="5" t="s">
        <v>129</v>
      </c>
      <c r="D5" s="5" t="s">
        <v>128</v>
      </c>
      <c r="E5" s="5" t="s">
        <v>129</v>
      </c>
      <c r="F5" s="5" t="s">
        <v>39</v>
      </c>
      <c r="G5" s="32" t="s">
        <v>98</v>
      </c>
      <c r="H5" s="6" t="s">
        <v>117</v>
      </c>
      <c r="I5" s="7" t="s">
        <v>118</v>
      </c>
      <c r="J5" s="5" t="s">
        <v>101</v>
      </c>
      <c r="K5" s="5" t="s">
        <v>101</v>
      </c>
      <c r="L5" s="8"/>
      <c r="M5" s="6" t="s">
        <v>95</v>
      </c>
      <c r="N5" s="5" t="s">
        <v>41</v>
      </c>
      <c r="O5" s="5" t="s">
        <v>42</v>
      </c>
      <c r="P5" s="5" t="s">
        <v>43</v>
      </c>
      <c r="Q5" s="5" t="s">
        <v>102</v>
      </c>
      <c r="R5" s="5"/>
      <c r="S5" s="5"/>
      <c r="T5" s="5"/>
    </row>
    <row r="6" spans="1:20">
      <c r="A6" s="5" t="s">
        <v>38</v>
      </c>
      <c r="B6" s="5" t="s">
        <v>127</v>
      </c>
      <c r="C6" s="5" t="s">
        <v>130</v>
      </c>
      <c r="D6" s="5" t="s">
        <v>127</v>
      </c>
      <c r="E6" s="5" t="s">
        <v>130</v>
      </c>
      <c r="F6" s="5" t="s">
        <v>39</v>
      </c>
      <c r="G6" s="32" t="s">
        <v>135</v>
      </c>
      <c r="H6" s="6" t="s">
        <v>131</v>
      </c>
      <c r="I6" s="7" t="s">
        <v>136</v>
      </c>
      <c r="J6" s="5" t="s">
        <v>132</v>
      </c>
      <c r="K6" s="5" t="s">
        <v>133</v>
      </c>
      <c r="L6" s="8"/>
      <c r="M6" s="6" t="s">
        <v>95</v>
      </c>
      <c r="N6" s="5" t="s">
        <v>41</v>
      </c>
      <c r="O6" s="5" t="s">
        <v>42</v>
      </c>
      <c r="P6" s="5" t="s">
        <v>43</v>
      </c>
      <c r="Q6" s="5" t="s">
        <v>134</v>
      </c>
      <c r="R6" s="5"/>
      <c r="S6" s="5"/>
      <c r="T6" s="5"/>
    </row>
    <row r="7" spans="1:20">
      <c r="A7" s="28"/>
      <c r="B7" s="28"/>
      <c r="C7" s="28"/>
      <c r="D7" s="28"/>
      <c r="E7" s="28"/>
      <c r="F7" s="28"/>
      <c r="G7" s="28"/>
      <c r="H7" s="29"/>
      <c r="J7" s="28"/>
      <c r="K7" s="28"/>
      <c r="L7" s="1"/>
      <c r="M7" s="29"/>
      <c r="N7" s="28"/>
      <c r="O7" s="28"/>
      <c r="P7" s="28"/>
      <c r="Q7" s="28"/>
      <c r="R7" s="28"/>
      <c r="S7" s="28"/>
      <c r="T7" s="28"/>
    </row>
    <row r="8" spans="1:20">
      <c r="A8" s="1"/>
      <c r="B8" s="1"/>
      <c r="C8" s="1"/>
      <c r="D8" s="1"/>
      <c r="E8" s="1"/>
      <c r="F8" s="1"/>
      <c r="G8" s="1"/>
      <c r="H8" s="1"/>
      <c r="I8" s="1"/>
      <c r="J8" s="1"/>
      <c r="K8" s="1"/>
      <c r="L8" s="1"/>
      <c r="M8" s="1"/>
      <c r="N8" s="1"/>
      <c r="O8" s="1"/>
      <c r="P8" s="1"/>
      <c r="Q8" s="1"/>
      <c r="R8" s="1"/>
      <c r="S8" s="1"/>
      <c r="T8" s="1"/>
    </row>
    <row r="9" spans="1:20">
      <c r="A9" s="2" t="s">
        <v>44</v>
      </c>
      <c r="B9" s="1"/>
      <c r="C9" s="1"/>
      <c r="D9" s="1"/>
      <c r="E9" s="1"/>
      <c r="F9" s="1"/>
      <c r="G9" s="1"/>
      <c r="H9" s="1"/>
      <c r="I9" s="1"/>
      <c r="J9" s="1"/>
      <c r="K9" s="1"/>
      <c r="L9" s="1"/>
      <c r="M9" s="1"/>
      <c r="N9" s="1"/>
      <c r="O9" s="1"/>
      <c r="P9" s="1"/>
      <c r="Q9" s="1"/>
      <c r="R9" s="1"/>
      <c r="S9" s="1"/>
      <c r="T9" s="1"/>
    </row>
    <row r="10" spans="1:20">
      <c r="A10" s="3" t="s">
        <v>45</v>
      </c>
      <c r="B10" s="1"/>
      <c r="C10" s="1"/>
      <c r="D10" s="4"/>
      <c r="E10" s="4"/>
      <c r="F10" s="4"/>
      <c r="G10" s="4"/>
      <c r="H10" s="1"/>
      <c r="I10" s="1"/>
      <c r="J10" s="1"/>
      <c r="K10" s="1"/>
      <c r="L10" s="1"/>
      <c r="M10" s="1"/>
      <c r="N10" s="1"/>
      <c r="O10" s="1"/>
      <c r="P10" s="1"/>
      <c r="Q10" s="1"/>
      <c r="R10" s="1"/>
      <c r="S10" s="1"/>
      <c r="T10" s="1"/>
    </row>
    <row r="11" spans="1:20">
      <c r="A11" s="3" t="s">
        <v>46</v>
      </c>
      <c r="B11" s="1"/>
      <c r="C11" s="1"/>
      <c r="D11" s="4"/>
      <c r="E11" s="4"/>
      <c r="F11" s="4"/>
      <c r="G11" s="4"/>
      <c r="H11" s="1"/>
      <c r="I11" s="1"/>
      <c r="J11" s="1"/>
      <c r="K11" s="1"/>
      <c r="L11" s="1"/>
      <c r="M11" s="1"/>
      <c r="N11" s="1"/>
      <c r="O11" s="1"/>
      <c r="P11" s="1"/>
      <c r="Q11" s="1"/>
      <c r="R11" s="1"/>
      <c r="S11" s="1"/>
      <c r="T11" s="1"/>
    </row>
    <row r="12" spans="1:20">
      <c r="A12" s="3" t="s">
        <v>47</v>
      </c>
      <c r="B12" s="1"/>
      <c r="C12" s="1"/>
      <c r="D12" s="1"/>
      <c r="E12" s="1"/>
      <c r="F12" s="1"/>
      <c r="G12" s="1"/>
      <c r="H12" s="1"/>
      <c r="I12" s="1"/>
      <c r="J12" s="1"/>
      <c r="K12" s="1"/>
      <c r="L12" s="1"/>
      <c r="M12" s="1"/>
      <c r="N12" s="1"/>
      <c r="O12" s="1"/>
      <c r="P12" s="1"/>
      <c r="Q12" s="1"/>
      <c r="R12" s="1"/>
      <c r="S12" s="1"/>
      <c r="T12" s="1"/>
    </row>
    <row r="13" spans="1:20">
      <c r="A13" s="3" t="s">
        <v>48</v>
      </c>
      <c r="B13" s="1"/>
      <c r="C13" s="1"/>
      <c r="D13" s="1"/>
      <c r="E13" s="1"/>
      <c r="F13" s="1"/>
      <c r="G13" s="1"/>
      <c r="H13" s="1"/>
      <c r="I13" s="1"/>
      <c r="J13" s="1"/>
      <c r="K13" s="1"/>
      <c r="L13" s="1"/>
      <c r="M13" s="1"/>
      <c r="N13" s="1"/>
      <c r="O13" s="1"/>
      <c r="P13" s="1"/>
      <c r="Q13" s="1"/>
      <c r="R13" s="1"/>
      <c r="S13" s="1"/>
      <c r="T13" s="1"/>
    </row>
    <row r="14" spans="1:20">
      <c r="A14" s="1"/>
      <c r="B14" s="1"/>
      <c r="C14" s="1"/>
      <c r="D14" s="1"/>
      <c r="E14" s="1"/>
      <c r="F14" s="1"/>
      <c r="G14" s="1"/>
      <c r="H14" s="1"/>
      <c r="I14" s="1"/>
      <c r="J14" s="1"/>
      <c r="K14" s="1"/>
      <c r="L14" s="1"/>
      <c r="M14" s="1"/>
      <c r="N14" s="1"/>
      <c r="O14" s="1"/>
      <c r="P14" s="1"/>
      <c r="Q14" s="1"/>
      <c r="R14" s="1"/>
      <c r="S14" s="1"/>
      <c r="T14" s="1"/>
    </row>
  </sheetData>
  <hyperlinks>
    <hyperlink ref="H3" location="c_situacion_comercio!A1" display="c_situacion_comercio" xr:uid="{48D32E5C-867E-4CDE-AFCD-0D40D5938701}"/>
    <hyperlink ref="H5" location="c_motivo_contracargo!A1" display="c_motivo_contracargo" xr:uid="{498BE7C8-6614-416F-99D9-34077A83139E}"/>
    <hyperlink ref="H4" location="c_giro_comercio_mcc!A1" display="c_giro_comercio_mcc" xr:uid="{C30E9E61-150C-48E5-9A4A-87D1DE1749AA}"/>
    <hyperlink ref="H6" location="m_autenticacion_ecommerce!A1" display="m_autenticacion_ecommerce" xr:uid="{DDD11349-4307-474D-B363-34D70BD1D90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8"/>
  <sheetViews>
    <sheetView showGridLines="0" workbookViewId="0">
      <selection activeCell="B1" sqref="B1:B8"/>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5</v>
      </c>
      <c r="B1" s="21" t="s">
        <v>6</v>
      </c>
      <c r="C1" s="21" t="s">
        <v>7</v>
      </c>
      <c r="D1" s="21" t="s">
        <v>49</v>
      </c>
      <c r="E1" s="21" t="s">
        <v>50</v>
      </c>
      <c r="F1" s="21" t="s">
        <v>51</v>
      </c>
      <c r="G1" s="21" t="s">
        <v>52</v>
      </c>
      <c r="H1" s="21" t="s">
        <v>53</v>
      </c>
      <c r="I1" s="21" t="s">
        <v>54</v>
      </c>
      <c r="J1" s="21" t="s">
        <v>55</v>
      </c>
      <c r="K1" s="21" t="s">
        <v>56</v>
      </c>
      <c r="L1" s="21" t="s">
        <v>57</v>
      </c>
      <c r="M1" s="21" t="s">
        <v>58</v>
      </c>
    </row>
    <row r="2" spans="1:13" ht="46.8">
      <c r="A2" s="22" t="s">
        <v>25</v>
      </c>
      <c r="B2" s="22" t="s">
        <v>26</v>
      </c>
      <c r="C2" s="22" t="s">
        <v>59</v>
      </c>
      <c r="D2" s="22" t="s">
        <v>60</v>
      </c>
      <c r="E2" s="22" t="s">
        <v>61</v>
      </c>
      <c r="F2" s="22" t="s">
        <v>62</v>
      </c>
      <c r="G2" s="22" t="s">
        <v>63</v>
      </c>
      <c r="H2" s="22" t="s">
        <v>64</v>
      </c>
      <c r="I2" s="22" t="s">
        <v>65</v>
      </c>
      <c r="J2" s="22" t="s">
        <v>66</v>
      </c>
      <c r="K2" s="22" t="s">
        <v>67</v>
      </c>
      <c r="L2" s="22" t="s">
        <v>68</v>
      </c>
      <c r="M2" s="22" t="s">
        <v>67</v>
      </c>
    </row>
    <row r="3" spans="1:13">
      <c r="A3" s="23" t="s">
        <v>39</v>
      </c>
      <c r="B3" s="23" t="s">
        <v>98</v>
      </c>
      <c r="C3" s="24" t="s">
        <v>99</v>
      </c>
      <c r="D3" s="25" t="s">
        <v>69</v>
      </c>
      <c r="E3" s="25" t="str">
        <f>UPPER(F3)</f>
        <v>FECHA DE FOTO/DATOS CONFIGURADA EN EL ETL PARA LA EXTRACCIÓN DE DATOS, CORRESPONDE A APERTURAS DE COMERCIOS HASTA EL CIERRE DEL DÍA ANTERIOR</v>
      </c>
      <c r="F3" s="25" t="s">
        <v>70</v>
      </c>
      <c r="G3" s="23" t="s">
        <v>41</v>
      </c>
      <c r="H3" s="23" t="s">
        <v>71</v>
      </c>
      <c r="I3" s="26">
        <v>45841</v>
      </c>
      <c r="J3" s="23" t="s">
        <v>41</v>
      </c>
      <c r="K3" s="23" t="s">
        <v>41</v>
      </c>
      <c r="L3" s="23" t="s">
        <v>72</v>
      </c>
      <c r="M3" s="23" t="s">
        <v>41</v>
      </c>
    </row>
    <row r="4" spans="1:13">
      <c r="A4" s="23" t="s">
        <v>39</v>
      </c>
      <c r="B4" s="23" t="s">
        <v>98</v>
      </c>
      <c r="C4" s="24" t="s">
        <v>99</v>
      </c>
      <c r="D4" s="25" t="s">
        <v>103</v>
      </c>
      <c r="E4" s="25" t="str">
        <f t="shared" ref="E4:E5" si="0">UPPER(F4)</f>
        <v>CÓDIGO QUE INDICA LA SITUACIÓN DEL COMERCIO</v>
      </c>
      <c r="F4" s="25" t="s">
        <v>106</v>
      </c>
      <c r="G4" s="23" t="s">
        <v>41</v>
      </c>
      <c r="H4" s="23" t="s">
        <v>73</v>
      </c>
      <c r="I4" s="25" t="s">
        <v>107</v>
      </c>
      <c r="J4" s="23" t="s">
        <v>72</v>
      </c>
      <c r="K4" s="23" t="s">
        <v>41</v>
      </c>
      <c r="L4" s="23" t="s">
        <v>41</v>
      </c>
      <c r="M4" s="23" t="s">
        <v>72</v>
      </c>
    </row>
    <row r="5" spans="1:13">
      <c r="A5" s="23" t="s">
        <v>39</v>
      </c>
      <c r="B5" s="23" t="s">
        <v>98</v>
      </c>
      <c r="C5" s="24" t="s">
        <v>99</v>
      </c>
      <c r="D5" s="25" t="s">
        <v>104</v>
      </c>
      <c r="E5" s="25" t="str">
        <f t="shared" si="0"/>
        <v>DESCRIPCIÓN DEL ESTADO O SITUACIÓN DEL COMERCIO</v>
      </c>
      <c r="F5" s="25" t="s">
        <v>105</v>
      </c>
      <c r="G5" s="23" t="s">
        <v>41</v>
      </c>
      <c r="H5" s="23" t="s">
        <v>73</v>
      </c>
      <c r="I5" s="25" t="s">
        <v>108</v>
      </c>
      <c r="J5" s="23" t="s">
        <v>41</v>
      </c>
      <c r="K5" s="23" t="s">
        <v>41</v>
      </c>
      <c r="L5" s="23" t="s">
        <v>41</v>
      </c>
      <c r="M5" s="23" t="s">
        <v>41</v>
      </c>
    </row>
    <row r="6" spans="1:13">
      <c r="A6" s="23" t="s">
        <v>39</v>
      </c>
      <c r="B6" s="23" t="s">
        <v>98</v>
      </c>
      <c r="C6" s="24" t="s">
        <v>99</v>
      </c>
      <c r="D6" s="25" t="s">
        <v>77</v>
      </c>
      <c r="E6" s="25" t="str">
        <f t="shared" ref="E6:E8" si="1">UPPER(F6)</f>
        <v>DATO DE AUDITORÍA: DESCRIPCIÓN DEL APLICATIVO ORIGEN DE LOS DATOS.</v>
      </c>
      <c r="F6" s="25" t="s">
        <v>78</v>
      </c>
      <c r="G6" s="23" t="s">
        <v>41</v>
      </c>
      <c r="H6" s="23" t="s">
        <v>73</v>
      </c>
      <c r="I6" s="25" t="s">
        <v>79</v>
      </c>
      <c r="J6" s="23" t="s">
        <v>41</v>
      </c>
      <c r="K6" s="23" t="s">
        <v>41</v>
      </c>
      <c r="L6" s="23" t="s">
        <v>41</v>
      </c>
      <c r="M6" s="23" t="s">
        <v>41</v>
      </c>
    </row>
    <row r="7" spans="1:13">
      <c r="A7" s="23" t="s">
        <v>39</v>
      </c>
      <c r="B7" s="23" t="s">
        <v>98</v>
      </c>
      <c r="C7" s="24" t="s">
        <v>99</v>
      </c>
      <c r="D7" s="25" t="s">
        <v>80</v>
      </c>
      <c r="E7" s="25" t="str">
        <f t="shared" si="1"/>
        <v>FECHA Y HORA DE INSERCIÓN DEL REGISTRO EN EL MODELO</v>
      </c>
      <c r="F7" s="25" t="s">
        <v>81</v>
      </c>
      <c r="G7" s="23" t="s">
        <v>41</v>
      </c>
      <c r="H7" s="23" t="s">
        <v>96</v>
      </c>
      <c r="I7" s="25" t="s">
        <v>97</v>
      </c>
      <c r="J7" s="23" t="s">
        <v>41</v>
      </c>
      <c r="K7" s="23" t="s">
        <v>41</v>
      </c>
      <c r="L7" s="23" t="s">
        <v>41</v>
      </c>
      <c r="M7" s="23" t="s">
        <v>41</v>
      </c>
    </row>
    <row r="8" spans="1:13">
      <c r="A8" s="23" t="s">
        <v>39</v>
      </c>
      <c r="B8" s="23" t="s">
        <v>98</v>
      </c>
      <c r="C8" s="24" t="s">
        <v>99</v>
      </c>
      <c r="D8" s="25" t="s">
        <v>82</v>
      </c>
      <c r="E8" s="25" t="str">
        <f t="shared" si="1"/>
        <v>USUARIO QUE CREA EL REGISTRO EN LA BD</v>
      </c>
      <c r="F8" s="25" t="s">
        <v>83</v>
      </c>
      <c r="G8" s="23" t="s">
        <v>41</v>
      </c>
      <c r="H8" s="23" t="s">
        <v>73</v>
      </c>
      <c r="I8" s="27" t="s">
        <v>84</v>
      </c>
      <c r="J8" s="23" t="s">
        <v>41</v>
      </c>
      <c r="K8" s="23" t="s">
        <v>41</v>
      </c>
      <c r="L8" s="23" t="s">
        <v>41</v>
      </c>
      <c r="M8" s="23" t="s">
        <v>41</v>
      </c>
    </row>
  </sheetData>
  <hyperlinks>
    <hyperlink ref="I8" r:id="rId1" xr:uid="{5055E7C2-704F-4DF8-B13D-BB52B011532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72DC7-1530-4FB4-B2B3-AAD4620613FC}">
  <sheetPr codeName="Hoja4"/>
  <dimension ref="A1:M8"/>
  <sheetViews>
    <sheetView showGridLines="0" topLeftCell="B1" workbookViewId="0">
      <selection activeCell="D4" sqref="D4:D5"/>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5</v>
      </c>
      <c r="B1" s="21" t="s">
        <v>6</v>
      </c>
      <c r="C1" s="21" t="s">
        <v>7</v>
      </c>
      <c r="D1" s="21" t="s">
        <v>49</v>
      </c>
      <c r="E1" s="21" t="s">
        <v>50</v>
      </c>
      <c r="F1" s="21" t="s">
        <v>51</v>
      </c>
      <c r="G1" s="21" t="s">
        <v>52</v>
      </c>
      <c r="H1" s="21" t="s">
        <v>53</v>
      </c>
      <c r="I1" s="21" t="s">
        <v>54</v>
      </c>
      <c r="J1" s="21" t="s">
        <v>55</v>
      </c>
      <c r="K1" s="21" t="s">
        <v>56</v>
      </c>
      <c r="L1" s="21" t="s">
        <v>57</v>
      </c>
      <c r="M1" s="21" t="s">
        <v>58</v>
      </c>
    </row>
    <row r="2" spans="1:13" ht="46.8">
      <c r="A2" s="22" t="s">
        <v>25</v>
      </c>
      <c r="B2" s="22" t="s">
        <v>26</v>
      </c>
      <c r="C2" s="22" t="s">
        <v>59</v>
      </c>
      <c r="D2" s="22" t="s">
        <v>60</v>
      </c>
      <c r="E2" s="22" t="s">
        <v>61</v>
      </c>
      <c r="F2" s="22" t="s">
        <v>62</v>
      </c>
      <c r="G2" s="22" t="s">
        <v>63</v>
      </c>
      <c r="H2" s="22" t="s">
        <v>64</v>
      </c>
      <c r="I2" s="22" t="s">
        <v>65</v>
      </c>
      <c r="J2" s="22" t="s">
        <v>66</v>
      </c>
      <c r="K2" s="22" t="s">
        <v>67</v>
      </c>
      <c r="L2" s="22" t="s">
        <v>68</v>
      </c>
      <c r="M2" s="22" t="s">
        <v>67</v>
      </c>
    </row>
    <row r="3" spans="1:13">
      <c r="A3" s="23" t="s">
        <v>39</v>
      </c>
      <c r="B3" s="23" t="s">
        <v>98</v>
      </c>
      <c r="C3" s="24" t="s">
        <v>109</v>
      </c>
      <c r="D3" s="25" t="s">
        <v>69</v>
      </c>
      <c r="E3" s="25" t="str">
        <f>UPPER(F3)</f>
        <v>FECHA DE FOTO/DATOS CONFIGURADA EN EL ETL PARA LA EXTRACCIÓN DE DATOS, CORRESPONDE A APERTURAS DE COMERCIOS HASTA EL CIERRE DEL DÍA ANTERIOR</v>
      </c>
      <c r="F3" s="25" t="s">
        <v>70</v>
      </c>
      <c r="G3" s="23" t="s">
        <v>41</v>
      </c>
      <c r="H3" s="23" t="s">
        <v>71</v>
      </c>
      <c r="I3" s="26">
        <v>45841</v>
      </c>
      <c r="J3" s="23" t="s">
        <v>41</v>
      </c>
      <c r="K3" s="23" t="s">
        <v>41</v>
      </c>
      <c r="L3" s="23" t="s">
        <v>72</v>
      </c>
      <c r="M3" s="23" t="s">
        <v>41</v>
      </c>
    </row>
    <row r="4" spans="1:13">
      <c r="A4" s="23" t="s">
        <v>39</v>
      </c>
      <c r="B4" s="23" t="s">
        <v>98</v>
      </c>
      <c r="C4" s="24" t="s">
        <v>109</v>
      </c>
      <c r="D4" s="25" t="s">
        <v>111</v>
      </c>
      <c r="E4" s="25" t="str">
        <f t="shared" ref="E4:E8" si="0">UPPER(F4)</f>
        <v>CÓDIGO CORRESPONDIENTE AL GIRO DEL NEGOCIO, PROVENIENTE DE LAS DIVERSAS MARCAS (VISA, MASTERCARD)</v>
      </c>
      <c r="F4" s="25" t="s">
        <v>113</v>
      </c>
      <c r="G4" s="23" t="s">
        <v>41</v>
      </c>
      <c r="H4" s="23" t="s">
        <v>73</v>
      </c>
      <c r="I4" s="25" t="s">
        <v>115</v>
      </c>
      <c r="J4" s="23" t="s">
        <v>72</v>
      </c>
      <c r="K4" s="23" t="s">
        <v>41</v>
      </c>
      <c r="L4" s="23" t="s">
        <v>41</v>
      </c>
      <c r="M4" s="23" t="s">
        <v>72</v>
      </c>
    </row>
    <row r="5" spans="1:13">
      <c r="A5" s="23" t="s">
        <v>39</v>
      </c>
      <c r="B5" s="23" t="s">
        <v>98</v>
      </c>
      <c r="C5" s="24" t="s">
        <v>109</v>
      </c>
      <c r="D5" s="25" t="s">
        <v>112</v>
      </c>
      <c r="E5" s="25" t="str">
        <f t="shared" si="0"/>
        <v>DESCRIPCIÓN DEL GIRO DEL NEGOCIO QUE SE UTILIZA PARA CLASIFICAR LOS COMERCIOS</v>
      </c>
      <c r="F5" s="25" t="s">
        <v>114</v>
      </c>
      <c r="G5" s="23" t="s">
        <v>41</v>
      </c>
      <c r="H5" s="23" t="s">
        <v>73</v>
      </c>
      <c r="I5" s="25" t="s">
        <v>116</v>
      </c>
      <c r="J5" s="23" t="s">
        <v>41</v>
      </c>
      <c r="K5" s="23" t="s">
        <v>41</v>
      </c>
      <c r="L5" s="23" t="s">
        <v>41</v>
      </c>
      <c r="M5" s="23" t="s">
        <v>41</v>
      </c>
    </row>
    <row r="6" spans="1:13">
      <c r="A6" s="23" t="s">
        <v>39</v>
      </c>
      <c r="B6" s="23" t="s">
        <v>98</v>
      </c>
      <c r="C6" s="24" t="s">
        <v>109</v>
      </c>
      <c r="D6" s="25" t="s">
        <v>77</v>
      </c>
      <c r="E6" s="25" t="str">
        <f t="shared" si="0"/>
        <v>DATO DE AUDITORÍA: DESCRIPCIÓN DEL APLICATIVO ORIGEN DE LOS DATOS.</v>
      </c>
      <c r="F6" s="25" t="s">
        <v>78</v>
      </c>
      <c r="G6" s="23" t="s">
        <v>41</v>
      </c>
      <c r="H6" s="23" t="s">
        <v>73</v>
      </c>
      <c r="I6" s="25" t="s">
        <v>79</v>
      </c>
      <c r="J6" s="23" t="s">
        <v>41</v>
      </c>
      <c r="K6" s="23" t="s">
        <v>41</v>
      </c>
      <c r="L6" s="23" t="s">
        <v>41</v>
      </c>
      <c r="M6" s="23" t="s">
        <v>41</v>
      </c>
    </row>
    <row r="7" spans="1:13">
      <c r="A7" s="23" t="s">
        <v>39</v>
      </c>
      <c r="B7" s="23" t="s">
        <v>98</v>
      </c>
      <c r="C7" s="24" t="s">
        <v>109</v>
      </c>
      <c r="D7" s="25" t="s">
        <v>80</v>
      </c>
      <c r="E7" s="25" t="str">
        <f t="shared" si="0"/>
        <v>FECHA Y HORA DE INSERCIÓN DEL REGISTRO EN EL MODELO</v>
      </c>
      <c r="F7" s="25" t="s">
        <v>81</v>
      </c>
      <c r="G7" s="23" t="s">
        <v>41</v>
      </c>
      <c r="H7" s="23" t="s">
        <v>96</v>
      </c>
      <c r="I7" s="25" t="s">
        <v>97</v>
      </c>
      <c r="J7" s="23" t="s">
        <v>41</v>
      </c>
      <c r="K7" s="23" t="s">
        <v>41</v>
      </c>
      <c r="L7" s="23" t="s">
        <v>41</v>
      </c>
      <c r="M7" s="23" t="s">
        <v>41</v>
      </c>
    </row>
    <row r="8" spans="1:13">
      <c r="A8" s="23" t="s">
        <v>39</v>
      </c>
      <c r="B8" s="23" t="s">
        <v>98</v>
      </c>
      <c r="C8" s="24" t="s">
        <v>109</v>
      </c>
      <c r="D8" s="25" t="s">
        <v>82</v>
      </c>
      <c r="E8" s="25" t="str">
        <f t="shared" si="0"/>
        <v>USUARIO QUE CREA EL REGISTRO EN LA BD</v>
      </c>
      <c r="F8" s="25" t="s">
        <v>83</v>
      </c>
      <c r="G8" s="23" t="s">
        <v>41</v>
      </c>
      <c r="H8" s="23" t="s">
        <v>73</v>
      </c>
      <c r="I8" s="27" t="s">
        <v>84</v>
      </c>
      <c r="J8" s="23" t="s">
        <v>41</v>
      </c>
      <c r="K8" s="23" t="s">
        <v>41</v>
      </c>
      <c r="L8" s="23" t="s">
        <v>41</v>
      </c>
      <c r="M8" s="23" t="s">
        <v>41</v>
      </c>
    </row>
  </sheetData>
  <hyperlinks>
    <hyperlink ref="I8" r:id="rId1" xr:uid="{E2940EB6-62AF-42F8-ADC3-7A65E04B7D8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FC72F-FC89-4EF0-B9EA-B1BC25D88AE9}">
  <sheetPr codeName="Hoja5"/>
  <dimension ref="A1:M9"/>
  <sheetViews>
    <sheetView showGridLines="0" workbookViewId="0"/>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5</v>
      </c>
      <c r="B1" s="21" t="s">
        <v>6</v>
      </c>
      <c r="C1" s="21" t="s">
        <v>7</v>
      </c>
      <c r="D1" s="21" t="s">
        <v>49</v>
      </c>
      <c r="E1" s="21" t="s">
        <v>50</v>
      </c>
      <c r="F1" s="21" t="s">
        <v>51</v>
      </c>
      <c r="G1" s="21" t="s">
        <v>52</v>
      </c>
      <c r="H1" s="21" t="s">
        <v>53</v>
      </c>
      <c r="I1" s="21" t="s">
        <v>54</v>
      </c>
      <c r="J1" s="21" t="s">
        <v>55</v>
      </c>
      <c r="K1" s="21" t="s">
        <v>56</v>
      </c>
      <c r="L1" s="21" t="s">
        <v>57</v>
      </c>
      <c r="M1" s="21" t="s">
        <v>58</v>
      </c>
    </row>
    <row r="2" spans="1:13" ht="46.8">
      <c r="A2" s="22" t="s">
        <v>25</v>
      </c>
      <c r="B2" s="22" t="s">
        <v>26</v>
      </c>
      <c r="C2" s="22" t="s">
        <v>59</v>
      </c>
      <c r="D2" s="22" t="s">
        <v>60</v>
      </c>
      <c r="E2" s="22" t="s">
        <v>61</v>
      </c>
      <c r="F2" s="22" t="s">
        <v>62</v>
      </c>
      <c r="G2" s="22" t="s">
        <v>63</v>
      </c>
      <c r="H2" s="22" t="s">
        <v>64</v>
      </c>
      <c r="I2" s="22" t="s">
        <v>65</v>
      </c>
      <c r="J2" s="22" t="s">
        <v>66</v>
      </c>
      <c r="K2" s="22" t="s">
        <v>67</v>
      </c>
      <c r="L2" s="22" t="s">
        <v>68</v>
      </c>
      <c r="M2" s="22" t="s">
        <v>67</v>
      </c>
    </row>
    <row r="3" spans="1:13">
      <c r="A3" s="23" t="s">
        <v>39</v>
      </c>
      <c r="B3" s="23" t="s">
        <v>98</v>
      </c>
      <c r="C3" s="24" t="s">
        <v>117</v>
      </c>
      <c r="D3" s="25" t="s">
        <v>69</v>
      </c>
      <c r="E3" s="25" t="str">
        <f>UPPER(F3)</f>
        <v>FECHA DE FOTO/DATOS CONFIGURADA EN EL ETL PARA LA EXTRACCIÓN DE DATOS, CORRESPONDE A APERTURAS DE COMERCIOS HASTA EL CIERRE DEL DÍA ANTERIOR</v>
      </c>
      <c r="F3" s="25" t="s">
        <v>70</v>
      </c>
      <c r="G3" s="23" t="s">
        <v>41</v>
      </c>
      <c r="H3" s="23" t="s">
        <v>71</v>
      </c>
      <c r="I3" s="26">
        <v>45841</v>
      </c>
      <c r="J3" s="23" t="s">
        <v>41</v>
      </c>
      <c r="K3" s="23" t="s">
        <v>41</v>
      </c>
      <c r="L3" s="23" t="s">
        <v>72</v>
      </c>
      <c r="M3" s="23" t="s">
        <v>41</v>
      </c>
    </row>
    <row r="4" spans="1:13">
      <c r="A4" s="23" t="s">
        <v>39</v>
      </c>
      <c r="B4" s="23" t="s">
        <v>98</v>
      </c>
      <c r="C4" s="24" t="s">
        <v>117</v>
      </c>
      <c r="D4" s="25" t="s">
        <v>119</v>
      </c>
      <c r="E4" s="25" t="str">
        <f t="shared" ref="E4:E9" si="0">UPPER(F4)</f>
        <v>CODIGO DE RAZÓN DE CONTRACARGO</v>
      </c>
      <c r="F4" s="25" t="s">
        <v>122</v>
      </c>
      <c r="G4" s="23" t="s">
        <v>41</v>
      </c>
      <c r="H4" s="23" t="s">
        <v>73</v>
      </c>
      <c r="I4" s="7">
        <v>4859</v>
      </c>
      <c r="J4" s="23" t="s">
        <v>72</v>
      </c>
      <c r="K4" s="23" t="s">
        <v>41</v>
      </c>
      <c r="L4" s="23" t="s">
        <v>41</v>
      </c>
      <c r="M4" s="23" t="s">
        <v>72</v>
      </c>
    </row>
    <row r="5" spans="1:13">
      <c r="A5" s="23" t="s">
        <v>39</v>
      </c>
      <c r="B5" s="23" t="s">
        <v>98</v>
      </c>
      <c r="C5" s="24" t="s">
        <v>117</v>
      </c>
      <c r="D5" s="25" t="s">
        <v>120</v>
      </c>
      <c r="E5" s="25" t="str">
        <f t="shared" si="0"/>
        <v>DESCRIPCION DEL CODIGO DEL MOTIVO DEL CONTRACARGO</v>
      </c>
      <c r="F5" s="25" t="s">
        <v>123</v>
      </c>
      <c r="G5" s="23" t="s">
        <v>41</v>
      </c>
      <c r="H5" s="23" t="s">
        <v>73</v>
      </c>
      <c r="I5" s="7" t="s">
        <v>125</v>
      </c>
      <c r="J5" s="23" t="s">
        <v>41</v>
      </c>
      <c r="K5" s="23" t="s">
        <v>41</v>
      </c>
      <c r="L5" s="23" t="s">
        <v>41</v>
      </c>
      <c r="M5" s="23" t="s">
        <v>41</v>
      </c>
    </row>
    <row r="6" spans="1:13">
      <c r="A6" s="23" t="s">
        <v>39</v>
      </c>
      <c r="B6" s="23" t="s">
        <v>98</v>
      </c>
      <c r="C6" s="24" t="s">
        <v>117</v>
      </c>
      <c r="D6" s="25" t="s">
        <v>121</v>
      </c>
      <c r="E6" s="25" t="str">
        <f t="shared" ref="E6" si="1">UPPER(F6)</f>
        <v>CATEGORÍA DEL MOTIVO DE CONTRACARGO</v>
      </c>
      <c r="F6" s="25" t="s">
        <v>124</v>
      </c>
      <c r="G6" s="23" t="s">
        <v>41</v>
      </c>
      <c r="H6" s="23" t="s">
        <v>73</v>
      </c>
      <c r="I6" s="7" t="s">
        <v>126</v>
      </c>
      <c r="J6" s="23" t="s">
        <v>41</v>
      </c>
      <c r="K6" s="23" t="s">
        <v>41</v>
      </c>
      <c r="L6" s="23" t="s">
        <v>41</v>
      </c>
      <c r="M6" s="23" t="s">
        <v>41</v>
      </c>
    </row>
    <row r="7" spans="1:13">
      <c r="A7" s="23" t="s">
        <v>39</v>
      </c>
      <c r="B7" s="23" t="s">
        <v>98</v>
      </c>
      <c r="C7" s="24" t="s">
        <v>117</v>
      </c>
      <c r="D7" s="25" t="s">
        <v>77</v>
      </c>
      <c r="E7" s="25" t="str">
        <f t="shared" si="0"/>
        <v>DATO DE AUDITORÍA: DESCRIPCIÓN DEL APLICATIVO ORIGEN DE LOS DATOS.</v>
      </c>
      <c r="F7" s="25" t="s">
        <v>78</v>
      </c>
      <c r="G7" s="23" t="s">
        <v>41</v>
      </c>
      <c r="H7" s="23" t="s">
        <v>73</v>
      </c>
      <c r="I7" s="25" t="s">
        <v>79</v>
      </c>
      <c r="J7" s="23" t="s">
        <v>41</v>
      </c>
      <c r="K7" s="23" t="s">
        <v>41</v>
      </c>
      <c r="L7" s="23" t="s">
        <v>41</v>
      </c>
      <c r="M7" s="23" t="s">
        <v>41</v>
      </c>
    </row>
    <row r="8" spans="1:13">
      <c r="A8" s="23" t="s">
        <v>39</v>
      </c>
      <c r="B8" s="23" t="s">
        <v>98</v>
      </c>
      <c r="C8" s="24" t="s">
        <v>117</v>
      </c>
      <c r="D8" s="25" t="s">
        <v>80</v>
      </c>
      <c r="E8" s="25" t="str">
        <f t="shared" si="0"/>
        <v>FECHA Y HORA DE INSERCIÓN DEL REGISTRO EN EL MODELO</v>
      </c>
      <c r="F8" s="25" t="s">
        <v>81</v>
      </c>
      <c r="G8" s="23" t="s">
        <v>41</v>
      </c>
      <c r="H8" s="23" t="s">
        <v>96</v>
      </c>
      <c r="I8" s="25" t="s">
        <v>97</v>
      </c>
      <c r="J8" s="23" t="s">
        <v>41</v>
      </c>
      <c r="K8" s="23" t="s">
        <v>41</v>
      </c>
      <c r="L8" s="23" t="s">
        <v>41</v>
      </c>
      <c r="M8" s="23" t="s">
        <v>41</v>
      </c>
    </row>
    <row r="9" spans="1:13">
      <c r="A9" s="23" t="s">
        <v>39</v>
      </c>
      <c r="B9" s="23" t="s">
        <v>98</v>
      </c>
      <c r="C9" s="24" t="s">
        <v>117</v>
      </c>
      <c r="D9" s="25" t="s">
        <v>82</v>
      </c>
      <c r="E9" s="25" t="str">
        <f t="shared" si="0"/>
        <v>USUARIO QUE CREA EL REGISTRO EN LA BD</v>
      </c>
      <c r="F9" s="25" t="s">
        <v>83</v>
      </c>
      <c r="G9" s="23" t="s">
        <v>41</v>
      </c>
      <c r="H9" s="23" t="s">
        <v>73</v>
      </c>
      <c r="I9" s="27" t="s">
        <v>84</v>
      </c>
      <c r="J9" s="23" t="s">
        <v>41</v>
      </c>
      <c r="K9" s="23" t="s">
        <v>41</v>
      </c>
      <c r="L9" s="23" t="s">
        <v>41</v>
      </c>
      <c r="M9" s="23" t="s">
        <v>41</v>
      </c>
    </row>
  </sheetData>
  <hyperlinks>
    <hyperlink ref="I9" r:id="rId1" xr:uid="{E37CBDD4-AC63-4275-A668-D5A494FB773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7D7F7-F3C1-4041-9794-4ED54CA999E4}">
  <sheetPr codeName="Hoja6"/>
  <dimension ref="A1:M10"/>
  <sheetViews>
    <sheetView showGridLines="0" tabSelected="1" workbookViewId="0">
      <selection activeCell="D4" sqref="D4:D7"/>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5</v>
      </c>
      <c r="B1" s="21" t="s">
        <v>6</v>
      </c>
      <c r="C1" s="21" t="s">
        <v>7</v>
      </c>
      <c r="D1" s="21" t="s">
        <v>49</v>
      </c>
      <c r="E1" s="21" t="s">
        <v>50</v>
      </c>
      <c r="F1" s="21" t="s">
        <v>51</v>
      </c>
      <c r="G1" s="21" t="s">
        <v>52</v>
      </c>
      <c r="H1" s="21" t="s">
        <v>53</v>
      </c>
      <c r="I1" s="21" t="s">
        <v>54</v>
      </c>
      <c r="J1" s="21" t="s">
        <v>55</v>
      </c>
      <c r="K1" s="21" t="s">
        <v>56</v>
      </c>
      <c r="L1" s="21" t="s">
        <v>57</v>
      </c>
      <c r="M1" s="21" t="s">
        <v>58</v>
      </c>
    </row>
    <row r="2" spans="1:13" ht="46.8">
      <c r="A2" s="22" t="s">
        <v>25</v>
      </c>
      <c r="B2" s="22" t="s">
        <v>26</v>
      </c>
      <c r="C2" s="22" t="s">
        <v>59</v>
      </c>
      <c r="D2" s="22" t="s">
        <v>60</v>
      </c>
      <c r="E2" s="22" t="s">
        <v>61</v>
      </c>
      <c r="F2" s="22" t="s">
        <v>62</v>
      </c>
      <c r="G2" s="22" t="s">
        <v>63</v>
      </c>
      <c r="H2" s="22" t="s">
        <v>64</v>
      </c>
      <c r="I2" s="22" t="s">
        <v>65</v>
      </c>
      <c r="J2" s="22" t="s">
        <v>66</v>
      </c>
      <c r="K2" s="22" t="s">
        <v>67</v>
      </c>
      <c r="L2" s="22" t="s">
        <v>68</v>
      </c>
      <c r="M2" s="22" t="s">
        <v>67</v>
      </c>
    </row>
    <row r="3" spans="1:13">
      <c r="A3" s="23" t="s">
        <v>39</v>
      </c>
      <c r="B3" s="23" t="s">
        <v>135</v>
      </c>
      <c r="C3" s="24" t="s">
        <v>131</v>
      </c>
      <c r="D3" s="25" t="s">
        <v>69</v>
      </c>
      <c r="E3" s="25" t="str">
        <f>UPPER(F3)</f>
        <v>FECHA DE FOTO/DATOS CONFIGURADA EN EL ETL PARA LA EXTRACCIÓN DE DATOS, CORRESPONDE A APERTURAS DE COMERCIOS HASTA EL CIERRE DEL DÍA ANTERIOR</v>
      </c>
      <c r="F3" s="25" t="s">
        <v>70</v>
      </c>
      <c r="G3" s="23" t="s">
        <v>41</v>
      </c>
      <c r="H3" s="23" t="s">
        <v>71</v>
      </c>
      <c r="I3" s="26">
        <v>45841</v>
      </c>
      <c r="J3" s="23" t="s">
        <v>41</v>
      </c>
      <c r="K3" s="23" t="s">
        <v>41</v>
      </c>
      <c r="L3" s="23" t="s">
        <v>72</v>
      </c>
      <c r="M3" s="23" t="s">
        <v>41</v>
      </c>
    </row>
    <row r="4" spans="1:13">
      <c r="A4" s="23" t="s">
        <v>39</v>
      </c>
      <c r="B4" s="23" t="s">
        <v>135</v>
      </c>
      <c r="C4" s="24" t="s">
        <v>131</v>
      </c>
      <c r="D4" s="25" t="s">
        <v>74</v>
      </c>
      <c r="E4" s="25" t="str">
        <f t="shared" ref="E4:E10" si="0">UPPER(F4)</f>
        <v>CÓDIGO DEL COMERCIO</v>
      </c>
      <c r="F4" s="25" t="s">
        <v>140</v>
      </c>
      <c r="G4" s="23" t="s">
        <v>41</v>
      </c>
      <c r="H4" s="23" t="s">
        <v>73</v>
      </c>
      <c r="I4" s="7">
        <v>4587456</v>
      </c>
      <c r="J4" s="23" t="s">
        <v>72</v>
      </c>
      <c r="K4" s="23" t="s">
        <v>41</v>
      </c>
      <c r="L4" s="23" t="s">
        <v>41</v>
      </c>
      <c r="M4" s="23" t="s">
        <v>72</v>
      </c>
    </row>
    <row r="5" spans="1:13">
      <c r="A5" s="23" t="s">
        <v>39</v>
      </c>
      <c r="B5" s="23" t="s">
        <v>135</v>
      </c>
      <c r="C5" s="24" t="s">
        <v>131</v>
      </c>
      <c r="D5" s="25" t="s">
        <v>137</v>
      </c>
      <c r="E5" s="25" t="str">
        <f t="shared" si="0"/>
        <v>NOMBRE DEL COMERCIO</v>
      </c>
      <c r="F5" s="25" t="s">
        <v>141</v>
      </c>
      <c r="G5" s="23" t="s">
        <v>41</v>
      </c>
      <c r="H5" s="23" t="s">
        <v>73</v>
      </c>
      <c r="I5" s="7" t="s">
        <v>144</v>
      </c>
      <c r="J5" s="23" t="s">
        <v>41</v>
      </c>
      <c r="K5" s="23" t="s">
        <v>41</v>
      </c>
      <c r="L5" s="23" t="s">
        <v>41</v>
      </c>
      <c r="M5" s="23" t="s">
        <v>41</v>
      </c>
    </row>
    <row r="6" spans="1:13">
      <c r="A6" s="23" t="s">
        <v>39</v>
      </c>
      <c r="B6" s="23" t="s">
        <v>135</v>
      </c>
      <c r="C6" s="24" t="s">
        <v>131</v>
      </c>
      <c r="D6" s="25" t="s">
        <v>138</v>
      </c>
      <c r="E6" s="25" t="str">
        <f t="shared" si="0"/>
        <v>MARCA DE LA TARJETA QUE INDICA QUÉ TIPO DE AUTENTICACIÓN DEBE PASAR EL TARJETA HABIENTE</v>
      </c>
      <c r="F6" s="25" t="s">
        <v>142</v>
      </c>
      <c r="G6" s="23" t="s">
        <v>41</v>
      </c>
      <c r="H6" s="23" t="s">
        <v>73</v>
      </c>
      <c r="I6" s="7" t="s">
        <v>145</v>
      </c>
      <c r="J6" s="23" t="s">
        <v>41</v>
      </c>
      <c r="K6" s="23" t="s">
        <v>41</v>
      </c>
      <c r="L6" s="23" t="s">
        <v>41</v>
      </c>
      <c r="M6" s="23" t="s">
        <v>72</v>
      </c>
    </row>
    <row r="7" spans="1:13">
      <c r="A7" s="23" t="s">
        <v>39</v>
      </c>
      <c r="B7" s="23" t="s">
        <v>135</v>
      </c>
      <c r="C7" s="24" t="s">
        <v>131</v>
      </c>
      <c r="D7" s="25" t="s">
        <v>139</v>
      </c>
      <c r="E7" s="25" t="str">
        <f t="shared" si="0"/>
        <v>TIPO DE AUTENTICACIÓN QUE DEBE PASAR EL TARJETA HABIENTE AL MOMENTO DE REALIZAR LA COMPRA</v>
      </c>
      <c r="F7" s="25" t="s">
        <v>143</v>
      </c>
      <c r="G7" s="23" t="s">
        <v>41</v>
      </c>
      <c r="H7" s="23" t="s">
        <v>73</v>
      </c>
      <c r="I7" s="7" t="s">
        <v>146</v>
      </c>
      <c r="J7" s="23" t="s">
        <v>41</v>
      </c>
      <c r="K7" s="23" t="s">
        <v>41</v>
      </c>
      <c r="L7" s="23" t="s">
        <v>41</v>
      </c>
      <c r="M7" s="23" t="s">
        <v>72</v>
      </c>
    </row>
    <row r="8" spans="1:13">
      <c r="A8" s="23" t="s">
        <v>39</v>
      </c>
      <c r="B8" s="23" t="s">
        <v>135</v>
      </c>
      <c r="C8" s="24" t="s">
        <v>131</v>
      </c>
      <c r="D8" s="25" t="s">
        <v>77</v>
      </c>
      <c r="E8" s="25" t="str">
        <f t="shared" si="0"/>
        <v>DATO DE AUDITORÍA: DESCRIPCIÓN DEL APLICATIVO ORIGEN DE LOS DATOS.</v>
      </c>
      <c r="F8" s="25" t="s">
        <v>78</v>
      </c>
      <c r="G8" s="23" t="s">
        <v>41</v>
      </c>
      <c r="H8" s="23" t="s">
        <v>73</v>
      </c>
      <c r="I8" s="25" t="s">
        <v>79</v>
      </c>
      <c r="J8" s="23" t="s">
        <v>41</v>
      </c>
      <c r="K8" s="23" t="s">
        <v>41</v>
      </c>
      <c r="L8" s="23" t="s">
        <v>41</v>
      </c>
      <c r="M8" s="23" t="s">
        <v>41</v>
      </c>
    </row>
    <row r="9" spans="1:13">
      <c r="A9" s="23" t="s">
        <v>39</v>
      </c>
      <c r="B9" s="23" t="s">
        <v>135</v>
      </c>
      <c r="C9" s="24" t="s">
        <v>131</v>
      </c>
      <c r="D9" s="25" t="s">
        <v>80</v>
      </c>
      <c r="E9" s="25" t="str">
        <f t="shared" si="0"/>
        <v>FECHA Y HORA DE INSERCIÓN DEL REGISTRO EN EL MODELO</v>
      </c>
      <c r="F9" s="25" t="s">
        <v>81</v>
      </c>
      <c r="G9" s="23" t="s">
        <v>41</v>
      </c>
      <c r="H9" s="23" t="s">
        <v>96</v>
      </c>
      <c r="I9" s="25" t="s">
        <v>97</v>
      </c>
      <c r="J9" s="23" t="s">
        <v>41</v>
      </c>
      <c r="K9" s="23" t="s">
        <v>41</v>
      </c>
      <c r="L9" s="23" t="s">
        <v>41</v>
      </c>
      <c r="M9" s="23" t="s">
        <v>41</v>
      </c>
    </row>
    <row r="10" spans="1:13">
      <c r="A10" s="23" t="s">
        <v>39</v>
      </c>
      <c r="B10" s="23" t="s">
        <v>135</v>
      </c>
      <c r="C10" s="24" t="s">
        <v>131</v>
      </c>
      <c r="D10" s="25" t="s">
        <v>82</v>
      </c>
      <c r="E10" s="25" t="str">
        <f t="shared" si="0"/>
        <v>USUARIO QUE CREA EL REGISTRO EN LA BD</v>
      </c>
      <c r="F10" s="25" t="s">
        <v>83</v>
      </c>
      <c r="G10" s="23" t="s">
        <v>41</v>
      </c>
      <c r="H10" s="23" t="s">
        <v>73</v>
      </c>
      <c r="I10" s="27" t="s">
        <v>84</v>
      </c>
      <c r="J10" s="23" t="s">
        <v>41</v>
      </c>
      <c r="K10" s="23" t="s">
        <v>41</v>
      </c>
      <c r="L10" s="23" t="s">
        <v>41</v>
      </c>
      <c r="M10" s="23" t="s">
        <v>41</v>
      </c>
    </row>
  </sheetData>
  <hyperlinks>
    <hyperlink ref="I10" r:id="rId1" xr:uid="{D876FD9A-5F6F-4674-AEE0-25E8A8E3833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6181C97-ACB1-459B-B4D4-07452BBD0A24}"/>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Datos Sensibles</vt:lpstr>
      <vt:lpstr>Estructuras del Modelo</vt:lpstr>
      <vt:lpstr>c_situacion_comercio</vt:lpstr>
      <vt:lpstr>c_giro_comercio_mcc</vt:lpstr>
      <vt:lpstr>c_motivo_contracargo</vt:lpstr>
      <vt:lpstr>m_autenticacion_ecommerce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ANGELLO BRAVO</cp:lastModifiedBy>
  <dcterms:created xsi:type="dcterms:W3CDTF">2015-06-05T18:19:34Z</dcterms:created>
  <dcterms:modified xsi:type="dcterms:W3CDTF">2026-01-29T16:05:14Z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