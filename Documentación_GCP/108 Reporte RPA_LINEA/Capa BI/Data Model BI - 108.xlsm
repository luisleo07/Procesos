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108 Reporte RPA_LINEA/Capa BI/"/>
    </mc:Choice>
  </mc:AlternateContent>
  <xr:revisionPtr revIDLastSave="779" documentId="8_{1DCF88E8-8811-44D0-8773-D3AB89B02E57}" xr6:coauthVersionLast="47" xr6:coauthVersionMax="47" xr10:uidLastSave="{74F51CD8-C833-4450-9A90-63E532864822}"/>
  <bookViews>
    <workbookView xWindow="-108" yWindow="-108" windowWidth="23256" windowHeight="12456" firstSheet="2" activeTab="2" xr2:uid="{00000000-000D-0000-FFFF-FFFF00000000}"/>
  </bookViews>
  <sheets>
    <sheet name="Datos Sensibles" sheetId="4" r:id="rId1"/>
    <sheet name="Estructuras del Modelo" sheetId="1" r:id="rId2"/>
    <sheet name="dv_consolidacion_contracargo" sheetId="2" r:id="rId3"/>
    <sheet name="v_reporte_cc_primera_linea" sheetId="5" r:id="rId4"/>
    <sheet name="v_reporte_cc_tercera_linea" sheetId="6" r:id="rId5"/>
    <sheet name="v_reporte_cc_crm" sheetId="7" r:id="rId6"/>
    <sheet name="v_reporte_cc_cartas" sheetId="9" r:id="rId7"/>
    <sheet name="v_reporte_cc_cartas_x_comercio" sheetId="11" r:id="rId8"/>
  </sheets>
  <functionGroups builtInGroupCount="19"/>
  <definedNames>
    <definedName name="_xlnm._FilterDatabase" localSheetId="2" hidden="1">dv_consolidacion_contracargo!$A$2:$M$74</definedName>
    <definedName name="_xlnm._FilterDatabase" localSheetId="6" hidden="1">v_reporte_cc_cartas!$A$2:$M$34</definedName>
    <definedName name="_xlnm._FilterDatabase" localSheetId="7" hidden="1">v_reporte_cc_cartas_x_comercio!$A$2:$M$34</definedName>
    <definedName name="_xlnm._FilterDatabase" localSheetId="5" hidden="1">v_reporte_cc_crm!$A$2:$M$52</definedName>
    <definedName name="_xlnm._FilterDatabase" localSheetId="3" hidden="1">v_reporte_cc_primera_linea!$A$2:$M$32</definedName>
    <definedName name="_xlnm._FilterDatabase" localSheetId="4" hidden="1">v_reporte_cc_tercera_linea!$A$2:$M$32</definedName>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4" i="11" l="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E3" i="11"/>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E32" i="7"/>
  <c r="E33" i="7"/>
  <c r="E34" i="7"/>
  <c r="E35" i="7"/>
  <c r="E36" i="7"/>
  <c r="E37" i="7"/>
  <c r="E38" i="7"/>
  <c r="E39" i="7"/>
  <c r="E40" i="7"/>
  <c r="E41" i="7"/>
  <c r="E42" i="7"/>
  <c r="E43" i="7"/>
  <c r="E44" i="7"/>
  <c r="E45" i="7"/>
  <c r="E46" i="7"/>
  <c r="E47" i="7"/>
  <c r="E48" i="7"/>
  <c r="E49" i="7"/>
  <c r="E50" i="7"/>
  <c r="E51" i="7"/>
  <c r="E5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E3" i="7"/>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E29" i="5"/>
  <c r="E28" i="5"/>
  <c r="E7" i="2"/>
  <c r="E64" i="2"/>
  <c r="E32" i="5"/>
  <c r="E31" i="5"/>
  <c r="E30" i="5"/>
  <c r="E27" i="5"/>
  <c r="E26" i="5"/>
  <c r="E25" i="5"/>
  <c r="E24" i="5"/>
  <c r="E23" i="5"/>
  <c r="E22" i="5"/>
  <c r="E21" i="5"/>
  <c r="E20" i="5"/>
  <c r="E19" i="5"/>
  <c r="E18" i="5"/>
  <c r="E17" i="5"/>
  <c r="E16" i="5"/>
  <c r="E15" i="5"/>
  <c r="E14" i="5"/>
  <c r="E13" i="5"/>
  <c r="E12" i="5"/>
  <c r="E11" i="5"/>
  <c r="E10" i="5"/>
  <c r="E9" i="5"/>
  <c r="E8" i="5"/>
  <c r="E7" i="5"/>
  <c r="E6" i="5"/>
  <c r="E5" i="5"/>
  <c r="E4" i="5"/>
  <c r="E3" i="5"/>
  <c r="E66" i="2"/>
  <c r="E71" i="2"/>
  <c r="E63" i="2"/>
  <c r="E62" i="2"/>
  <c r="E70" i="2"/>
  <c r="E61" i="2"/>
  <c r="E60" i="2"/>
  <c r="E69" i="2"/>
  <c r="E59" i="2"/>
  <c r="E58" i="2"/>
  <c r="E57" i="2"/>
  <c r="E56" i="2"/>
  <c r="E68" i="2"/>
  <c r="E55" i="2"/>
  <c r="E54" i="2"/>
  <c r="E53" i="2"/>
  <c r="E52" i="2"/>
  <c r="E67" i="2"/>
  <c r="E51" i="2"/>
  <c r="E50" i="2"/>
  <c r="E49" i="2"/>
  <c r="E48" i="2"/>
  <c r="E47" i="2"/>
  <c r="E46" i="2"/>
  <c r="E45" i="2"/>
  <c r="E44" i="2"/>
  <c r="E43" i="2"/>
  <c r="E42" i="2"/>
  <c r="E41" i="2"/>
  <c r="E65"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6" i="2"/>
  <c r="E5" i="2"/>
  <c r="E4" i="2"/>
  <c r="E72" i="2"/>
  <c r="E73" i="2"/>
  <c r="E74" i="2"/>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tc={E5054CC9-2DF2-42B7-BB12-68B050640D39}</author>
  </authors>
  <commentList>
    <comment ref="D59" authorId="0" shapeId="0" xr:uid="{E5054CC9-2DF2-42B7-BB12-68B050640D39}">
      <text>
        <t>[Comentario encadenado]
Su versión de Excel le permite leer este comentario encadenado; sin embargo, las ediciones que se apliquen se quitarán si el archivo se abre en una versión más reciente de Excel. Más información: https://go.microsoft.com/fwlink/?linkid=870924
Comentario:
    Es el equivalente al campo ”segmento” que usa Operaciones</t>
      </text>
    </comment>
  </commentList>
</comments>
</file>

<file path=xl/sharedStrings.xml><?xml version="1.0" encoding="utf-8"?>
<sst xmlns="http://schemas.openxmlformats.org/spreadsheetml/2006/main" count="3139" uniqueCount="413">
  <si>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</si>
  <si>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</si>
  <si>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</si>
  <si>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</si>
  <si>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</si>
  <si>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</si>
  <si>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</si>
  <si>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</si>
  <si>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</si>
  <si>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</si>
  <si>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</si>
  <si>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</si>
  <si>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</si>
  <si>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</si>
  <si>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</si>
  <si>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</si>
  <si>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</si>
  <si>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</si>
  <si>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</si>
  <si>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</si>
  <si>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</si>
  <si>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</si>
  <si>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</si>
  <si>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</si>
  <si>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</si>
  <si>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</si>
  <si>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</si>
  <si>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</si>
  <si>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</si>
  <si>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</si>
  <si>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</si>
  <si>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</si>
  <si>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</si>
  <si>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</si>
  <si>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</si>
  <si>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</si>
  <si>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</si>
  <si>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</si>
  <si>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</si>
  <si>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</si>
  <si>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</si>
  <si>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</si>
  <si>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</si>
  <si>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</si>
  <si>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</si>
  <si>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</si>
  <si>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</si>
  <si>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</si>
  <si>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CONTRACARGOS</t>
  </si>
  <si>
    <t>prd-izipay-data-storage-pv</t>
  </si>
  <si>
    <t>bi_riesgo</t>
  </si>
  <si>
    <t>dv_consolidacion_contracargo</t>
  </si>
  <si>
    <t>Tabla consolidada con los contracargos ingresados de las marcas Visa y Mastercard, donde se adicionaron campos criterios del negocio para determinar la Linea reponsables (L1: División del equipo de Contracargos que atiende principalmente contracargos por Fraude y L3: División del equipo de Contracargos que atiende contracargos por Servicios y Autorización.) y si se enviará correo masivo al comercio. Caso contrario lo enviará el analista manualmente.</t>
  </si>
  <si>
    <t>Última foto</t>
  </si>
  <si>
    <t>Diario</t>
  </si>
  <si>
    <t>mc2103@izipay.pe</t>
  </si>
  <si>
    <t>N</t>
  </si>
  <si>
    <t>prod</t>
  </si>
  <si>
    <t>BI</t>
  </si>
  <si>
    <t>Riesgos</t>
  </si>
  <si>
    <t>v_reporte_cc_primera_linea</t>
  </si>
  <si>
    <t>Vista que contiene los contracargos repartidos para Linea 1 del equipo de Contracargos. Línea 1 es una división del equipo de Contracargos que atiende principalmente contracargos por Fraude.</t>
  </si>
  <si>
    <t>v_reporte_cc_tercera_linea</t>
  </si>
  <si>
    <t>Vista que contiene los contracargos repartidos para Linea 3 del equipo de Contracargos. Línea 3 es una división del equipo de Contracargos que atiende contracargos por Servicios y Autorización.</t>
  </si>
  <si>
    <t>v_reporte_cc_crm</t>
  </si>
  <si>
    <t>Tabla que contiene los nuevos contracargos del día para cargarlos a Salesforce</t>
  </si>
  <si>
    <t>v_reporte_cc_cartas</t>
  </si>
  <si>
    <t>Tabla que contiene la información de las cartas que se enviarán de forma masiva agrupadas por RUC</t>
  </si>
  <si>
    <t>v_reporte_cc_cartas_x_comercio</t>
  </si>
  <si>
    <t>Tabla que contiene la información de las cartas que se enviarán de forma masiva agrupadas por Comercio (comercios Intercorp no se pueden agrupar por ruc porque el correo destino es distinto)</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</si>
  <si>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</si>
  <si>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</si>
  <si>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</si>
  <si>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</si>
  <si>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</si>
  <si>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</si>
  <si>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</si>
  <si>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</si>
  <si>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</si>
  <si>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</si>
  <si>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</si>
  <si>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</si>
  <si>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</si>
  <si>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</si>
  <si>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</si>
  <si>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</si>
  <si>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</si>
  <si>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</si>
  <si>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</si>
  <si>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</si>
  <si>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</si>
  <si>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</si>
  <si>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</si>
  <si>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</si>
  <si>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</si>
  <si>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</si>
  <si>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</si>
  <si>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</si>
  <si>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marca_tarjeta</t>
  </si>
  <si>
    <t>Marca de la tarjeta</t>
  </si>
  <si>
    <t>STRING</t>
  </si>
  <si>
    <t>MASTERCARD</t>
  </si>
  <si>
    <t>juridisccion_trx</t>
  </si>
  <si>
    <t>Jurisdiccion del país donde ocurre la transacción. Local o Internacional para mastercard y Regional-LAC, DIMESTIC-PE, INTER-REGIONAL para Visa</t>
  </si>
  <si>
    <t>I</t>
  </si>
  <si>
    <t>cuarteto</t>
  </si>
  <si>
    <t>Últimos 4 dígitos de la tarjeta</t>
  </si>
  <si>
    <t>bancor_emisor</t>
  </si>
  <si>
    <t>Nombre del banco emisor del tarjeta habiente</t>
  </si>
  <si>
    <t>SCOTIABANK PERÚ S.A.A.</t>
  </si>
  <si>
    <t>fecha_contracargo</t>
  </si>
  <si>
    <t>Fecha de ingreso del contracargo</t>
  </si>
  <si>
    <t>2026-01-05</t>
  </si>
  <si>
    <t>cod_ica_emisor</t>
  </si>
  <si>
    <t>Codigo ICA del emisor</t>
  </si>
  <si>
    <t>007962</t>
  </si>
  <si>
    <t>cod_ica_adq</t>
  </si>
  <si>
    <t>Codigo ICA del adquirente</t>
  </si>
  <si>
    <t>007963</t>
  </si>
  <si>
    <t>cod_mti</t>
  </si>
  <si>
    <t>Codigo MTI</t>
  </si>
  <si>
    <t>1442</t>
  </si>
  <si>
    <t>cod_funcion</t>
  </si>
  <si>
    <t>Codigo Fun indica la etapa del contracargo</t>
  </si>
  <si>
    <t>450</t>
  </si>
  <si>
    <t>cod_tipo_contracargo</t>
  </si>
  <si>
    <t>Codigo del tipo de contracargo (para Mastercard)</t>
  </si>
  <si>
    <t>00</t>
  </si>
  <si>
    <t>moneda_contracargo</t>
  </si>
  <si>
    <t>Moneda del contracargo (PEN, USD)</t>
  </si>
  <si>
    <t>PEN</t>
  </si>
  <si>
    <t>mto_contracargo</t>
  </si>
  <si>
    <t>Importe del contracargo</t>
  </si>
  <si>
    <t>FLOAT64</t>
  </si>
  <si>
    <t>13.05</t>
  </si>
  <si>
    <t>cod_autorizacion</t>
  </si>
  <si>
    <t>Codigo de autorizacion de la transaccion</t>
  </si>
  <si>
    <t>T04288</t>
  </si>
  <si>
    <t>arn_ard</t>
  </si>
  <si>
    <t>Numero de referencia del adquirente</t>
  </si>
  <si>
    <t>75301505321007446213020</t>
  </si>
  <si>
    <t>cod_comercio</t>
  </si>
  <si>
    <t>Codigo de comercio</t>
  </si>
  <si>
    <t>4035823</t>
  </si>
  <si>
    <t>nom_comercio</t>
  </si>
  <si>
    <t>Nombre de comercio</t>
  </si>
  <si>
    <t>DLC*UBER RIDES</t>
  </si>
  <si>
    <t>nro_control_contracargo</t>
  </si>
  <si>
    <t>Numero de control/caso del contracargo</t>
  </si>
  <si>
    <t>9342939658</t>
  </si>
  <si>
    <t>cod_motivo_contracargo</t>
  </si>
  <si>
    <t>Codigo del motivo del contracargo</t>
  </si>
  <si>
    <t>4837</t>
  </si>
  <si>
    <t>categoria_motivo_contracargo</t>
  </si>
  <si>
    <t>Categoria del motivo del contracargo</t>
  </si>
  <si>
    <t>FRAUDE</t>
  </si>
  <si>
    <t>pais_emisor</t>
  </si>
  <si>
    <t>Pais del banco emisor</t>
  </si>
  <si>
    <t>PER</t>
  </si>
  <si>
    <t>mensaje_emisor</t>
  </si>
  <si>
    <t>Mensaje del emisor en AS400</t>
  </si>
  <si>
    <t>estado_contracargo</t>
  </si>
  <si>
    <t>Estado del contracargo en AS400</t>
  </si>
  <si>
    <t>A</t>
  </si>
  <si>
    <t>fecha_estado_contracargo</t>
  </si>
  <si>
    <t>Fecha de cambio de estado de contracargo</t>
  </si>
  <si>
    <t>2026-01-19</t>
  </si>
  <si>
    <t>cod_gestor</t>
  </si>
  <si>
    <t>Usuario que gestionó el contracargo en AS400</t>
  </si>
  <si>
    <t>GIANELLA TELLO</t>
  </si>
  <si>
    <t>obs_regularizacion</t>
  </si>
  <si>
    <t>Observaciones del usuario</t>
  </si>
  <si>
    <t>R 9342939658</t>
  </si>
  <si>
    <t>ind_unicidad_contracargo</t>
  </si>
  <si>
    <t>Campo que indica si es un contracargo único o duplicado</t>
  </si>
  <si>
    <t>CC UNICO</t>
  </si>
  <si>
    <t>fecha_trx</t>
  </si>
  <si>
    <t>Fecha de la transaccion</t>
  </si>
  <si>
    <t>2025-11-17</t>
  </si>
  <si>
    <t>fecha_proceso</t>
  </si>
  <si>
    <t>Fecha de proceso de la transaccion</t>
  </si>
  <si>
    <t>moneda_trx</t>
  </si>
  <si>
    <t>Moneda de la transaccion (PEN, USD)</t>
  </si>
  <si>
    <t>mto_trx</t>
  </si>
  <si>
    <t>Importe de la transaccion</t>
  </si>
  <si>
    <t>43.90</t>
  </si>
  <si>
    <t>metodo_ingreso</t>
  </si>
  <si>
    <t>Modo de entrada</t>
  </si>
  <si>
    <t>E-COMMERCE</t>
  </si>
  <si>
    <t>cod_respuesta_ecommerce</t>
  </si>
  <si>
    <t>Codigo de respuesta ecommerce</t>
  </si>
  <si>
    <t>214</t>
  </si>
  <si>
    <t>voucher</t>
  </si>
  <si>
    <t>Numero de voucher</t>
  </si>
  <si>
    <t>7853251</t>
  </si>
  <si>
    <t>cod_terminal</t>
  </si>
  <si>
    <t>Codigo de terminal de la transaccion</t>
  </si>
  <si>
    <t xml:space="preserve">PV000000  </t>
  </si>
  <si>
    <t>referencia</t>
  </si>
  <si>
    <t>Numero de referencia</t>
  </si>
  <si>
    <t xml:space="preserve">12447734875    </t>
  </si>
  <si>
    <t>fecha_retencion</t>
  </si>
  <si>
    <t>Fecha de retencion (código 34)</t>
  </si>
  <si>
    <t>moneda_retencion</t>
  </si>
  <si>
    <t>Moneda de la retencion</t>
  </si>
  <si>
    <t>mto_retencion</t>
  </si>
  <si>
    <t>Importe de la retencion</t>
  </si>
  <si>
    <t>fecha_devolucion</t>
  </si>
  <si>
    <t>Fecha de la devolucion</t>
  </si>
  <si>
    <t>moneda_devolucion</t>
  </si>
  <si>
    <t>Moneda de la devolucion</t>
  </si>
  <si>
    <t>mto_devolucion</t>
  </si>
  <si>
    <t>Importe de la devolucion</t>
  </si>
  <si>
    <t>party_id_izi</t>
  </si>
  <si>
    <t>Código identificador único del número de documento del cliente afiliado a IziPay</t>
  </si>
  <si>
    <t>razon_social</t>
  </si>
  <si>
    <t>Razon social del comercio</t>
  </si>
  <si>
    <t>SUPERMERCADOS PERUANOS</t>
  </si>
  <si>
    <t>mto_contracargo_pen</t>
  </si>
  <si>
    <t>Importe del contracargo en soles (PEN)</t>
  </si>
  <si>
    <t>48.29</t>
  </si>
  <si>
    <t>nom_facilitador_pagos</t>
  </si>
  <si>
    <t>Nombre del facilitador de pagos.</t>
  </si>
  <si>
    <t xml:space="preserve">FP-DLOCAL </t>
  </si>
  <si>
    <t>cod_segmento</t>
  </si>
  <si>
    <t>Segmento del comercio (cambia según sus volúmenes)</t>
  </si>
  <si>
    <t>CORPORACION</t>
  </si>
  <si>
    <t>desc_situacion_comercio</t>
  </si>
  <si>
    <t>Descripción del estado o situación del comercio</t>
  </si>
  <si>
    <t>ACTIVO</t>
  </si>
  <si>
    <t>desc_giro_comercio</t>
  </si>
  <si>
    <t>Giro de comercio (código + nombre)</t>
  </si>
  <si>
    <t>4121 - LIMUSINAS</t>
  </si>
  <si>
    <t>rango_mto_contracargo_pen</t>
  </si>
  <si>
    <t>Rango del monto de contracargo en soles</t>
  </si>
  <si>
    <t>A.[0;100&gt;</t>
  </si>
  <si>
    <t>motivo_cc</t>
  </si>
  <si>
    <t>Motivo del contracargo</t>
  </si>
  <si>
    <t>4837 FRAUDE SEGÚN TARJETAHABIENTE</t>
  </si>
  <si>
    <t>fecha_reversa</t>
  </si>
  <si>
    <t>Fecha de la reversa del contracargo</t>
  </si>
  <si>
    <t>orden_cc</t>
  </si>
  <si>
    <t>Indica el orden del contracargo</t>
  </si>
  <si>
    <t>1</t>
  </si>
  <si>
    <t>prioridad_cc</t>
  </si>
  <si>
    <t>Indica el número de prioridad de atencion del contracargo, donde 1 es más prioritario y 6 menos prioritario</t>
  </si>
  <si>
    <t>3</t>
  </si>
  <si>
    <t>agrupacion_operaciones</t>
  </si>
  <si>
    <t>Agrupación de comercios bajo lógica del equipo de Operaciones para el área de Riesgos</t>
  </si>
  <si>
    <t>FACILITADOR VIRTUAL</t>
  </si>
  <si>
    <t>tica</t>
  </si>
  <si>
    <t>Proporción entre el importe del contracargo y el importe de la transaccion</t>
  </si>
  <si>
    <t>3.3639846743295</t>
  </si>
  <si>
    <t>linea_atencion</t>
  </si>
  <si>
    <t>Tipo de linea para la atención (L1 y L3). Línea 1 es una división del equipo de Contracargos que atiende principalmente contracargos por Fraude. Línea 3 es una división del equipo de Contracargos que atiende contracargos por Servicios y Autorización.</t>
  </si>
  <si>
    <t>L1</t>
  </si>
  <si>
    <t>atencion_tica</t>
  </si>
  <si>
    <t>Campo que evalua la atencion del contracargo segun flag_moneda_trx_cc y el importe de la transaccion</t>
  </si>
  <si>
    <t>FLUJO REGULAR</t>
  </si>
  <si>
    <t>atencion_importe</t>
  </si>
  <si>
    <t>Campo que evalua la atencion del contracargo segun el importe del contracargo</t>
  </si>
  <si>
    <t>ATENCIÓN GD</t>
  </si>
  <si>
    <t>correo_contacto</t>
  </si>
  <si>
    <t>Correo de contacto del comercio</t>
  </si>
  <si>
    <t>BOOLEAN</t>
  </si>
  <si>
    <t>julito@gmail.com</t>
  </si>
  <si>
    <t>flag_retencion</t>
  </si>
  <si>
    <t>Flag que indica si el contracargo tiene una retención (código 34)</t>
  </si>
  <si>
    <t>true, false</t>
  </si>
  <si>
    <t>flag_devolucion</t>
  </si>
  <si>
    <t>Flag que indica si el contracargo tiene una devolución (código 876)</t>
  </si>
  <si>
    <t>flag_pptr</t>
  </si>
  <si>
    <t>Indica si el comercio está integrado con PPTR (Plataforma de Pagos en Tiempo Real).</t>
  </si>
  <si>
    <t>flag_reversa</t>
  </si>
  <si>
    <t>Campo que indica si un contracargo fue reversado o no</t>
  </si>
  <si>
    <t>flag_moneda_trx_cc</t>
  </si>
  <si>
    <t>Flag que Indica si la moneda de la transaccion es la misma que la moneda del contracargo</t>
  </si>
  <si>
    <t>flag_correo</t>
  </si>
  <si>
    <t>Flag que indica si se debe notificar al comercio por correo</t>
  </si>
  <si>
    <t>flag_atencion_gestion_datos</t>
  </si>
  <si>
    <t>Flag que indica si los contracargos seran atendidos de forma masiva por el área de Gestion de Datos</t>
  </si>
  <si>
    <t>record_source</t>
  </si>
  <si>
    <t>Dato de Auditoría: Descripción del aplicativo origen de los datos.</t>
  </si>
  <si>
    <t>CONTRACARGO VISA &amp; MASTERCARD</t>
  </si>
  <si>
    <t>load_date</t>
  </si>
  <si>
    <t>Fecha y hora de inserción del registro en el modelo</t>
  </si>
  <si>
    <t>DATETIME</t>
  </si>
  <si>
    <t>2026-02-05T09:25:30.000</t>
  </si>
  <si>
    <t>creation_user</t>
  </si>
  <si>
    <t>Usuario que crea el registro en la BD</t>
  </si>
  <si>
    <t>tarjeta_enmascarada</t>
  </si>
  <si>
    <t>Tarjeta de la transaccion enmascarada en formato (xxxxxx******xxxxx)</t>
  </si>
  <si>
    <t>Moneda de la transaccion</t>
  </si>
  <si>
    <t>Numero de control, rol case</t>
  </si>
  <si>
    <t>Moneda del contracargo</t>
  </si>
  <si>
    <t>Correo del contacto opera</t>
  </si>
  <si>
    <t>Tipo de linea para la atención. L1 es la división del equipo de Contracargos que atiende casos por Fraude.</t>
  </si>
  <si>
    <t>Código de Comercio</t>
  </si>
  <si>
    <t>Proceso</t>
  </si>
  <si>
    <t>Nombre del proceso en Salesforce</t>
  </si>
  <si>
    <t>Asunto</t>
  </si>
  <si>
    <t>Asunto del caso</t>
  </si>
  <si>
    <t>Título del Caso</t>
  </si>
  <si>
    <t>Titulo del caso</t>
  </si>
  <si>
    <t>Nivel de Atención</t>
  </si>
  <si>
    <t>Origin</t>
  </si>
  <si>
    <t>Origen del caso</t>
  </si>
  <si>
    <t>Tipo de caso</t>
  </si>
  <si>
    <t>Prioridad</t>
  </si>
  <si>
    <t>Prioridad del caso</t>
  </si>
  <si>
    <t>Descripcion</t>
  </si>
  <si>
    <t>Descripcion del caso</t>
  </si>
  <si>
    <t>Marca de tarjeta</t>
  </si>
  <si>
    <t>Categoria de Controversia</t>
  </si>
  <si>
    <t>Rol case/control</t>
  </si>
  <si>
    <t>Completar Automatico</t>
  </si>
  <si>
    <t>Indica si el caso se debe completar en automatico al cargarlo a la plataforma, es decir que se cerrará automaticamente</t>
  </si>
  <si>
    <t>Fecha de Controversia</t>
  </si>
  <si>
    <t>Importe CC</t>
  </si>
  <si>
    <t>Moneda CC</t>
  </si>
  <si>
    <t>Importe trx</t>
  </si>
  <si>
    <t>Moneda trx</t>
  </si>
  <si>
    <t>Tarjeta de la transaccion enmascarada</t>
  </si>
  <si>
    <t>Fecha trx(Venta)</t>
  </si>
  <si>
    <t>Fecha de proceso(outgoing)</t>
  </si>
  <si>
    <t>Fecha de retención</t>
  </si>
  <si>
    <t>Fecha de la retencion 34</t>
  </si>
  <si>
    <t>Fecha de devolución</t>
  </si>
  <si>
    <t>Fecha de la devolucion 876</t>
  </si>
  <si>
    <t>Ica Banco Emisor(MC)</t>
  </si>
  <si>
    <t>Codigo ICA del banco emisor</t>
  </si>
  <si>
    <t>Tipo trx</t>
  </si>
  <si>
    <t>Autoriza</t>
  </si>
  <si>
    <t>Banco Emisor</t>
  </si>
  <si>
    <t>Nombre Del Banco Emisor De La Tarjeta Habiente</t>
  </si>
  <si>
    <t>Motivo de la controversia</t>
  </si>
  <si>
    <t>Código O Descripción Del Motivo Del Contracargo</t>
  </si>
  <si>
    <t>Categoría General</t>
  </si>
  <si>
    <t>Categoría Del Motivo Del Contracargo</t>
  </si>
  <si>
    <t>Voucher</t>
  </si>
  <si>
    <t>Número De Voucher De La Transacción</t>
  </si>
  <si>
    <t>Ecom</t>
  </si>
  <si>
    <t>Código De Respuesta Ecommerce De La Transacción</t>
  </si>
  <si>
    <t>Status Contracargos</t>
  </si>
  <si>
    <t>Estado Del Contracargo En El Sistema As400</t>
  </si>
  <si>
    <t>Motivo-Resultado Final</t>
  </si>
  <si>
    <t>Descripción Final Del Resultado O Motivo De Resolución Del Contracargo</t>
  </si>
  <si>
    <t>Jurisdiccion-Solo Visa</t>
  </si>
  <si>
    <t>Jurisdicción Del País Donde Ocurre La Transacción Según Clasificación Visa</t>
  </si>
  <si>
    <t>ARN/ARD</t>
  </si>
  <si>
    <t>Número De Referencia Del Adquirente (Arn/Ard)</t>
  </si>
  <si>
    <t>Terminal</t>
  </si>
  <si>
    <t>Código De Terminal De La Transacción</t>
  </si>
  <si>
    <t>Referencia</t>
  </si>
  <si>
    <t>Número De Referencia De La Transacción</t>
  </si>
  <si>
    <t>RUC</t>
  </si>
  <si>
    <t>Código Identificador Del Comercio (Documento Del Cliente Afiliado)</t>
  </si>
  <si>
    <t>Fun</t>
  </si>
  <si>
    <t>Código De Función Que Indica La Etapa Del Contracargo</t>
  </si>
  <si>
    <t>Tipo_Linea</t>
  </si>
  <si>
    <t>Tipo De Línea De Atención Del Contracargo (L1 O L3)</t>
  </si>
  <si>
    <t>Flag_correo</t>
  </si>
  <si>
    <t>Indicador De Si Se Debe Notificar Al Comercio Por Correo</t>
  </si>
  <si>
    <t>Atencion_TICA</t>
  </si>
  <si>
    <t>Evaluación De Atención Del Contracargo Según Proporción Tica</t>
  </si>
  <si>
    <t>Atencion_Importe</t>
  </si>
  <si>
    <t>Evaluación De Atención Según Importe Del Contracargo</t>
  </si>
  <si>
    <t>Atencion_GD</t>
  </si>
  <si>
    <t>Indicador De Atención Masiva Por Gestión De Datos</t>
  </si>
  <si>
    <t>Orden</t>
  </si>
  <si>
    <t>Orden O Secuencia Del Contracargo</t>
  </si>
  <si>
    <t>Correo técnico del comercio</t>
  </si>
  <si>
    <t>Correo De Contacto Del Comercio Para Comunicaciones Operativas</t>
  </si>
  <si>
    <t>CodComercio</t>
  </si>
  <si>
    <t>Tarjeta_Encriptada</t>
  </si>
  <si>
    <t>NomComercio</t>
  </si>
  <si>
    <t>MonedaTrx</t>
  </si>
  <si>
    <t>ImporteTrx</t>
  </si>
  <si>
    <t>FechaTrx</t>
  </si>
  <si>
    <t>CodAutorizacion</t>
  </si>
  <si>
    <t>MotivoCC</t>
  </si>
  <si>
    <t>FechaDev</t>
  </si>
  <si>
    <t>RazonSocial</t>
  </si>
  <si>
    <t>NroControl_ROLCase</t>
  </si>
  <si>
    <t>MonedaCC</t>
  </si>
  <si>
    <t>ImporteCC</t>
  </si>
  <si>
    <t>ARD_ARN</t>
  </si>
  <si>
    <t>FechaCC</t>
  </si>
  <si>
    <t>Contracargo</t>
  </si>
  <si>
    <t>Reten_Dev</t>
  </si>
  <si>
    <t>Indica si el contracargo tiene un devolucion 876 y/o retencion 34</t>
  </si>
  <si>
    <t>Entrymode</t>
  </si>
  <si>
    <t>Contacto_Opera</t>
  </si>
  <si>
    <t>Tipo de linea para la atención</t>
  </si>
  <si>
    <t>Correo_Responsable</t>
  </si>
  <si>
    <t>Correo del analista asignado al contracargo</t>
  </si>
  <si>
    <t>Flag de correo de notificación al comercio</t>
  </si>
  <si>
    <t>Ruc del comercio</t>
  </si>
  <si>
    <t>BYTES</t>
  </si>
  <si>
    <t>Incremental
(Vista para generar el csv que se debe almacenar en ADLS:
adls_reportes/Reportes/Contracargos/CC Primera Linea/&lt;año&gt;/&lt;mes&gt;/&lt;archivo&gt;
SFTP:
mc0016/DATAMART/Prd/Reportes/Contracargos/CC Primera Linea/&lt;año&gt;/&lt;mes&gt;/&lt;archivo&gt;
, una vez generado  el archivo se debe eliminar la vista)</t>
  </si>
  <si>
    <t>Incremental
(Vista para generar el csv que se debe almacenar en ADLS:
adls_reportes/Reportes/Contracargos/CC Tercera Linea/&lt;año&gt;/&lt;mes&gt;/&lt;archivo&gt;
SFTP:
mc0016/DATAMART/Prd/Reportes/Contracargos/CC Terca Linea/&lt;año&gt;/&lt;mes&gt;/&lt;archivo&gt;
, una vez generado  el archivo se debe eliminar la vista)</t>
  </si>
  <si>
    <t>Incremental
(Vista para generar el csv que se debe almacenar en ADLS:
adls_reportes/Reportes/Operaciones/CC CRM/&lt;año&gt;/&lt;mes&gt;/&lt;archivo&gt;
SFTP:
mc0016/DATAMART/Prd/Reportes/Operaciones/CC CRM/&lt;año&gt;/&lt;mes&gt;/&lt;archivo&gt;
, una vez generado  el archivo se debe eliminar la vista)</t>
  </si>
  <si>
    <t>Incremental
(Vista para generar el csv que se debe almacenar en ADLS:
adls_reportes/Reportes/Operaciones/CC Cartas/&lt;año&gt;/&lt;mes&gt;/&lt;archivo&gt;
SFTP:
mc0016/DATAMART/Prd/Reportes/Operaciones/CC Cartas/&lt;año&gt;/&lt;mes&gt;/&lt;archivo&gt;
, una vez generado  el archivo se debe eliminar la vista)</t>
  </si>
  <si>
    <t>Incremental
(Vista para generar el csv que se debe almacenar en ADLS:
adls_reportes/Reportes/Operaciones/CC Cartas por Comercio/&lt;año&gt;/&lt;mes&gt;/&lt;archivo&gt;
SFTP:
mc0016/DATAMART/Prd/Reportes/Operaciones/CC Cartas por Comercio/&lt;año&gt;/&lt;mes&gt;/&lt;archivo&gt;
, una vez generado  el archivo se debe eliminar la vista)</t>
  </si>
  <si>
    <t>bin</t>
  </si>
  <si>
    <t>BIN de la tarjeta (primeros 9 dígitos)</t>
  </si>
  <si>
    <t>Tarjeta enmascarada, conformado por los 6 primeros dígitos, 6 astericos y 4 últimos</t>
  </si>
  <si>
    <t>458745******6589</t>
  </si>
  <si>
    <t>458745******6582</t>
  </si>
  <si>
    <t>Tarjeta Enmascarada</t>
  </si>
  <si>
    <t>Tarjeta enmascarada de la transaccion</t>
  </si>
  <si>
    <t>458745******8745</t>
  </si>
  <si>
    <t>452589******4587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</si>
</sst>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sz val="11"/>
      <color rgb="FF000000"/>
      <name val="Calibri"/>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5" fillId="0" borderId="0" applyNumberFormat="0" applyFill="0" applyBorder="0" applyAlignment="0" applyProtection="0"/>
  </cellStyleXfs>
  <cellXfs count="31">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0" fillId="4" borderId="1" xfId="0" applyFill="1" applyBorder="1" applyAlignment="1">
      <alignment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0" fontId="0" fillId="5" borderId="1" xfId="0" applyFill="1" applyBorder="1" applyAlignment="1">
      <alignment vertical="center"/>
    </xf>
    <xf numFmtId="14" fontId="0" fillId="0" borderId="1" xfId="0" applyNumberFormat="1" applyBorder="1" applyAlignment="1">
      <alignment horizontal="left" vertical="center"/>
    </xf>
    <xf numFmtId="0" fontId="0" fillId="0" borderId="1" xfId="0" applyBorder="1" applyAlignment="1">
      <alignment horizontal="left" vertical="center"/>
    </xf>
    <xf numFmtId="14" fontId="0" fillId="0" borderId="1" xfId="0" applyNumberFormat="1" applyBorder="1" applyAlignment="1">
      <alignment horizontal="center" vertical="center"/>
    </xf>
    <xf numFmtId="0" fontId="0" fillId="0" borderId="1" xfId="0" applyBorder="1" applyAlignment="1">
      <alignment horizontal="center" vertical="center" wrapText="1"/>
    </xf>
    <xf numFmtId="0" fontId="5" fillId="0" borderId="1" xfId="1" applyBorder="1" applyAlignment="1">
      <alignment vertical="center" wrapText="1"/>
    </xf>
    <xf numFmtId="0" fontId="0" fillId="0" borderId="1" xfId="0" applyBorder="1" applyAlignment="1">
      <alignment vertical="center" wrapText="1"/>
    </xf>
    <xf numFmtId="0" fontId="3" fillId="2" borderId="1" xfId="0" applyFont="1" applyFill="1" applyBorder="1" applyAlignment="1">
      <alignment horizontal="center" vertical="center" wrapText="1"/>
    </xf>
    <xf numFmtId="0" fontId="1" fillId="0" borderId="0" xfId="0" applyFont="1" applyAlignment="1">
      <alignment vertical="center" wrapText="1"/>
    </xf>
    <xf numFmtId="0" fontId="14" fillId="0" borderId="2" xfId="0" applyFont="1" applyBorder="1"/>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ANGELLO BRAVO" id="{E5DDAC01-0B11-4345-8A71-F5FA0B46B618}"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59" dT="2026-02-02T22:39:55.15" personId="{E5DDAC01-0B11-4345-8A71-F5FA0B46B618}" id="{E5054CC9-2DF2-42B7-BB12-68B050640D39}">
    <text>Es el equivalente al campo ”segmento” que usa Operaciones</text>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22"/>
  <sheetViews>
    <sheetView showGridLines="0" workbookViewId="0">
      <selection activeCell="A6" sqref="A6:H8"/>
    </sheetView>
  </sheetViews>
  <sheetFormatPr baseColWidth="10" defaultColWidth="11.44140625"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5" t="s">
        <v>0</v>
      </c>
      <c r="B2" s="1"/>
      <c r="C2" s="1"/>
      <c r="D2" s="1"/>
      <c r="E2" s="1"/>
      <c r="F2" s="1"/>
      <c r="G2" s="1"/>
    </row>
    <row r="3" spans="1:7" s="1" customFormat="1" ht="66" customHeight="1">
      <c r="A3" s="30" t="s">
        <v>1</v>
      </c>
      <c r="B3" s="30"/>
      <c r="C3" s="30"/>
      <c r="D3" s="30"/>
      <c r="E3" s="30"/>
      <c r="F3" s="30"/>
      <c r="G3" s="30"/>
    </row>
    <row r="4" spans="1:7">
      <c r="A4" s="1"/>
      <c r="B4" s="1"/>
      <c r="C4" s="1"/>
      <c r="D4" s="1"/>
      <c r="E4" s="1"/>
      <c r="F4" s="1"/>
      <c r="G4" s="1"/>
    </row>
    <row r="5" spans="1:7">
      <c r="A5" s="6" t="s">
        <v>2</v>
      </c>
      <c r="B5" s="6" t="s">
        <v>3</v>
      </c>
      <c r="C5" s="6" t="s">
        <v>4</v>
      </c>
      <c r="D5" s="6" t="s">
        <v>5</v>
      </c>
      <c r="E5" s="6" t="s">
        <v>6</v>
      </c>
      <c r="F5" s="6" t="s">
        <v>7</v>
      </c>
      <c r="G5" s="6" t="s">
        <v>8</v>
      </c>
    </row>
    <row r="6" spans="1:7">
      <c r="A6" s="7"/>
      <c r="B6" s="4"/>
      <c r="C6" s="4"/>
      <c r="D6" s="4"/>
      <c r="E6" s="4"/>
      <c r="F6" s="8"/>
      <c r="G6" s="9"/>
    </row>
    <row r="7" spans="1:7">
      <c r="A7" s="7"/>
      <c r="B7" s="4"/>
      <c r="C7" s="4"/>
      <c r="D7" s="4"/>
      <c r="E7" s="4"/>
      <c r="F7" s="8"/>
      <c r="G7" s="9"/>
    </row>
    <row r="8" spans="1:7">
      <c r="A8" s="7"/>
      <c r="B8" s="4"/>
      <c r="C8" s="4"/>
      <c r="D8" s="4"/>
      <c r="E8" s="4"/>
      <c r="F8" s="8"/>
      <c r="G8" s="9"/>
    </row>
    <row r="9" spans="1:7">
      <c r="A9" s="7"/>
      <c r="B9" s="4"/>
      <c r="C9" s="4"/>
      <c r="D9" s="4"/>
      <c r="E9" s="4"/>
      <c r="F9" s="8"/>
      <c r="G9" s="9"/>
    </row>
    <row r="10" spans="1:7">
      <c r="A10" s="7"/>
      <c r="B10" s="4"/>
      <c r="C10" s="4"/>
      <c r="D10" s="4"/>
      <c r="E10" s="4"/>
      <c r="F10" s="8"/>
      <c r="G10" s="9"/>
    </row>
    <row r="11" spans="1:7">
      <c r="A11" s="7"/>
      <c r="B11" s="4"/>
      <c r="C11" s="4"/>
      <c r="D11" s="4"/>
      <c r="E11" s="4"/>
      <c r="F11" s="8"/>
      <c r="G11" s="9"/>
    </row>
    <row r="12" spans="1:7">
      <c r="A12" s="7"/>
      <c r="B12" s="4"/>
      <c r="C12" s="4"/>
      <c r="D12" s="4"/>
      <c r="E12" s="4"/>
      <c r="F12" s="10"/>
      <c r="G12" s="9"/>
    </row>
    <row r="13" spans="1:7">
      <c r="A13" s="7"/>
      <c r="B13" s="4"/>
      <c r="C13" s="4"/>
      <c r="D13" s="4"/>
      <c r="E13" s="4"/>
      <c r="F13" s="10"/>
      <c r="G13" s="9"/>
    </row>
    <row r="14" spans="1:7">
      <c r="A14" s="7"/>
      <c r="B14" s="4"/>
      <c r="C14" s="4"/>
      <c r="D14" s="4"/>
      <c r="E14" s="4"/>
      <c r="F14" s="10"/>
      <c r="G14" s="9"/>
    </row>
    <row r="15" spans="1:7">
      <c r="A15" s="7"/>
      <c r="B15" s="4"/>
      <c r="C15" s="4"/>
      <c r="D15" s="4"/>
      <c r="E15" s="4"/>
      <c r="F15" s="10"/>
      <c r="G15" s="9"/>
    </row>
    <row r="16" spans="1:7">
      <c r="A16" s="7"/>
      <c r="B16" s="4"/>
      <c r="C16" s="4"/>
      <c r="D16" s="4"/>
      <c r="E16" s="4"/>
      <c r="F16" s="10"/>
      <c r="G16" s="9"/>
    </row>
    <row r="17" spans="1:7">
      <c r="A17" s="7"/>
      <c r="B17" s="4"/>
      <c r="C17" s="4"/>
      <c r="D17" s="4"/>
      <c r="E17" s="4"/>
      <c r="F17" s="10"/>
      <c r="G17" s="9"/>
    </row>
    <row r="18" spans="1:7">
      <c r="A18" s="7"/>
      <c r="B18" s="4"/>
      <c r="C18" s="4"/>
      <c r="D18" s="4"/>
      <c r="E18" s="4"/>
      <c r="F18" s="10"/>
      <c r="G18" s="9"/>
    </row>
    <row r="19" spans="1:7">
      <c r="A19" s="7"/>
      <c r="B19" s="4"/>
      <c r="C19" s="4"/>
      <c r="D19" s="4"/>
      <c r="E19" s="4"/>
      <c r="F19" s="10"/>
      <c r="G19" s="9"/>
    </row>
    <row r="20" spans="1:7">
      <c r="A20" s="7"/>
      <c r="B20" s="4"/>
      <c r="C20" s="4"/>
      <c r="D20" s="4"/>
      <c r="E20" s="4"/>
      <c r="F20" s="10"/>
      <c r="G20" s="9"/>
    </row>
    <row r="21" spans="1:7">
      <c r="A21" s="1"/>
      <c r="B21" s="1"/>
      <c r="C21" s="1"/>
      <c r="D21" s="1"/>
      <c r="E21" s="1"/>
      <c r="F21" s="1"/>
      <c r="G21" s="1"/>
    </row>
    <row r="22" spans="1:7">
      <c r="A22" s="1"/>
      <c r="B22" s="1"/>
      <c r="C22" s="1"/>
      <c r="D22" s="1"/>
      <c r="E22" s="1"/>
      <c r="F22" s="1"/>
      <c r="G22"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5"/>
  <sheetViews>
    <sheetView showGridLines="0" topLeftCell="G1" workbookViewId="0">
      <selection activeCell="A2" sqref="A2"/>
    </sheetView>
  </sheetViews>
  <sheetFormatPr baseColWidth="10" defaultColWidth="9.109375" defaultRowHeight="14.4"/>
  <cols>
    <col min="1" max="1" width="25.33203125" style="2" customWidth="1"/>
    <col min="2" max="3" width="29.21875" style="2" bestFit="1" customWidth="1"/>
    <col min="4" max="4" width="29.109375" style="2" bestFit="1" customWidth="1"/>
    <col min="5" max="5" width="32.44140625" style="2" bestFit="1" customWidth="1"/>
    <col min="6" max="6" width="32.88671875" style="2" bestFit="1" customWidth="1"/>
    <col min="7" max="7" width="27.44140625" style="2" bestFit="1" customWidth="1"/>
    <col min="8" max="8" width="28.6640625" style="2" bestFit="1" customWidth="1"/>
    <col min="9" max="9" width="58" style="2" bestFit="1" customWidth="1"/>
    <col min="10" max="10" width="61.6640625" style="2" bestFit="1" customWidth="1"/>
    <col min="11" max="11" width="24.33203125" style="2" bestFit="1" customWidth="1"/>
    <col min="12" max="12" width="17.21875" style="2" bestFit="1" customWidth="1"/>
    <col min="13" max="13" width="29.6640625" style="2" bestFit="1" customWidth="1"/>
    <col min="14" max="14" width="30.77734375" style="2" bestFit="1" customWidth="1"/>
    <col min="15" max="15" width="12.5546875" style="2" bestFit="1" customWidth="1"/>
    <col min="16" max="16" width="21.77734375" style="2" bestFit="1" customWidth="1"/>
    <col min="17" max="17" width="25.77734375" style="2" bestFit="1" customWidth="1"/>
    <col min="18" max="18" width="31.109375" style="2" bestFit="1" customWidth="1"/>
    <col min="19" max="19" width="28.6640625" style="2" bestFit="1" customWidth="1"/>
    <col min="20" max="20" width="27.33203125" style="2" bestFit="1" customWidth="1"/>
    <col min="21" max="16384" width="9.109375" style="2"/>
  </cols>
  <sheetData>
    <row r="1" spans="1:20">
      <c r="A1" s="6" t="s">
        <v>9</v>
      </c>
      <c r="B1" s="6" t="s">
        <v>10</v>
      </c>
      <c r="C1" s="6" t="s">
        <v>11</v>
      </c>
      <c r="D1" s="6" t="s">
        <v>12</v>
      </c>
      <c r="E1" s="6" t="s">
        <v>13</v>
      </c>
      <c r="F1" s="27" t="s">
        <v>14</v>
      </c>
      <c r="G1" s="6" t="s">
        <v>15</v>
      </c>
      <c r="H1" s="6" t="s">
        <v>6</v>
      </c>
      <c r="I1" s="6" t="s">
        <v>8</v>
      </c>
      <c r="J1" s="6" t="s">
        <v>16</v>
      </c>
      <c r="K1" s="6" t="s">
        <v>17</v>
      </c>
      <c r="L1" s="6" t="s">
        <v>18</v>
      </c>
      <c r="M1" s="6" t="s">
        <v>19</v>
      </c>
      <c r="N1" s="6" t="s">
        <v>20</v>
      </c>
      <c r="O1" s="6" t="s">
        <v>21</v>
      </c>
      <c r="P1" s="6" t="s">
        <v>22</v>
      </c>
      <c r="Q1" s="6" t="s">
        <v>23</v>
      </c>
      <c r="R1" s="6" t="s">
        <v>24</v>
      </c>
      <c r="S1" s="6" t="s">
        <v>25</v>
      </c>
      <c r="T1" s="6" t="s">
        <v>26</v>
      </c>
    </row>
    <row r="2" spans="1:20" ht="41.4">
      <c r="A2" s="11" t="s">
        <v>27</v>
      </c>
      <c r="B2" s="11" t="s">
        <v>28</v>
      </c>
      <c r="C2" s="11" t="s">
        <v>29</v>
      </c>
      <c r="D2" s="11" t="s">
        <v>30</v>
      </c>
      <c r="E2" s="11" t="s">
        <v>31</v>
      </c>
      <c r="F2" s="11" t="s">
        <v>32</v>
      </c>
      <c r="G2" s="11" t="s">
        <v>33</v>
      </c>
      <c r="H2" s="11" t="s">
        <v>34</v>
      </c>
      <c r="I2" s="11" t="s">
        <v>35</v>
      </c>
      <c r="J2" s="12" t="s">
        <v>36</v>
      </c>
      <c r="K2" s="12" t="s">
        <v>37</v>
      </c>
      <c r="L2" s="13"/>
      <c r="M2" s="11" t="s">
        <v>38</v>
      </c>
      <c r="N2" s="11" t="s">
        <v>39</v>
      </c>
      <c r="O2" s="11" t="s">
        <v>40</v>
      </c>
      <c r="P2" s="11" t="s">
        <v>41</v>
      </c>
      <c r="Q2" s="11" t="s">
        <v>42</v>
      </c>
      <c r="R2" s="11" t="s">
        <v>43</v>
      </c>
      <c r="S2" s="11" t="s">
        <v>44</v>
      </c>
      <c r="T2" s="11" t="s">
        <v>45</v>
      </c>
    </row>
    <row r="3" spans="1:20" ht="115.2">
      <c r="A3" s="24" t="s">
        <v>46</v>
      </c>
      <c r="B3" s="24" t="s">
        <v>47</v>
      </c>
      <c r="C3" s="24" t="s">
        <v>48</v>
      </c>
      <c r="D3" s="24" t="s">
        <v>47</v>
      </c>
      <c r="E3" s="24" t="s">
        <v>48</v>
      </c>
      <c r="F3" s="24" t="s">
        <v>49</v>
      </c>
      <c r="G3" s="24" t="s">
        <v>50</v>
      </c>
      <c r="H3" s="25" t="s">
        <v>51</v>
      </c>
      <c r="I3" s="26" t="s">
        <v>52</v>
      </c>
      <c r="J3" s="24" t="s">
        <v>53</v>
      </c>
      <c r="K3" s="24" t="s">
        <v>54</v>
      </c>
      <c r="L3" s="26"/>
      <c r="M3" s="25" t="s">
        <v>55</v>
      </c>
      <c r="N3" s="24" t="s">
        <v>56</v>
      </c>
      <c r="O3" s="24" t="s">
        <v>57</v>
      </c>
      <c r="P3" s="24" t="s">
        <v>58</v>
      </c>
      <c r="Q3" s="24" t="s">
        <v>59</v>
      </c>
      <c r="R3" s="24"/>
      <c r="S3" s="24"/>
      <c r="T3" s="24"/>
    </row>
    <row r="4" spans="1:20" s="3" customFormat="1" ht="129.6">
      <c r="A4" s="24" t="s">
        <v>46</v>
      </c>
      <c r="B4" s="24" t="s">
        <v>47</v>
      </c>
      <c r="C4" s="24" t="s">
        <v>48</v>
      </c>
      <c r="D4" s="24" t="s">
        <v>47</v>
      </c>
      <c r="E4" s="24" t="s">
        <v>48</v>
      </c>
      <c r="F4" s="24" t="s">
        <v>49</v>
      </c>
      <c r="G4" s="24" t="s">
        <v>50</v>
      </c>
      <c r="H4" s="25" t="s">
        <v>60</v>
      </c>
      <c r="I4" s="26" t="s">
        <v>61</v>
      </c>
      <c r="J4" s="24" t="s">
        <v>399</v>
      </c>
      <c r="K4" s="24" t="s">
        <v>54</v>
      </c>
      <c r="L4" s="26"/>
      <c r="M4" s="25" t="s">
        <v>55</v>
      </c>
      <c r="N4" s="24" t="s">
        <v>56</v>
      </c>
      <c r="O4" s="24" t="s">
        <v>57</v>
      </c>
      <c r="P4" s="24" t="s">
        <v>58</v>
      </c>
      <c r="Q4" s="24" t="s">
        <v>59</v>
      </c>
      <c r="R4" s="24"/>
      <c r="S4" s="24"/>
      <c r="T4" s="24"/>
    </row>
    <row r="5" spans="1:20" s="3" customFormat="1" ht="129.6">
      <c r="A5" s="24" t="s">
        <v>46</v>
      </c>
      <c r="B5" s="24" t="s">
        <v>47</v>
      </c>
      <c r="C5" s="24" t="s">
        <v>48</v>
      </c>
      <c r="D5" s="24" t="s">
        <v>47</v>
      </c>
      <c r="E5" s="24" t="s">
        <v>48</v>
      </c>
      <c r="F5" s="24" t="s">
        <v>49</v>
      </c>
      <c r="G5" s="24" t="s">
        <v>50</v>
      </c>
      <c r="H5" s="25" t="s">
        <v>62</v>
      </c>
      <c r="I5" s="26" t="s">
        <v>63</v>
      </c>
      <c r="J5" s="24" t="s">
        <v>400</v>
      </c>
      <c r="K5" s="24" t="s">
        <v>54</v>
      </c>
      <c r="L5" s="26"/>
      <c r="M5" s="25" t="s">
        <v>55</v>
      </c>
      <c r="N5" s="24" t="s">
        <v>56</v>
      </c>
      <c r="O5" s="24" t="s">
        <v>57</v>
      </c>
      <c r="P5" s="24" t="s">
        <v>58</v>
      </c>
      <c r="Q5" s="24" t="s">
        <v>59</v>
      </c>
      <c r="R5" s="24"/>
      <c r="S5" s="24"/>
      <c r="T5" s="24"/>
    </row>
    <row r="6" spans="1:20" s="3" customFormat="1" ht="115.2">
      <c r="A6" s="24" t="s">
        <v>46</v>
      </c>
      <c r="B6" s="24" t="s">
        <v>47</v>
      </c>
      <c r="C6" s="24" t="s">
        <v>48</v>
      </c>
      <c r="D6" s="24" t="s">
        <v>47</v>
      </c>
      <c r="E6" s="24" t="s">
        <v>48</v>
      </c>
      <c r="F6" s="24" t="s">
        <v>49</v>
      </c>
      <c r="G6" s="24" t="s">
        <v>50</v>
      </c>
      <c r="H6" s="25" t="s">
        <v>64</v>
      </c>
      <c r="I6" s="26" t="s">
        <v>65</v>
      </c>
      <c r="J6" s="24" t="s">
        <v>401</v>
      </c>
      <c r="K6" s="24" t="s">
        <v>54</v>
      </c>
      <c r="L6" s="26"/>
      <c r="M6" s="25" t="s">
        <v>55</v>
      </c>
      <c r="N6" s="24" t="s">
        <v>56</v>
      </c>
      <c r="O6" s="24" t="s">
        <v>57</v>
      </c>
      <c r="P6" s="24" t="s">
        <v>58</v>
      </c>
      <c r="Q6" s="24" t="s">
        <v>59</v>
      </c>
      <c r="R6" s="24"/>
      <c r="S6" s="24"/>
      <c r="T6" s="24"/>
    </row>
    <row r="7" spans="1:20" s="3" customFormat="1" ht="115.2">
      <c r="A7" s="24" t="s">
        <v>46</v>
      </c>
      <c r="B7" s="24" t="s">
        <v>47</v>
      </c>
      <c r="C7" s="24" t="s">
        <v>48</v>
      </c>
      <c r="D7" s="24" t="s">
        <v>47</v>
      </c>
      <c r="E7" s="24" t="s">
        <v>48</v>
      </c>
      <c r="F7" s="24" t="s">
        <v>49</v>
      </c>
      <c r="G7" s="24" t="s">
        <v>50</v>
      </c>
      <c r="H7" s="25" t="s">
        <v>66</v>
      </c>
      <c r="I7" s="26" t="s">
        <v>67</v>
      </c>
      <c r="J7" s="24" t="s">
        <v>402</v>
      </c>
      <c r="K7" s="24" t="s">
        <v>54</v>
      </c>
      <c r="L7" s="26"/>
      <c r="M7" s="25" t="s">
        <v>55</v>
      </c>
      <c r="N7" s="24" t="s">
        <v>56</v>
      </c>
      <c r="O7" s="24" t="s">
        <v>57</v>
      </c>
      <c r="P7" s="24" t="s">
        <v>58</v>
      </c>
      <c r="Q7" s="24" t="s">
        <v>59</v>
      </c>
      <c r="R7" s="24"/>
      <c r="S7" s="24"/>
      <c r="T7" s="24"/>
    </row>
    <row r="8" spans="1:20" s="3" customFormat="1" ht="129.6">
      <c r="A8" s="24" t="s">
        <v>46</v>
      </c>
      <c r="B8" s="24" t="s">
        <v>47</v>
      </c>
      <c r="C8" s="24" t="s">
        <v>48</v>
      </c>
      <c r="D8" s="24" t="s">
        <v>47</v>
      </c>
      <c r="E8" s="24" t="s">
        <v>48</v>
      </c>
      <c r="F8" s="24" t="s">
        <v>49</v>
      </c>
      <c r="G8" s="24" t="s">
        <v>50</v>
      </c>
      <c r="H8" s="25" t="s">
        <v>68</v>
      </c>
      <c r="I8" s="26" t="s">
        <v>69</v>
      </c>
      <c r="J8" s="24" t="s">
        <v>403</v>
      </c>
      <c r="K8" s="24" t="s">
        <v>54</v>
      </c>
      <c r="L8" s="26"/>
      <c r="M8" s="25" t="s">
        <v>55</v>
      </c>
      <c r="N8" s="24" t="s">
        <v>56</v>
      </c>
      <c r="O8" s="24" t="s">
        <v>57</v>
      </c>
      <c r="P8" s="24" t="s">
        <v>58</v>
      </c>
      <c r="Q8" s="24" t="s">
        <v>59</v>
      </c>
      <c r="R8" s="24"/>
      <c r="S8" s="24"/>
      <c r="T8" s="24"/>
    </row>
    <row r="9" spans="1:20">
      <c r="A9" s="3"/>
      <c r="B9" s="3"/>
      <c r="C9" s="3"/>
      <c r="D9" s="3"/>
      <c r="E9" s="3"/>
      <c r="F9" s="3"/>
      <c r="G9" s="3"/>
      <c r="H9" s="3"/>
      <c r="I9" s="3"/>
      <c r="J9" s="3"/>
      <c r="K9" s="3"/>
      <c r="L9" s="3"/>
      <c r="M9" s="3"/>
      <c r="N9" s="3"/>
      <c r="O9" s="3"/>
      <c r="P9" s="3"/>
      <c r="Q9" s="3"/>
      <c r="R9" s="3"/>
      <c r="S9" s="3"/>
      <c r="T9" s="3"/>
    </row>
    <row r="10" spans="1:20">
      <c r="A10" s="28" t="s">
        <v>70</v>
      </c>
      <c r="B10" s="3"/>
      <c r="C10" s="3"/>
      <c r="D10" s="3"/>
      <c r="E10" s="3"/>
      <c r="F10" s="3"/>
      <c r="G10" s="3"/>
      <c r="H10" s="3"/>
      <c r="I10" s="3"/>
      <c r="J10" s="3"/>
      <c r="K10" s="3"/>
      <c r="L10" s="3"/>
      <c r="M10" s="3"/>
      <c r="N10" s="3"/>
      <c r="O10" s="3"/>
      <c r="P10" s="3"/>
      <c r="Q10" s="3"/>
      <c r="R10" s="3"/>
      <c r="S10" s="3"/>
      <c r="T10" s="3"/>
    </row>
    <row r="11" spans="1:20">
      <c r="A11" s="2" t="s">
        <v>71</v>
      </c>
      <c r="B11" s="3"/>
      <c r="C11" s="3"/>
      <c r="D11" s="3"/>
      <c r="E11" s="3"/>
      <c r="F11" s="3"/>
      <c r="G11" s="3"/>
      <c r="H11" s="3"/>
      <c r="I11" s="3"/>
      <c r="J11" s="3"/>
      <c r="K11" s="3"/>
      <c r="L11" s="3"/>
      <c r="M11" s="3"/>
      <c r="N11" s="3"/>
      <c r="O11" s="3"/>
      <c r="P11" s="3"/>
      <c r="Q11" s="3"/>
      <c r="R11" s="3"/>
      <c r="S11" s="3"/>
      <c r="T11" s="3"/>
    </row>
    <row r="12" spans="1:20">
      <c r="A12" s="2" t="s">
        <v>72</v>
      </c>
      <c r="B12" s="3"/>
      <c r="C12" s="3"/>
      <c r="D12" s="3"/>
      <c r="E12" s="3"/>
      <c r="F12" s="3"/>
      <c r="G12" s="3"/>
      <c r="H12" s="3"/>
      <c r="I12" s="3"/>
      <c r="J12" s="3"/>
      <c r="K12" s="3"/>
      <c r="L12" s="3"/>
      <c r="M12" s="3"/>
      <c r="N12" s="3"/>
      <c r="O12" s="3"/>
      <c r="P12" s="3"/>
      <c r="Q12" s="3"/>
      <c r="R12" s="3"/>
      <c r="S12" s="3"/>
      <c r="T12" s="3"/>
    </row>
    <row r="13" spans="1:20">
      <c r="A13" s="2" t="s">
        <v>73</v>
      </c>
      <c r="B13" s="3"/>
      <c r="C13" s="3"/>
      <c r="D13" s="3"/>
      <c r="E13" s="3"/>
      <c r="F13" s="3"/>
      <c r="G13" s="3"/>
      <c r="H13" s="3"/>
      <c r="I13" s="3"/>
      <c r="J13" s="3"/>
      <c r="K13" s="3"/>
      <c r="L13" s="3"/>
      <c r="M13" s="3"/>
      <c r="N13" s="3"/>
      <c r="O13" s="3"/>
      <c r="P13" s="3"/>
      <c r="Q13" s="3"/>
      <c r="R13" s="3"/>
      <c r="S13" s="3"/>
      <c r="T13" s="3"/>
    </row>
    <row r="14" spans="1:20">
      <c r="A14" s="2" t="s">
        <v>74</v>
      </c>
      <c r="B14" s="3"/>
      <c r="C14" s="3"/>
      <c r="D14" s="3"/>
      <c r="E14" s="3"/>
      <c r="F14" s="3"/>
      <c r="G14" s="3"/>
      <c r="H14" s="3"/>
      <c r="I14" s="3"/>
      <c r="J14" s="3"/>
      <c r="K14" s="3"/>
      <c r="L14" s="3"/>
      <c r="M14" s="3"/>
      <c r="N14" s="3"/>
      <c r="O14" s="3"/>
      <c r="P14" s="3"/>
      <c r="Q14" s="3"/>
      <c r="R14" s="3"/>
      <c r="S14" s="3"/>
      <c r="T14" s="3"/>
    </row>
    <row r="15" spans="1:20">
      <c r="A15" s="3"/>
      <c r="B15" s="3"/>
      <c r="C15" s="3"/>
      <c r="D15" s="3"/>
      <c r="E15" s="3"/>
      <c r="F15" s="3"/>
      <c r="G15" s="3"/>
      <c r="H15" s="3"/>
      <c r="I15" s="3"/>
      <c r="J15" s="3"/>
      <c r="K15" s="3"/>
      <c r="L15" s="3"/>
      <c r="M15" s="3"/>
      <c r="N15" s="3"/>
      <c r="O15" s="3"/>
      <c r="P15" s="3"/>
      <c r="Q15" s="3"/>
      <c r="R15" s="3"/>
      <c r="S15" s="3"/>
      <c r="T15" s="3"/>
    </row>
  </sheetData>
  <hyperlinks>
    <hyperlink ref="H3" location="dv_consolidacion_contracargo!A1" display="dv_consolidacion_contracargo" xr:uid="{4E5793E1-B5BA-451E-A111-E619D5C8003E}"/>
    <hyperlink ref="H4" location="v_reporte_cc_primera_linea!A1" display="v_reporte_cc_primera_linea" xr:uid="{84C7CF62-8A9E-4EDD-A86C-F63EC7B17302}"/>
    <hyperlink ref="H5" location="v_reporte_cc_tercera_linea!A1" display="v_reporte_cc_tercera_linea" xr:uid="{A82E79C6-DBE1-4946-8BD1-0891403BE459}"/>
    <hyperlink ref="H6" location="dv_consolidacion_contracargo!A1" display="dv_consolidacion_contracargo" xr:uid="{904EC354-D439-4483-B0C9-749D78A703F6}"/>
    <hyperlink ref="H7" location="dv_consolidacion_contracargo!A1" display="dv_consolidacion_contracargo" xr:uid="{B85B22BE-9EB1-4ACD-93BE-C1F9A3334276}"/>
    <hyperlink ref="H8" location="dv_consolidacion_contracargo!A1" display="dv_consolidacion_contracargo" xr:uid="{F860199B-BA30-49AC-B109-8EBF27B8EBA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74"/>
  <sheetViews>
    <sheetView showGridLines="0" tabSelected="1" topLeftCell="B1" zoomScale="85" zoomScaleNormal="85" workbookViewId="0">
      <pane ySplit="2" topLeftCell="A3" activePane="bottomLeft" state="frozen"/>
      <selection pane="bottomLeft" activeCell="D6" sqref="D6"/>
    </sheetView>
  </sheetViews>
  <sheetFormatPr baseColWidth="10" defaultColWidth="11.44140625" defaultRowHeight="14.4"/>
  <cols>
    <col min="1" max="2" width="29" customWidth="1"/>
    <col min="3" max="3" width="36.33203125" customWidth="1"/>
    <col min="4" max="4" width="29" customWidth="1"/>
    <col min="5" max="5" width="60.6640625" customWidth="1"/>
    <col min="6" max="6" width="64.33203125" customWidth="1"/>
    <col min="7" max="7" width="19.109375" customWidth="1"/>
    <col min="8" max="8" width="29" customWidth="1"/>
    <col min="9" max="9" width="40.5546875" customWidth="1"/>
    <col min="10" max="13" width="29" customWidth="1"/>
  </cols>
  <sheetData>
    <row r="1" spans="1:13" ht="31.2">
      <c r="A1" s="14" t="s">
        <v>14</v>
      </c>
      <c r="B1" s="15" t="s">
        <v>15</v>
      </c>
      <c r="C1" s="15" t="s">
        <v>6</v>
      </c>
      <c r="D1" s="15" t="s">
        <v>7</v>
      </c>
      <c r="E1" s="15" t="s">
        <v>75</v>
      </c>
      <c r="F1" s="15" t="s">
        <v>76</v>
      </c>
      <c r="G1" s="15" t="s">
        <v>77</v>
      </c>
      <c r="H1" s="15" t="s">
        <v>78</v>
      </c>
      <c r="I1" s="15" t="s">
        <v>79</v>
      </c>
      <c r="J1" s="15" t="s">
        <v>80</v>
      </c>
      <c r="K1" s="15" t="s">
        <v>81</v>
      </c>
      <c r="L1" s="15" t="s">
        <v>82</v>
      </c>
      <c r="M1" s="15" t="s">
        <v>83</v>
      </c>
    </row>
    <row r="2" spans="1:13" ht="46.8">
      <c r="A2" s="16" t="s">
        <v>32</v>
      </c>
      <c r="B2" s="16" t="s">
        <v>33</v>
      </c>
      <c r="C2" s="16" t="s">
        <v>84</v>
      </c>
      <c r="D2" s="16" t="s">
        <v>85</v>
      </c>
      <c r="E2" s="16" t="s">
        <v>86</v>
      </c>
      <c r="F2" s="16" t="s">
        <v>87</v>
      </c>
      <c r="G2" s="16" t="s">
        <v>88</v>
      </c>
      <c r="H2" s="16" t="s">
        <v>89</v>
      </c>
      <c r="I2" s="16" t="s">
        <v>90</v>
      </c>
      <c r="J2" s="16" t="s">
        <v>91</v>
      </c>
      <c r="K2" s="16" t="s">
        <v>92</v>
      </c>
      <c r="L2" s="16" t="s">
        <v>93</v>
      </c>
      <c r="M2" s="16" t="s">
        <v>92</v>
      </c>
    </row>
    <row r="3" spans="1:13">
      <c r="A3" s="17" t="s">
        <v>49</v>
      </c>
      <c r="B3" s="17" t="s">
        <v>50</v>
      </c>
      <c r="C3" s="18" t="s">
        <v>51</v>
      </c>
      <c r="D3" s="19" t="s">
        <v>94</v>
      </c>
      <c r="E3" s="19" t="str">
        <f>UPPER(F3)</f>
        <v>FECHA DE FOTO/DATOS CONFIGURADA EN EL ETL PARA LA EXTRACCIÓN DE DATOS, CORRESPONDE A APERTURAS DE COMERCIOS HASTA EL CIERRE DEL DÍA ANTERIOR</v>
      </c>
      <c r="F3" s="19" t="s">
        <v>95</v>
      </c>
      <c r="G3" s="17" t="s">
        <v>56</v>
      </c>
      <c r="H3" s="17" t="s">
        <v>96</v>
      </c>
      <c r="I3" s="23">
        <v>45841</v>
      </c>
      <c r="J3" s="17" t="s">
        <v>56</v>
      </c>
      <c r="K3" s="17" t="s">
        <v>56</v>
      </c>
      <c r="L3" s="17" t="s">
        <v>97</v>
      </c>
      <c r="M3" s="17" t="s">
        <v>56</v>
      </c>
    </row>
    <row r="4" spans="1:13">
      <c r="A4" s="17" t="s">
        <v>49</v>
      </c>
      <c r="B4" s="17" t="s">
        <v>50</v>
      </c>
      <c r="C4" s="18" t="s">
        <v>51</v>
      </c>
      <c r="D4" s="19" t="s">
        <v>98</v>
      </c>
      <c r="E4" s="19" t="str">
        <f t="shared" ref="E4:E61" si="0">UPPER(F4)</f>
        <v>MARCA DE LA TARJETA</v>
      </c>
      <c r="F4" s="19" t="s">
        <v>99</v>
      </c>
      <c r="G4" s="17" t="s">
        <v>56</v>
      </c>
      <c r="H4" s="17" t="s">
        <v>100</v>
      </c>
      <c r="I4" s="22" t="s">
        <v>101</v>
      </c>
      <c r="J4" s="17" t="s">
        <v>56</v>
      </c>
      <c r="K4" s="17" t="s">
        <v>97</v>
      </c>
      <c r="L4" s="17" t="s">
        <v>56</v>
      </c>
      <c r="M4" s="17" t="s">
        <v>56</v>
      </c>
    </row>
    <row r="5" spans="1:13">
      <c r="A5" s="17" t="s">
        <v>49</v>
      </c>
      <c r="B5" s="17" t="s">
        <v>50</v>
      </c>
      <c r="C5" s="18" t="s">
        <v>51</v>
      </c>
      <c r="D5" s="19" t="s">
        <v>102</v>
      </c>
      <c r="E5" s="19" t="str">
        <f t="shared" si="0"/>
        <v>JURISDICCION DEL PAÍS DONDE OCURRE LA TRANSACCIÓN. LOCAL O INTERNACIONAL PARA MASTERCARD Y REGIONAL-LAC, DIMESTIC-PE, INTER-REGIONAL PARA VISA</v>
      </c>
      <c r="F5" s="19" t="s">
        <v>103</v>
      </c>
      <c r="G5" s="17" t="s">
        <v>56</v>
      </c>
      <c r="H5" s="17" t="s">
        <v>100</v>
      </c>
      <c r="I5" s="22" t="s">
        <v>104</v>
      </c>
      <c r="J5" s="17" t="s">
        <v>56</v>
      </c>
      <c r="K5" s="17" t="s">
        <v>97</v>
      </c>
      <c r="L5" s="17" t="s">
        <v>56</v>
      </c>
      <c r="M5" s="17" t="s">
        <v>56</v>
      </c>
    </row>
    <row r="6" spans="1:13">
      <c r="A6" s="17" t="s">
        <v>49</v>
      </c>
      <c r="B6" s="17" t="s">
        <v>50</v>
      </c>
      <c r="C6" s="18" t="s">
        <v>51</v>
      </c>
      <c r="D6" s="19" t="s">
        <v>404</v>
      </c>
      <c r="E6" s="19" t="str">
        <f t="shared" si="0"/>
        <v>BIN DE LA TARJETA (PRIMEROS 9 DÍGITOS)</v>
      </c>
      <c r="F6" s="19" t="s">
        <v>405</v>
      </c>
      <c r="G6" s="17" t="s">
        <v>56</v>
      </c>
      <c r="H6" s="17" t="s">
        <v>100</v>
      </c>
      <c r="I6" s="22">
        <v>527603122</v>
      </c>
      <c r="J6" s="17" t="s">
        <v>56</v>
      </c>
      <c r="K6" s="17" t="s">
        <v>97</v>
      </c>
      <c r="L6" s="17" t="s">
        <v>56</v>
      </c>
      <c r="M6" s="17" t="s">
        <v>56</v>
      </c>
    </row>
    <row r="7" spans="1:13">
      <c r="A7" s="17" t="s">
        <v>49</v>
      </c>
      <c r="B7" s="17" t="s">
        <v>50</v>
      </c>
      <c r="C7" s="18" t="s">
        <v>51</v>
      </c>
      <c r="D7" s="19" t="s">
        <v>105</v>
      </c>
      <c r="E7" s="19" t="str">
        <f t="shared" ref="E7" si="1">UPPER(F7)</f>
        <v>ÚLTIMOS 4 DÍGITOS DE LA TARJETA</v>
      </c>
      <c r="F7" s="19" t="s">
        <v>106</v>
      </c>
      <c r="G7" s="17" t="s">
        <v>56</v>
      </c>
      <c r="H7" s="17" t="s">
        <v>100</v>
      </c>
      <c r="I7" s="22">
        <v>2545</v>
      </c>
      <c r="J7" s="17" t="s">
        <v>56</v>
      </c>
      <c r="K7" s="17" t="s">
        <v>97</v>
      </c>
      <c r="L7" s="17" t="s">
        <v>56</v>
      </c>
      <c r="M7" s="17" t="s">
        <v>56</v>
      </c>
    </row>
    <row r="8" spans="1:13">
      <c r="A8" s="17" t="s">
        <v>49</v>
      </c>
      <c r="B8" s="17" t="s">
        <v>50</v>
      </c>
      <c r="C8" s="18" t="s">
        <v>51</v>
      </c>
      <c r="D8" s="19" t="s">
        <v>107</v>
      </c>
      <c r="E8" s="19" t="str">
        <f t="shared" si="0"/>
        <v>NOMBRE DEL BANCO EMISOR DEL TARJETA HABIENTE</v>
      </c>
      <c r="F8" s="19" t="s">
        <v>108</v>
      </c>
      <c r="G8" s="17" t="s">
        <v>56</v>
      </c>
      <c r="H8" s="17" t="s">
        <v>100</v>
      </c>
      <c r="I8" s="22" t="s">
        <v>109</v>
      </c>
      <c r="J8" s="17" t="s">
        <v>56</v>
      </c>
      <c r="K8" s="17" t="s">
        <v>97</v>
      </c>
      <c r="L8" s="17" t="s">
        <v>56</v>
      </c>
      <c r="M8" s="17" t="s">
        <v>56</v>
      </c>
    </row>
    <row r="9" spans="1:13">
      <c r="A9" s="17" t="s">
        <v>49</v>
      </c>
      <c r="B9" s="17" t="s">
        <v>50</v>
      </c>
      <c r="C9" s="18" t="s">
        <v>51</v>
      </c>
      <c r="D9" s="19" t="s">
        <v>110</v>
      </c>
      <c r="E9" s="19" t="str">
        <f t="shared" si="0"/>
        <v>FECHA DE INGRESO DEL CONTRACARGO</v>
      </c>
      <c r="F9" s="19" t="s">
        <v>111</v>
      </c>
      <c r="G9" s="17" t="s">
        <v>56</v>
      </c>
      <c r="H9" s="17" t="s">
        <v>96</v>
      </c>
      <c r="I9" s="22" t="s">
        <v>112</v>
      </c>
      <c r="J9" s="17" t="s">
        <v>56</v>
      </c>
      <c r="K9" s="17" t="s">
        <v>97</v>
      </c>
      <c r="L9" s="17" t="s">
        <v>56</v>
      </c>
      <c r="M9" s="17" t="s">
        <v>56</v>
      </c>
    </row>
    <row r="10" spans="1:13">
      <c r="A10" s="17" t="s">
        <v>49</v>
      </c>
      <c r="B10" s="17" t="s">
        <v>50</v>
      </c>
      <c r="C10" s="18" t="s">
        <v>51</v>
      </c>
      <c r="D10" s="19" t="s">
        <v>113</v>
      </c>
      <c r="E10" s="19" t="str">
        <f t="shared" si="0"/>
        <v>CODIGO ICA DEL EMISOR</v>
      </c>
      <c r="F10" s="19" t="s">
        <v>114</v>
      </c>
      <c r="G10" s="17" t="s">
        <v>56</v>
      </c>
      <c r="H10" s="17" t="s">
        <v>100</v>
      </c>
      <c r="I10" s="22" t="s">
        <v>115</v>
      </c>
      <c r="J10" s="17" t="s">
        <v>56</v>
      </c>
      <c r="K10" s="17" t="s">
        <v>97</v>
      </c>
      <c r="L10" s="17" t="s">
        <v>56</v>
      </c>
      <c r="M10" s="17" t="s">
        <v>56</v>
      </c>
    </row>
    <row r="11" spans="1:13">
      <c r="A11" s="17" t="s">
        <v>49</v>
      </c>
      <c r="B11" s="17" t="s">
        <v>50</v>
      </c>
      <c r="C11" s="18" t="s">
        <v>51</v>
      </c>
      <c r="D11" s="19" t="s">
        <v>116</v>
      </c>
      <c r="E11" s="19" t="str">
        <f t="shared" si="0"/>
        <v>CODIGO ICA DEL ADQUIRENTE</v>
      </c>
      <c r="F11" s="19" t="s">
        <v>117</v>
      </c>
      <c r="G11" s="17" t="s">
        <v>56</v>
      </c>
      <c r="H11" s="17" t="s">
        <v>100</v>
      </c>
      <c r="I11" s="22" t="s">
        <v>118</v>
      </c>
      <c r="J11" s="17" t="s">
        <v>56</v>
      </c>
      <c r="K11" s="17" t="s">
        <v>97</v>
      </c>
      <c r="L11" s="17" t="s">
        <v>56</v>
      </c>
      <c r="M11" s="17" t="s">
        <v>56</v>
      </c>
    </row>
    <row r="12" spans="1:13">
      <c r="A12" s="17" t="s">
        <v>49</v>
      </c>
      <c r="B12" s="17" t="s">
        <v>50</v>
      </c>
      <c r="C12" s="18" t="s">
        <v>51</v>
      </c>
      <c r="D12" s="19" t="s">
        <v>119</v>
      </c>
      <c r="E12" s="19" t="str">
        <f t="shared" si="0"/>
        <v>CODIGO MTI</v>
      </c>
      <c r="F12" s="19" t="s">
        <v>120</v>
      </c>
      <c r="G12" s="17" t="s">
        <v>56</v>
      </c>
      <c r="H12" s="17" t="s">
        <v>100</v>
      </c>
      <c r="I12" s="22" t="s">
        <v>121</v>
      </c>
      <c r="J12" s="17" t="s">
        <v>56</v>
      </c>
      <c r="K12" s="17" t="s">
        <v>97</v>
      </c>
      <c r="L12" s="17" t="s">
        <v>56</v>
      </c>
      <c r="M12" s="17" t="s">
        <v>56</v>
      </c>
    </row>
    <row r="13" spans="1:13">
      <c r="A13" s="17" t="s">
        <v>49</v>
      </c>
      <c r="B13" s="17" t="s">
        <v>50</v>
      </c>
      <c r="C13" s="18" t="s">
        <v>51</v>
      </c>
      <c r="D13" s="19" t="s">
        <v>122</v>
      </c>
      <c r="E13" s="19" t="str">
        <f t="shared" si="0"/>
        <v>CODIGO FUN INDICA LA ETAPA DEL CONTRACARGO</v>
      </c>
      <c r="F13" s="19" t="s">
        <v>123</v>
      </c>
      <c r="G13" s="17" t="s">
        <v>56</v>
      </c>
      <c r="H13" s="17" t="s">
        <v>100</v>
      </c>
      <c r="I13" s="22" t="s">
        <v>124</v>
      </c>
      <c r="J13" s="17" t="s">
        <v>56</v>
      </c>
      <c r="K13" s="17" t="s">
        <v>97</v>
      </c>
      <c r="L13" s="17" t="s">
        <v>56</v>
      </c>
      <c r="M13" s="17" t="s">
        <v>56</v>
      </c>
    </row>
    <row r="14" spans="1:13">
      <c r="A14" s="17" t="s">
        <v>49</v>
      </c>
      <c r="B14" s="17" t="s">
        <v>50</v>
      </c>
      <c r="C14" s="18" t="s">
        <v>51</v>
      </c>
      <c r="D14" s="19" t="s">
        <v>290</v>
      </c>
      <c r="E14" s="19" t="str">
        <f t="shared" si="0"/>
        <v>TARJETA ENMASCARADA, CONFORMADO POR LOS 6 PRIMEROS DÍGITOS, 6 ASTERICOS Y 4 ÚLTIMOS</v>
      </c>
      <c r="F14" s="19" t="s">
        <v>406</v>
      </c>
      <c r="G14" s="17" t="s">
        <v>56</v>
      </c>
      <c r="H14" s="17" t="s">
        <v>100</v>
      </c>
      <c r="I14" s="22" t="s">
        <v>407</v>
      </c>
      <c r="J14" s="17" t="s">
        <v>56</v>
      </c>
      <c r="K14" s="17" t="s">
        <v>97</v>
      </c>
      <c r="L14" s="17" t="s">
        <v>56</v>
      </c>
      <c r="M14" s="17" t="s">
        <v>56</v>
      </c>
    </row>
    <row r="15" spans="1:13">
      <c r="A15" s="17" t="s">
        <v>49</v>
      </c>
      <c r="B15" s="17" t="s">
        <v>50</v>
      </c>
      <c r="C15" s="18" t="s">
        <v>51</v>
      </c>
      <c r="D15" s="19" t="s">
        <v>125</v>
      </c>
      <c r="E15" s="19" t="str">
        <f t="shared" si="0"/>
        <v>CODIGO DEL TIPO DE CONTRACARGO (PARA MASTERCARD)</v>
      </c>
      <c r="F15" s="19" t="s">
        <v>126</v>
      </c>
      <c r="G15" s="17" t="s">
        <v>56</v>
      </c>
      <c r="H15" s="17" t="s">
        <v>100</v>
      </c>
      <c r="I15" s="22" t="s">
        <v>127</v>
      </c>
      <c r="J15" s="17" t="s">
        <v>56</v>
      </c>
      <c r="K15" s="17" t="s">
        <v>97</v>
      </c>
      <c r="L15" s="17" t="s">
        <v>56</v>
      </c>
      <c r="M15" s="17" t="s">
        <v>56</v>
      </c>
    </row>
    <row r="16" spans="1:13">
      <c r="A16" s="17" t="s">
        <v>49</v>
      </c>
      <c r="B16" s="17" t="s">
        <v>50</v>
      </c>
      <c r="C16" s="18" t="s">
        <v>51</v>
      </c>
      <c r="D16" s="19" t="s">
        <v>128</v>
      </c>
      <c r="E16" s="19" t="str">
        <f t="shared" si="0"/>
        <v>MONEDA DEL CONTRACARGO (PEN, USD)</v>
      </c>
      <c r="F16" s="19" t="s">
        <v>129</v>
      </c>
      <c r="G16" s="17" t="s">
        <v>56</v>
      </c>
      <c r="H16" s="17" t="s">
        <v>100</v>
      </c>
      <c r="I16" s="22" t="s">
        <v>130</v>
      </c>
      <c r="J16" s="17" t="s">
        <v>56</v>
      </c>
      <c r="K16" s="17" t="s">
        <v>97</v>
      </c>
      <c r="L16" s="17" t="s">
        <v>56</v>
      </c>
      <c r="M16" s="17" t="s">
        <v>56</v>
      </c>
    </row>
    <row r="17" spans="1:13">
      <c r="A17" s="17" t="s">
        <v>49</v>
      </c>
      <c r="B17" s="17" t="s">
        <v>50</v>
      </c>
      <c r="C17" s="18" t="s">
        <v>51</v>
      </c>
      <c r="D17" s="19" t="s">
        <v>131</v>
      </c>
      <c r="E17" s="19" t="str">
        <f t="shared" si="0"/>
        <v>IMPORTE DEL CONTRACARGO</v>
      </c>
      <c r="F17" s="19" t="s">
        <v>132</v>
      </c>
      <c r="G17" s="17" t="s">
        <v>56</v>
      </c>
      <c r="H17" s="17" t="s">
        <v>133</v>
      </c>
      <c r="I17" s="22" t="s">
        <v>134</v>
      </c>
      <c r="J17" s="17" t="s">
        <v>56</v>
      </c>
      <c r="K17" s="17" t="s">
        <v>97</v>
      </c>
      <c r="L17" s="17" t="s">
        <v>56</v>
      </c>
      <c r="M17" s="17" t="s">
        <v>56</v>
      </c>
    </row>
    <row r="18" spans="1:13">
      <c r="A18" s="17" t="s">
        <v>49</v>
      </c>
      <c r="B18" s="17" t="s">
        <v>50</v>
      </c>
      <c r="C18" s="18" t="s">
        <v>51</v>
      </c>
      <c r="D18" s="19" t="s">
        <v>135</v>
      </c>
      <c r="E18" s="19" t="str">
        <f t="shared" si="0"/>
        <v>CODIGO DE AUTORIZACION DE LA TRANSACCION</v>
      </c>
      <c r="F18" s="19" t="s">
        <v>136</v>
      </c>
      <c r="G18" s="17" t="s">
        <v>56</v>
      </c>
      <c r="H18" s="17" t="s">
        <v>100</v>
      </c>
      <c r="I18" s="22" t="s">
        <v>137</v>
      </c>
      <c r="J18" s="17" t="s">
        <v>56</v>
      </c>
      <c r="K18" s="17" t="s">
        <v>97</v>
      </c>
      <c r="L18" s="17" t="s">
        <v>56</v>
      </c>
      <c r="M18" s="17" t="s">
        <v>56</v>
      </c>
    </row>
    <row r="19" spans="1:13">
      <c r="A19" s="17" t="s">
        <v>49</v>
      </c>
      <c r="B19" s="17" t="s">
        <v>50</v>
      </c>
      <c r="C19" s="18" t="s">
        <v>51</v>
      </c>
      <c r="D19" s="19" t="s">
        <v>138</v>
      </c>
      <c r="E19" s="19" t="str">
        <f t="shared" si="0"/>
        <v>NUMERO DE REFERENCIA DEL ADQUIRENTE</v>
      </c>
      <c r="F19" s="19" t="s">
        <v>139</v>
      </c>
      <c r="G19" s="17" t="s">
        <v>56</v>
      </c>
      <c r="H19" s="17" t="s">
        <v>100</v>
      </c>
      <c r="I19" s="22" t="s">
        <v>140</v>
      </c>
      <c r="J19" s="17" t="s">
        <v>97</v>
      </c>
      <c r="K19" s="17" t="s">
        <v>97</v>
      </c>
      <c r="L19" s="17" t="s">
        <v>56</v>
      </c>
      <c r="M19" s="17" t="s">
        <v>56</v>
      </c>
    </row>
    <row r="20" spans="1:13">
      <c r="A20" s="17" t="s">
        <v>49</v>
      </c>
      <c r="B20" s="17" t="s">
        <v>50</v>
      </c>
      <c r="C20" s="18" t="s">
        <v>51</v>
      </c>
      <c r="D20" s="19" t="s">
        <v>141</v>
      </c>
      <c r="E20" s="19" t="str">
        <f t="shared" si="0"/>
        <v>CODIGO DE COMERCIO</v>
      </c>
      <c r="F20" s="19" t="s">
        <v>142</v>
      </c>
      <c r="G20" s="17" t="s">
        <v>56</v>
      </c>
      <c r="H20" s="17" t="s">
        <v>100</v>
      </c>
      <c r="I20" s="22" t="s">
        <v>143</v>
      </c>
      <c r="J20" s="17" t="s">
        <v>97</v>
      </c>
      <c r="K20" s="17" t="s">
        <v>97</v>
      </c>
      <c r="L20" s="17" t="s">
        <v>56</v>
      </c>
      <c r="M20" s="17" t="s">
        <v>97</v>
      </c>
    </row>
    <row r="21" spans="1:13">
      <c r="A21" s="17" t="s">
        <v>49</v>
      </c>
      <c r="B21" s="17" t="s">
        <v>50</v>
      </c>
      <c r="C21" s="18" t="s">
        <v>51</v>
      </c>
      <c r="D21" s="19" t="s">
        <v>144</v>
      </c>
      <c r="E21" s="19" t="str">
        <f t="shared" si="0"/>
        <v>NOMBRE DE COMERCIO</v>
      </c>
      <c r="F21" s="19" t="s">
        <v>145</v>
      </c>
      <c r="G21" s="17" t="s">
        <v>56</v>
      </c>
      <c r="H21" s="17" t="s">
        <v>100</v>
      </c>
      <c r="I21" s="22" t="s">
        <v>146</v>
      </c>
      <c r="J21" s="17" t="s">
        <v>56</v>
      </c>
      <c r="K21" s="17" t="s">
        <v>97</v>
      </c>
      <c r="L21" s="17" t="s">
        <v>56</v>
      </c>
      <c r="M21" s="17" t="s">
        <v>56</v>
      </c>
    </row>
    <row r="22" spans="1:13">
      <c r="A22" s="17" t="s">
        <v>49</v>
      </c>
      <c r="B22" s="17" t="s">
        <v>50</v>
      </c>
      <c r="C22" s="18" t="s">
        <v>51</v>
      </c>
      <c r="D22" s="19" t="s">
        <v>147</v>
      </c>
      <c r="E22" s="19" t="str">
        <f t="shared" si="0"/>
        <v>NUMERO DE CONTROL/CASO DEL CONTRACARGO</v>
      </c>
      <c r="F22" s="19" t="s">
        <v>148</v>
      </c>
      <c r="G22" s="17" t="s">
        <v>56</v>
      </c>
      <c r="H22" s="17" t="s">
        <v>100</v>
      </c>
      <c r="I22" s="22" t="s">
        <v>149</v>
      </c>
      <c r="J22" s="17" t="s">
        <v>56</v>
      </c>
      <c r="K22" s="17" t="s">
        <v>97</v>
      </c>
      <c r="L22" s="17" t="s">
        <v>56</v>
      </c>
      <c r="M22" s="17" t="s">
        <v>56</v>
      </c>
    </row>
    <row r="23" spans="1:13">
      <c r="A23" s="17" t="s">
        <v>49</v>
      </c>
      <c r="B23" s="17" t="s">
        <v>50</v>
      </c>
      <c r="C23" s="18" t="s">
        <v>51</v>
      </c>
      <c r="D23" s="19" t="s">
        <v>150</v>
      </c>
      <c r="E23" s="19" t="str">
        <f t="shared" si="0"/>
        <v>CODIGO DEL MOTIVO DEL CONTRACARGO</v>
      </c>
      <c r="F23" s="19" t="s">
        <v>151</v>
      </c>
      <c r="G23" s="17" t="s">
        <v>56</v>
      </c>
      <c r="H23" s="17" t="s">
        <v>100</v>
      </c>
      <c r="I23" s="22" t="s">
        <v>152</v>
      </c>
      <c r="J23" s="17" t="s">
        <v>56</v>
      </c>
      <c r="K23" s="17" t="s">
        <v>97</v>
      </c>
      <c r="L23" s="17" t="s">
        <v>56</v>
      </c>
      <c r="M23" s="17" t="s">
        <v>56</v>
      </c>
    </row>
    <row r="24" spans="1:13">
      <c r="A24" s="17" t="s">
        <v>49</v>
      </c>
      <c r="B24" s="17" t="s">
        <v>50</v>
      </c>
      <c r="C24" s="18" t="s">
        <v>51</v>
      </c>
      <c r="D24" s="19" t="s">
        <v>153</v>
      </c>
      <c r="E24" s="19" t="str">
        <f t="shared" si="0"/>
        <v>CATEGORIA DEL MOTIVO DEL CONTRACARGO</v>
      </c>
      <c r="F24" s="19" t="s">
        <v>154</v>
      </c>
      <c r="G24" s="17" t="s">
        <v>56</v>
      </c>
      <c r="H24" s="17" t="s">
        <v>100</v>
      </c>
      <c r="I24" s="22" t="s">
        <v>155</v>
      </c>
      <c r="J24" s="17" t="s">
        <v>56</v>
      </c>
      <c r="K24" s="17" t="s">
        <v>97</v>
      </c>
      <c r="L24" s="17" t="s">
        <v>56</v>
      </c>
      <c r="M24" s="17" t="s">
        <v>56</v>
      </c>
    </row>
    <row r="25" spans="1:13">
      <c r="A25" s="17" t="s">
        <v>49</v>
      </c>
      <c r="B25" s="17" t="s">
        <v>50</v>
      </c>
      <c r="C25" s="18" t="s">
        <v>51</v>
      </c>
      <c r="D25" s="19" t="s">
        <v>156</v>
      </c>
      <c r="E25" s="19" t="str">
        <f t="shared" si="0"/>
        <v>PAIS DEL BANCO EMISOR</v>
      </c>
      <c r="F25" s="19" t="s">
        <v>157</v>
      </c>
      <c r="G25" s="17" t="s">
        <v>56</v>
      </c>
      <c r="H25" s="17" t="s">
        <v>100</v>
      </c>
      <c r="I25" s="22" t="s">
        <v>158</v>
      </c>
      <c r="J25" s="17" t="s">
        <v>56</v>
      </c>
      <c r="K25" s="17" t="s">
        <v>97</v>
      </c>
      <c r="L25" s="17" t="s">
        <v>56</v>
      </c>
      <c r="M25" s="17" t="s">
        <v>56</v>
      </c>
    </row>
    <row r="26" spans="1:13">
      <c r="A26" s="17" t="s">
        <v>49</v>
      </c>
      <c r="B26" s="17" t="s">
        <v>50</v>
      </c>
      <c r="C26" s="18" t="s">
        <v>51</v>
      </c>
      <c r="D26" s="19" t="s">
        <v>159</v>
      </c>
      <c r="E26" s="19" t="str">
        <f t="shared" si="0"/>
        <v>MENSAJE DEL EMISOR EN AS400</v>
      </c>
      <c r="F26" s="19" t="s">
        <v>160</v>
      </c>
      <c r="G26" s="17" t="s">
        <v>56</v>
      </c>
      <c r="H26" s="17" t="s">
        <v>100</v>
      </c>
      <c r="I26" s="22">
        <v>9342939658</v>
      </c>
      <c r="J26" s="17" t="s">
        <v>56</v>
      </c>
      <c r="K26" s="17" t="s">
        <v>97</v>
      </c>
      <c r="L26" s="17" t="s">
        <v>56</v>
      </c>
      <c r="M26" s="17" t="s">
        <v>56</v>
      </c>
    </row>
    <row r="27" spans="1:13">
      <c r="A27" s="17" t="s">
        <v>49</v>
      </c>
      <c r="B27" s="17" t="s">
        <v>50</v>
      </c>
      <c r="C27" s="18" t="s">
        <v>51</v>
      </c>
      <c r="D27" s="19" t="s">
        <v>161</v>
      </c>
      <c r="E27" s="19" t="str">
        <f t="shared" si="0"/>
        <v>ESTADO DEL CONTRACARGO EN AS400</v>
      </c>
      <c r="F27" s="19" t="s">
        <v>162</v>
      </c>
      <c r="G27" s="17" t="s">
        <v>56</v>
      </c>
      <c r="H27" s="17" t="s">
        <v>100</v>
      </c>
      <c r="I27" s="22" t="s">
        <v>163</v>
      </c>
      <c r="J27" s="17" t="s">
        <v>56</v>
      </c>
      <c r="K27" s="17" t="s">
        <v>97</v>
      </c>
      <c r="L27" s="17" t="s">
        <v>56</v>
      </c>
      <c r="M27" s="17" t="s">
        <v>97</v>
      </c>
    </row>
    <row r="28" spans="1:13">
      <c r="A28" s="17" t="s">
        <v>49</v>
      </c>
      <c r="B28" s="17" t="s">
        <v>50</v>
      </c>
      <c r="C28" s="18" t="s">
        <v>51</v>
      </c>
      <c r="D28" s="19" t="s">
        <v>164</v>
      </c>
      <c r="E28" s="19" t="str">
        <f t="shared" si="0"/>
        <v>FECHA DE CAMBIO DE ESTADO DE CONTRACARGO</v>
      </c>
      <c r="F28" s="19" t="s">
        <v>165</v>
      </c>
      <c r="G28" s="17" t="s">
        <v>56</v>
      </c>
      <c r="H28" s="17" t="s">
        <v>96</v>
      </c>
      <c r="I28" s="22" t="s">
        <v>166</v>
      </c>
      <c r="J28" s="17" t="s">
        <v>56</v>
      </c>
      <c r="K28" s="17" t="s">
        <v>97</v>
      </c>
      <c r="L28" s="17" t="s">
        <v>56</v>
      </c>
      <c r="M28" s="17" t="s">
        <v>56</v>
      </c>
    </row>
    <row r="29" spans="1:13">
      <c r="A29" s="17" t="s">
        <v>49</v>
      </c>
      <c r="B29" s="17" t="s">
        <v>50</v>
      </c>
      <c r="C29" s="18" t="s">
        <v>51</v>
      </c>
      <c r="D29" s="19" t="s">
        <v>167</v>
      </c>
      <c r="E29" s="19" t="str">
        <f t="shared" si="0"/>
        <v>USUARIO QUE GESTIONÓ EL CONTRACARGO EN AS400</v>
      </c>
      <c r="F29" s="19" t="s">
        <v>168</v>
      </c>
      <c r="G29" s="17" t="s">
        <v>56</v>
      </c>
      <c r="H29" s="17" t="s">
        <v>100</v>
      </c>
      <c r="I29" s="22" t="s">
        <v>169</v>
      </c>
      <c r="J29" s="17" t="s">
        <v>56</v>
      </c>
      <c r="K29" s="17" t="s">
        <v>97</v>
      </c>
      <c r="L29" s="17" t="s">
        <v>56</v>
      </c>
      <c r="M29" s="17" t="s">
        <v>56</v>
      </c>
    </row>
    <row r="30" spans="1:13">
      <c r="A30" s="17" t="s">
        <v>49</v>
      </c>
      <c r="B30" s="17" t="s">
        <v>50</v>
      </c>
      <c r="C30" s="18" t="s">
        <v>51</v>
      </c>
      <c r="D30" s="19" t="s">
        <v>170</v>
      </c>
      <c r="E30" s="19" t="str">
        <f t="shared" si="0"/>
        <v>OBSERVACIONES DEL USUARIO</v>
      </c>
      <c r="F30" s="19" t="s">
        <v>171</v>
      </c>
      <c r="G30" s="17" t="s">
        <v>56</v>
      </c>
      <c r="H30" s="17" t="s">
        <v>100</v>
      </c>
      <c r="I30" s="22" t="s">
        <v>172</v>
      </c>
      <c r="J30" s="17" t="s">
        <v>56</v>
      </c>
      <c r="K30" s="17" t="s">
        <v>97</v>
      </c>
      <c r="L30" s="17" t="s">
        <v>56</v>
      </c>
      <c r="M30" s="17" t="s">
        <v>56</v>
      </c>
    </row>
    <row r="31" spans="1:13">
      <c r="A31" s="17" t="s">
        <v>49</v>
      </c>
      <c r="B31" s="17" t="s">
        <v>50</v>
      </c>
      <c r="C31" s="18" t="s">
        <v>51</v>
      </c>
      <c r="D31" s="19" t="s">
        <v>173</v>
      </c>
      <c r="E31" s="19" t="str">
        <f t="shared" si="0"/>
        <v>CAMPO QUE INDICA SI ES UN CONTRACARGO ÚNICO O DUPLICADO</v>
      </c>
      <c r="F31" s="19" t="s">
        <v>174</v>
      </c>
      <c r="G31" s="17" t="s">
        <v>56</v>
      </c>
      <c r="H31" s="17" t="s">
        <v>100</v>
      </c>
      <c r="I31" s="22" t="s">
        <v>175</v>
      </c>
      <c r="J31" s="17" t="s">
        <v>56</v>
      </c>
      <c r="K31" s="17" t="s">
        <v>97</v>
      </c>
      <c r="L31" s="17" t="s">
        <v>56</v>
      </c>
      <c r="M31" s="17" t="s">
        <v>56</v>
      </c>
    </row>
    <row r="32" spans="1:13">
      <c r="A32" s="17" t="s">
        <v>49</v>
      </c>
      <c r="B32" s="17" t="s">
        <v>50</v>
      </c>
      <c r="C32" s="18" t="s">
        <v>51</v>
      </c>
      <c r="D32" s="19" t="s">
        <v>176</v>
      </c>
      <c r="E32" s="19" t="str">
        <f t="shared" si="0"/>
        <v>FECHA DE LA TRANSACCION</v>
      </c>
      <c r="F32" s="19" t="s">
        <v>177</v>
      </c>
      <c r="G32" s="17" t="s">
        <v>56</v>
      </c>
      <c r="H32" s="17" t="s">
        <v>96</v>
      </c>
      <c r="I32" s="22" t="s">
        <v>178</v>
      </c>
      <c r="J32" s="17" t="s">
        <v>56</v>
      </c>
      <c r="K32" s="17" t="s">
        <v>97</v>
      </c>
      <c r="L32" s="17" t="s">
        <v>56</v>
      </c>
      <c r="M32" s="17" t="s">
        <v>56</v>
      </c>
    </row>
    <row r="33" spans="1:13">
      <c r="A33" s="17" t="s">
        <v>49</v>
      </c>
      <c r="B33" s="17" t="s">
        <v>50</v>
      </c>
      <c r="C33" s="18" t="s">
        <v>51</v>
      </c>
      <c r="D33" s="19" t="s">
        <v>179</v>
      </c>
      <c r="E33" s="19" t="str">
        <f t="shared" si="0"/>
        <v>FECHA DE PROCESO DE LA TRANSACCION</v>
      </c>
      <c r="F33" s="19" t="s">
        <v>180</v>
      </c>
      <c r="G33" s="17" t="s">
        <v>56</v>
      </c>
      <c r="H33" s="17" t="s">
        <v>96</v>
      </c>
      <c r="I33" s="22" t="s">
        <v>178</v>
      </c>
      <c r="J33" s="17" t="s">
        <v>56</v>
      </c>
      <c r="K33" s="17" t="s">
        <v>97</v>
      </c>
      <c r="L33" s="17" t="s">
        <v>56</v>
      </c>
      <c r="M33" s="17" t="s">
        <v>56</v>
      </c>
    </row>
    <row r="34" spans="1:13">
      <c r="A34" s="17" t="s">
        <v>49</v>
      </c>
      <c r="B34" s="17" t="s">
        <v>50</v>
      </c>
      <c r="C34" s="18" t="s">
        <v>51</v>
      </c>
      <c r="D34" s="19" t="s">
        <v>181</v>
      </c>
      <c r="E34" s="19" t="str">
        <f t="shared" si="0"/>
        <v>MONEDA DE LA TRANSACCION (PEN, USD)</v>
      </c>
      <c r="F34" s="19" t="s">
        <v>182</v>
      </c>
      <c r="G34" s="17" t="s">
        <v>56</v>
      </c>
      <c r="H34" s="17" t="s">
        <v>100</v>
      </c>
      <c r="I34" s="22" t="s">
        <v>130</v>
      </c>
      <c r="J34" s="17" t="s">
        <v>56</v>
      </c>
      <c r="K34" s="17" t="s">
        <v>97</v>
      </c>
      <c r="L34" s="17" t="s">
        <v>56</v>
      </c>
      <c r="M34" s="17" t="s">
        <v>56</v>
      </c>
    </row>
    <row r="35" spans="1:13">
      <c r="A35" s="17" t="s">
        <v>49</v>
      </c>
      <c r="B35" s="17" t="s">
        <v>50</v>
      </c>
      <c r="C35" s="18" t="s">
        <v>51</v>
      </c>
      <c r="D35" s="19" t="s">
        <v>183</v>
      </c>
      <c r="E35" s="19" t="str">
        <f t="shared" si="0"/>
        <v>IMPORTE DE LA TRANSACCION</v>
      </c>
      <c r="F35" s="19" t="s">
        <v>184</v>
      </c>
      <c r="G35" s="17" t="s">
        <v>56</v>
      </c>
      <c r="H35" s="17" t="s">
        <v>133</v>
      </c>
      <c r="I35" s="22" t="s">
        <v>185</v>
      </c>
      <c r="J35" s="17" t="s">
        <v>56</v>
      </c>
      <c r="K35" s="17" t="s">
        <v>97</v>
      </c>
      <c r="L35" s="17" t="s">
        <v>56</v>
      </c>
      <c r="M35" s="17" t="s">
        <v>56</v>
      </c>
    </row>
    <row r="36" spans="1:13">
      <c r="A36" s="17" t="s">
        <v>49</v>
      </c>
      <c r="B36" s="17" t="s">
        <v>50</v>
      </c>
      <c r="C36" s="18" t="s">
        <v>51</v>
      </c>
      <c r="D36" s="19" t="s">
        <v>186</v>
      </c>
      <c r="E36" s="19" t="str">
        <f t="shared" si="0"/>
        <v>MODO DE ENTRADA</v>
      </c>
      <c r="F36" s="19" t="s">
        <v>187</v>
      </c>
      <c r="G36" s="17" t="s">
        <v>56</v>
      </c>
      <c r="H36" s="17" t="s">
        <v>100</v>
      </c>
      <c r="I36" s="22" t="s">
        <v>188</v>
      </c>
      <c r="J36" s="17" t="s">
        <v>56</v>
      </c>
      <c r="K36" s="17" t="s">
        <v>97</v>
      </c>
      <c r="L36" s="17" t="s">
        <v>56</v>
      </c>
      <c r="M36" s="17" t="s">
        <v>56</v>
      </c>
    </row>
    <row r="37" spans="1:13">
      <c r="A37" s="17" t="s">
        <v>49</v>
      </c>
      <c r="B37" s="17" t="s">
        <v>50</v>
      </c>
      <c r="C37" s="18" t="s">
        <v>51</v>
      </c>
      <c r="D37" s="19" t="s">
        <v>189</v>
      </c>
      <c r="E37" s="19" t="str">
        <f t="shared" si="0"/>
        <v>CODIGO DE RESPUESTA ECOMMERCE</v>
      </c>
      <c r="F37" s="19" t="s">
        <v>190</v>
      </c>
      <c r="G37" s="17" t="s">
        <v>56</v>
      </c>
      <c r="H37" s="17" t="s">
        <v>100</v>
      </c>
      <c r="I37" s="22" t="s">
        <v>191</v>
      </c>
      <c r="J37" s="17" t="s">
        <v>56</v>
      </c>
      <c r="K37" s="17" t="s">
        <v>97</v>
      </c>
      <c r="L37" s="17" t="s">
        <v>56</v>
      </c>
      <c r="M37" s="17" t="s">
        <v>56</v>
      </c>
    </row>
    <row r="38" spans="1:13">
      <c r="A38" s="17" t="s">
        <v>49</v>
      </c>
      <c r="B38" s="17" t="s">
        <v>50</v>
      </c>
      <c r="C38" s="18" t="s">
        <v>51</v>
      </c>
      <c r="D38" s="19" t="s">
        <v>192</v>
      </c>
      <c r="E38" s="19" t="str">
        <f t="shared" si="0"/>
        <v>NUMERO DE VOUCHER</v>
      </c>
      <c r="F38" s="19" t="s">
        <v>193</v>
      </c>
      <c r="G38" s="17" t="s">
        <v>56</v>
      </c>
      <c r="H38" s="17" t="s">
        <v>100</v>
      </c>
      <c r="I38" s="22" t="s">
        <v>194</v>
      </c>
      <c r="J38" s="17" t="s">
        <v>56</v>
      </c>
      <c r="K38" s="17" t="s">
        <v>97</v>
      </c>
      <c r="L38" s="17" t="s">
        <v>56</v>
      </c>
      <c r="M38" s="17" t="s">
        <v>56</v>
      </c>
    </row>
    <row r="39" spans="1:13">
      <c r="A39" s="17" t="s">
        <v>49</v>
      </c>
      <c r="B39" s="17" t="s">
        <v>50</v>
      </c>
      <c r="C39" s="18" t="s">
        <v>51</v>
      </c>
      <c r="D39" s="19" t="s">
        <v>195</v>
      </c>
      <c r="E39" s="19" t="str">
        <f t="shared" si="0"/>
        <v>CODIGO DE TERMINAL DE LA TRANSACCION</v>
      </c>
      <c r="F39" s="19" t="s">
        <v>196</v>
      </c>
      <c r="G39" s="17" t="s">
        <v>56</v>
      </c>
      <c r="H39" s="17" t="s">
        <v>100</v>
      </c>
      <c r="I39" s="22" t="s">
        <v>197</v>
      </c>
      <c r="J39" s="17" t="s">
        <v>56</v>
      </c>
      <c r="K39" s="17" t="s">
        <v>97</v>
      </c>
      <c r="L39" s="17" t="s">
        <v>56</v>
      </c>
      <c r="M39" s="17" t="s">
        <v>56</v>
      </c>
    </row>
    <row r="40" spans="1:13">
      <c r="A40" s="17" t="s">
        <v>49</v>
      </c>
      <c r="B40" s="17" t="s">
        <v>50</v>
      </c>
      <c r="C40" s="18" t="s">
        <v>51</v>
      </c>
      <c r="D40" s="19" t="s">
        <v>198</v>
      </c>
      <c r="E40" s="19" t="str">
        <f t="shared" si="0"/>
        <v>NUMERO DE REFERENCIA</v>
      </c>
      <c r="F40" s="19" t="s">
        <v>199</v>
      </c>
      <c r="G40" s="17" t="s">
        <v>56</v>
      </c>
      <c r="H40" s="17" t="s">
        <v>100</v>
      </c>
      <c r="I40" s="22" t="s">
        <v>200</v>
      </c>
      <c r="J40" s="17" t="s">
        <v>56</v>
      </c>
      <c r="K40" s="17" t="s">
        <v>97</v>
      </c>
      <c r="L40" s="17" t="s">
        <v>56</v>
      </c>
      <c r="M40" s="17" t="s">
        <v>56</v>
      </c>
    </row>
    <row r="41" spans="1:13">
      <c r="A41" s="17" t="s">
        <v>49</v>
      </c>
      <c r="B41" s="17" t="s">
        <v>50</v>
      </c>
      <c r="C41" s="18" t="s">
        <v>51</v>
      </c>
      <c r="D41" s="19" t="s">
        <v>201</v>
      </c>
      <c r="E41" s="19" t="str">
        <f t="shared" si="0"/>
        <v>FECHA DE RETENCION (CÓDIGO 34)</v>
      </c>
      <c r="F41" s="19" t="s">
        <v>202</v>
      </c>
      <c r="G41" s="17" t="s">
        <v>56</v>
      </c>
      <c r="H41" s="17" t="s">
        <v>96</v>
      </c>
      <c r="I41" s="22" t="s">
        <v>166</v>
      </c>
      <c r="J41" s="17" t="s">
        <v>56</v>
      </c>
      <c r="K41" s="17" t="s">
        <v>97</v>
      </c>
      <c r="L41" s="17" t="s">
        <v>56</v>
      </c>
      <c r="M41" s="17" t="s">
        <v>56</v>
      </c>
    </row>
    <row r="42" spans="1:13">
      <c r="A42" s="17" t="s">
        <v>49</v>
      </c>
      <c r="B42" s="17" t="s">
        <v>50</v>
      </c>
      <c r="C42" s="18" t="s">
        <v>51</v>
      </c>
      <c r="D42" s="19" t="s">
        <v>203</v>
      </c>
      <c r="E42" s="19" t="str">
        <f t="shared" si="0"/>
        <v>MONEDA DE LA RETENCION</v>
      </c>
      <c r="F42" s="19" t="s">
        <v>204</v>
      </c>
      <c r="G42" s="17" t="s">
        <v>56</v>
      </c>
      <c r="H42" s="17" t="s">
        <v>100</v>
      </c>
      <c r="I42" s="22" t="s">
        <v>130</v>
      </c>
      <c r="J42" s="17" t="s">
        <v>56</v>
      </c>
      <c r="K42" s="17" t="s">
        <v>97</v>
      </c>
      <c r="L42" s="17" t="s">
        <v>56</v>
      </c>
      <c r="M42" s="17" t="s">
        <v>56</v>
      </c>
    </row>
    <row r="43" spans="1:13">
      <c r="A43" s="17" t="s">
        <v>49</v>
      </c>
      <c r="B43" s="17" t="s">
        <v>50</v>
      </c>
      <c r="C43" s="18" t="s">
        <v>51</v>
      </c>
      <c r="D43" s="19" t="s">
        <v>205</v>
      </c>
      <c r="E43" s="19" t="str">
        <f t="shared" si="0"/>
        <v>IMPORTE DE LA RETENCION</v>
      </c>
      <c r="F43" s="19" t="s">
        <v>206</v>
      </c>
      <c r="G43" s="17" t="s">
        <v>56</v>
      </c>
      <c r="H43" s="17" t="s">
        <v>133</v>
      </c>
      <c r="I43" s="22" t="s">
        <v>185</v>
      </c>
      <c r="J43" s="17" t="s">
        <v>56</v>
      </c>
      <c r="K43" s="17" t="s">
        <v>97</v>
      </c>
      <c r="L43" s="17" t="s">
        <v>56</v>
      </c>
      <c r="M43" s="17" t="s">
        <v>56</v>
      </c>
    </row>
    <row r="44" spans="1:13">
      <c r="A44" s="17" t="s">
        <v>49</v>
      </c>
      <c r="B44" s="17" t="s">
        <v>50</v>
      </c>
      <c r="C44" s="18" t="s">
        <v>51</v>
      </c>
      <c r="D44" s="19" t="s">
        <v>207</v>
      </c>
      <c r="E44" s="19" t="str">
        <f t="shared" si="0"/>
        <v>FECHA DE LA DEVOLUCION</v>
      </c>
      <c r="F44" s="19" t="s">
        <v>208</v>
      </c>
      <c r="G44" s="17" t="s">
        <v>56</v>
      </c>
      <c r="H44" s="17" t="s">
        <v>96</v>
      </c>
      <c r="I44" s="21">
        <v>46024</v>
      </c>
      <c r="J44" s="17" t="s">
        <v>56</v>
      </c>
      <c r="K44" s="17" t="s">
        <v>97</v>
      </c>
      <c r="L44" s="17" t="s">
        <v>56</v>
      </c>
      <c r="M44" s="17" t="s">
        <v>56</v>
      </c>
    </row>
    <row r="45" spans="1:13">
      <c r="A45" s="17" t="s">
        <v>49</v>
      </c>
      <c r="B45" s="17" t="s">
        <v>50</v>
      </c>
      <c r="C45" s="18" t="s">
        <v>51</v>
      </c>
      <c r="D45" s="19" t="s">
        <v>209</v>
      </c>
      <c r="E45" s="19" t="str">
        <f t="shared" si="0"/>
        <v>MONEDA DE LA DEVOLUCION</v>
      </c>
      <c r="F45" s="19" t="s">
        <v>210</v>
      </c>
      <c r="G45" s="17" t="s">
        <v>56</v>
      </c>
      <c r="H45" s="17" t="s">
        <v>100</v>
      </c>
      <c r="I45" s="22" t="s">
        <v>130</v>
      </c>
      <c r="J45" s="17" t="s">
        <v>56</v>
      </c>
      <c r="K45" s="17" t="s">
        <v>97</v>
      </c>
      <c r="L45" s="17" t="s">
        <v>56</v>
      </c>
      <c r="M45" s="17" t="s">
        <v>56</v>
      </c>
    </row>
    <row r="46" spans="1:13">
      <c r="A46" s="17" t="s">
        <v>49</v>
      </c>
      <c r="B46" s="17" t="s">
        <v>50</v>
      </c>
      <c r="C46" s="18" t="s">
        <v>51</v>
      </c>
      <c r="D46" s="19" t="s">
        <v>211</v>
      </c>
      <c r="E46" s="19" t="str">
        <f t="shared" si="0"/>
        <v>IMPORTE DE LA DEVOLUCION</v>
      </c>
      <c r="F46" s="19" t="s">
        <v>212</v>
      </c>
      <c r="G46" s="17" t="s">
        <v>56</v>
      </c>
      <c r="H46" s="17" t="s">
        <v>133</v>
      </c>
      <c r="I46" s="22">
        <v>12.65</v>
      </c>
      <c r="J46" s="17" t="s">
        <v>56</v>
      </c>
      <c r="K46" s="17" t="s">
        <v>97</v>
      </c>
      <c r="L46" s="17" t="s">
        <v>56</v>
      </c>
      <c r="M46" s="17" t="s">
        <v>56</v>
      </c>
    </row>
    <row r="47" spans="1:13">
      <c r="A47" s="17" t="s">
        <v>49</v>
      </c>
      <c r="B47" s="17" t="s">
        <v>50</v>
      </c>
      <c r="C47" s="18" t="s">
        <v>51</v>
      </c>
      <c r="D47" s="19" t="s">
        <v>213</v>
      </c>
      <c r="E47" s="19" t="str">
        <f t="shared" si="0"/>
        <v>CÓDIGO IDENTIFICADOR ÚNICO DEL NÚMERO DE DOCUMENTO DEL CLIENTE AFILIADO A IZIPAY</v>
      </c>
      <c r="F47" s="19" t="s">
        <v>214</v>
      </c>
      <c r="G47" s="17" t="s">
        <v>56</v>
      </c>
      <c r="H47" s="17" t="s">
        <v>100</v>
      </c>
      <c r="I47" s="22">
        <v>12154561321542</v>
      </c>
      <c r="J47" s="17" t="s">
        <v>97</v>
      </c>
      <c r="K47" s="17" t="s">
        <v>97</v>
      </c>
      <c r="L47" s="17" t="s">
        <v>56</v>
      </c>
      <c r="M47" s="17" t="s">
        <v>56</v>
      </c>
    </row>
    <row r="48" spans="1:13">
      <c r="A48" s="17" t="s">
        <v>49</v>
      </c>
      <c r="B48" s="17" t="s">
        <v>50</v>
      </c>
      <c r="C48" s="18" t="s">
        <v>51</v>
      </c>
      <c r="D48" s="19" t="s">
        <v>215</v>
      </c>
      <c r="E48" s="19" t="str">
        <f t="shared" si="0"/>
        <v>RAZON SOCIAL DEL COMERCIO</v>
      </c>
      <c r="F48" s="19" t="s">
        <v>216</v>
      </c>
      <c r="G48" s="17" t="s">
        <v>56</v>
      </c>
      <c r="H48" s="17" t="s">
        <v>100</v>
      </c>
      <c r="I48" s="22" t="s">
        <v>217</v>
      </c>
      <c r="J48" s="17" t="s">
        <v>56</v>
      </c>
      <c r="K48" s="17" t="s">
        <v>97</v>
      </c>
      <c r="L48" s="17" t="s">
        <v>56</v>
      </c>
      <c r="M48" s="17" t="s">
        <v>56</v>
      </c>
    </row>
    <row r="49" spans="1:13">
      <c r="A49" s="17" t="s">
        <v>49</v>
      </c>
      <c r="B49" s="17" t="s">
        <v>50</v>
      </c>
      <c r="C49" s="18" t="s">
        <v>51</v>
      </c>
      <c r="D49" s="19" t="s">
        <v>218</v>
      </c>
      <c r="E49" s="19" t="str">
        <f t="shared" si="0"/>
        <v>IMPORTE DEL CONTRACARGO EN SOLES (PEN)</v>
      </c>
      <c r="F49" s="19" t="s">
        <v>219</v>
      </c>
      <c r="G49" s="17" t="s">
        <v>56</v>
      </c>
      <c r="H49" s="17" t="s">
        <v>133</v>
      </c>
      <c r="I49" s="22" t="s">
        <v>220</v>
      </c>
      <c r="J49" s="17" t="s">
        <v>56</v>
      </c>
      <c r="K49" s="17" t="s">
        <v>97</v>
      </c>
      <c r="L49" s="17" t="s">
        <v>56</v>
      </c>
      <c r="M49" s="17" t="s">
        <v>56</v>
      </c>
    </row>
    <row r="50" spans="1:13">
      <c r="A50" s="17" t="s">
        <v>49</v>
      </c>
      <c r="B50" s="17" t="s">
        <v>50</v>
      </c>
      <c r="C50" s="18" t="s">
        <v>51</v>
      </c>
      <c r="D50" s="19" t="s">
        <v>221</v>
      </c>
      <c r="E50" s="19" t="str">
        <f t="shared" si="0"/>
        <v>NOMBRE DEL FACILITADOR DE PAGOS.</v>
      </c>
      <c r="F50" s="19" t="s">
        <v>222</v>
      </c>
      <c r="G50" s="17" t="s">
        <v>56</v>
      </c>
      <c r="H50" s="17" t="s">
        <v>100</v>
      </c>
      <c r="I50" s="22" t="s">
        <v>223</v>
      </c>
      <c r="J50" s="17" t="s">
        <v>56</v>
      </c>
      <c r="K50" s="17" t="s">
        <v>97</v>
      </c>
      <c r="L50" s="17" t="s">
        <v>56</v>
      </c>
      <c r="M50" s="17" t="s">
        <v>56</v>
      </c>
    </row>
    <row r="51" spans="1:13">
      <c r="A51" s="17" t="s">
        <v>49</v>
      </c>
      <c r="B51" s="17" t="s">
        <v>50</v>
      </c>
      <c r="C51" s="18" t="s">
        <v>51</v>
      </c>
      <c r="D51" s="19" t="s">
        <v>224</v>
      </c>
      <c r="E51" s="19" t="str">
        <f t="shared" si="0"/>
        <v>SEGMENTO DEL COMERCIO (CAMBIA SEGÚN SUS VOLÚMENES)</v>
      </c>
      <c r="F51" s="19" t="s">
        <v>225</v>
      </c>
      <c r="G51" s="17" t="s">
        <v>56</v>
      </c>
      <c r="H51" s="17" t="s">
        <v>100</v>
      </c>
      <c r="I51" s="22" t="s">
        <v>226</v>
      </c>
      <c r="J51" s="17" t="s">
        <v>56</v>
      </c>
      <c r="K51" s="17" t="s">
        <v>97</v>
      </c>
      <c r="L51" s="17" t="s">
        <v>56</v>
      </c>
      <c r="M51" s="17" t="s">
        <v>56</v>
      </c>
    </row>
    <row r="52" spans="1:13">
      <c r="A52" s="17" t="s">
        <v>49</v>
      </c>
      <c r="B52" s="17" t="s">
        <v>50</v>
      </c>
      <c r="C52" s="18" t="s">
        <v>51</v>
      </c>
      <c r="D52" s="19" t="s">
        <v>227</v>
      </c>
      <c r="E52" s="19" t="str">
        <f t="shared" si="0"/>
        <v>DESCRIPCIÓN DEL ESTADO O SITUACIÓN DEL COMERCIO</v>
      </c>
      <c r="F52" s="19" t="s">
        <v>228</v>
      </c>
      <c r="G52" s="17" t="s">
        <v>56</v>
      </c>
      <c r="H52" s="17" t="s">
        <v>100</v>
      </c>
      <c r="I52" s="22" t="s">
        <v>229</v>
      </c>
      <c r="J52" s="17" t="s">
        <v>56</v>
      </c>
      <c r="K52" s="17" t="s">
        <v>97</v>
      </c>
      <c r="L52" s="17" t="s">
        <v>56</v>
      </c>
      <c r="M52" s="17" t="s">
        <v>56</v>
      </c>
    </row>
    <row r="53" spans="1:13">
      <c r="A53" s="17" t="s">
        <v>49</v>
      </c>
      <c r="B53" s="17" t="s">
        <v>50</v>
      </c>
      <c r="C53" s="18" t="s">
        <v>51</v>
      </c>
      <c r="D53" s="19" t="s">
        <v>230</v>
      </c>
      <c r="E53" s="19" t="str">
        <f t="shared" si="0"/>
        <v>GIRO DE COMERCIO (CÓDIGO + NOMBRE)</v>
      </c>
      <c r="F53" s="19" t="s">
        <v>231</v>
      </c>
      <c r="G53" s="17" t="s">
        <v>56</v>
      </c>
      <c r="H53" s="17" t="s">
        <v>100</v>
      </c>
      <c r="I53" s="22" t="s">
        <v>232</v>
      </c>
      <c r="J53" s="17" t="s">
        <v>56</v>
      </c>
      <c r="K53" s="17" t="s">
        <v>97</v>
      </c>
      <c r="L53" s="17" t="s">
        <v>56</v>
      </c>
      <c r="M53" s="17" t="s">
        <v>56</v>
      </c>
    </row>
    <row r="54" spans="1:13">
      <c r="A54" s="17" t="s">
        <v>49</v>
      </c>
      <c r="B54" s="17" t="s">
        <v>50</v>
      </c>
      <c r="C54" s="18" t="s">
        <v>51</v>
      </c>
      <c r="D54" s="19" t="s">
        <v>233</v>
      </c>
      <c r="E54" s="19" t="str">
        <f t="shared" si="0"/>
        <v>RANGO DEL MONTO DE CONTRACARGO EN SOLES</v>
      </c>
      <c r="F54" s="19" t="s">
        <v>234</v>
      </c>
      <c r="G54" s="17" t="s">
        <v>56</v>
      </c>
      <c r="H54" s="17" t="s">
        <v>100</v>
      </c>
      <c r="I54" s="22" t="s">
        <v>235</v>
      </c>
      <c r="J54" s="17" t="s">
        <v>56</v>
      </c>
      <c r="K54" s="17" t="s">
        <v>97</v>
      </c>
      <c r="L54" s="17" t="s">
        <v>56</v>
      </c>
      <c r="M54" s="17" t="s">
        <v>56</v>
      </c>
    </row>
    <row r="55" spans="1:13">
      <c r="A55" s="17" t="s">
        <v>49</v>
      </c>
      <c r="B55" s="17" t="s">
        <v>50</v>
      </c>
      <c r="C55" s="18" t="s">
        <v>51</v>
      </c>
      <c r="D55" s="19" t="s">
        <v>236</v>
      </c>
      <c r="E55" s="19" t="str">
        <f t="shared" si="0"/>
        <v>MOTIVO DEL CONTRACARGO</v>
      </c>
      <c r="F55" s="19" t="s">
        <v>237</v>
      </c>
      <c r="G55" s="17" t="s">
        <v>56</v>
      </c>
      <c r="H55" s="17" t="s">
        <v>100</v>
      </c>
      <c r="I55" s="22" t="s">
        <v>238</v>
      </c>
      <c r="J55" s="17" t="s">
        <v>56</v>
      </c>
      <c r="K55" s="17" t="s">
        <v>97</v>
      </c>
      <c r="L55" s="17" t="s">
        <v>56</v>
      </c>
      <c r="M55" s="17" t="s">
        <v>56</v>
      </c>
    </row>
    <row r="56" spans="1:13">
      <c r="A56" s="17" t="s">
        <v>49</v>
      </c>
      <c r="B56" s="17" t="s">
        <v>50</v>
      </c>
      <c r="C56" s="18" t="s">
        <v>51</v>
      </c>
      <c r="D56" s="19" t="s">
        <v>239</v>
      </c>
      <c r="E56" s="19" t="str">
        <f t="shared" si="0"/>
        <v>FECHA DE LA REVERSA DEL CONTRACARGO</v>
      </c>
      <c r="F56" s="19" t="s">
        <v>240</v>
      </c>
      <c r="G56" s="17" t="s">
        <v>56</v>
      </c>
      <c r="H56" s="17" t="s">
        <v>96</v>
      </c>
      <c r="I56" s="21">
        <v>46055</v>
      </c>
      <c r="J56" s="17" t="s">
        <v>56</v>
      </c>
      <c r="K56" s="17" t="s">
        <v>97</v>
      </c>
      <c r="L56" s="17" t="s">
        <v>56</v>
      </c>
      <c r="M56" s="17" t="s">
        <v>56</v>
      </c>
    </row>
    <row r="57" spans="1:13">
      <c r="A57" s="17" t="s">
        <v>49</v>
      </c>
      <c r="B57" s="17" t="s">
        <v>50</v>
      </c>
      <c r="C57" s="18" t="s">
        <v>51</v>
      </c>
      <c r="D57" s="19" t="s">
        <v>241</v>
      </c>
      <c r="E57" s="19" t="str">
        <f t="shared" si="0"/>
        <v>INDICA EL ORDEN DEL CONTRACARGO</v>
      </c>
      <c r="F57" s="19" t="s">
        <v>242</v>
      </c>
      <c r="G57" s="17" t="s">
        <v>56</v>
      </c>
      <c r="H57" s="17" t="s">
        <v>100</v>
      </c>
      <c r="I57" s="22" t="s">
        <v>243</v>
      </c>
      <c r="J57" s="17" t="s">
        <v>56</v>
      </c>
      <c r="K57" s="17" t="s">
        <v>97</v>
      </c>
      <c r="L57" s="17" t="s">
        <v>56</v>
      </c>
      <c r="M57" s="17" t="s">
        <v>56</v>
      </c>
    </row>
    <row r="58" spans="1:13">
      <c r="A58" s="17" t="s">
        <v>49</v>
      </c>
      <c r="B58" s="17" t="s">
        <v>50</v>
      </c>
      <c r="C58" s="18" t="s">
        <v>51</v>
      </c>
      <c r="D58" s="19" t="s">
        <v>244</v>
      </c>
      <c r="E58" s="19" t="str">
        <f t="shared" si="0"/>
        <v>INDICA EL NÚMERO DE PRIORIDAD DE ATENCION DEL CONTRACARGO, DONDE 1 ES MÁS PRIORITARIO Y 6 MENOS PRIORITARIO</v>
      </c>
      <c r="F58" s="19" t="s">
        <v>245</v>
      </c>
      <c r="G58" s="17" t="s">
        <v>56</v>
      </c>
      <c r="H58" s="17" t="s">
        <v>100</v>
      </c>
      <c r="I58" s="22" t="s">
        <v>246</v>
      </c>
      <c r="J58" s="17" t="s">
        <v>56</v>
      </c>
      <c r="K58" s="17" t="s">
        <v>97</v>
      </c>
      <c r="L58" s="17" t="s">
        <v>56</v>
      </c>
      <c r="M58" s="17" t="s">
        <v>56</v>
      </c>
    </row>
    <row r="59" spans="1:13">
      <c r="A59" s="17" t="s">
        <v>49</v>
      </c>
      <c r="B59" s="17" t="s">
        <v>50</v>
      </c>
      <c r="C59" s="18" t="s">
        <v>51</v>
      </c>
      <c r="D59" s="20" t="s">
        <v>247</v>
      </c>
      <c r="E59" s="19" t="str">
        <f t="shared" si="0"/>
        <v>AGRUPACIÓN DE COMERCIOS BAJO LÓGICA DEL EQUIPO DE OPERACIONES PARA EL ÁREA DE RIESGOS</v>
      </c>
      <c r="F59" s="19" t="s">
        <v>248</v>
      </c>
      <c r="G59" s="17" t="s">
        <v>56</v>
      </c>
      <c r="H59" s="17" t="s">
        <v>100</v>
      </c>
      <c r="I59" s="22" t="s">
        <v>249</v>
      </c>
      <c r="J59" s="17" t="s">
        <v>56</v>
      </c>
      <c r="K59" s="17" t="s">
        <v>97</v>
      </c>
      <c r="L59" s="17" t="s">
        <v>56</v>
      </c>
      <c r="M59" s="17" t="s">
        <v>56</v>
      </c>
    </row>
    <row r="60" spans="1:13">
      <c r="A60" s="17" t="s">
        <v>49</v>
      </c>
      <c r="B60" s="17" t="s">
        <v>50</v>
      </c>
      <c r="C60" s="18" t="s">
        <v>51</v>
      </c>
      <c r="D60" s="19" t="s">
        <v>250</v>
      </c>
      <c r="E60" s="19" t="str">
        <f t="shared" si="0"/>
        <v>PROPORCIÓN ENTRE EL IMPORTE DEL CONTRACARGO Y EL IMPORTE DE LA TRANSACCION</v>
      </c>
      <c r="F60" s="19" t="s">
        <v>251</v>
      </c>
      <c r="G60" s="17" t="s">
        <v>56</v>
      </c>
      <c r="H60" s="17" t="s">
        <v>133</v>
      </c>
      <c r="I60" s="22" t="s">
        <v>252</v>
      </c>
      <c r="J60" s="17" t="s">
        <v>56</v>
      </c>
      <c r="K60" s="17" t="s">
        <v>97</v>
      </c>
      <c r="L60" s="17" t="s">
        <v>56</v>
      </c>
      <c r="M60" s="17" t="s">
        <v>56</v>
      </c>
    </row>
    <row r="61" spans="1:13">
      <c r="A61" s="17" t="s">
        <v>49</v>
      </c>
      <c r="B61" s="17" t="s">
        <v>50</v>
      </c>
      <c r="C61" s="18" t="s">
        <v>51</v>
      </c>
      <c r="D61" s="19" t="s">
        <v>253</v>
      </c>
      <c r="E61" s="19" t="str">
        <f t="shared" si="0"/>
        <v>TIPO DE LINEA PARA LA ATENCIÓN (L1 Y L3). LÍNEA 1 ES UNA DIVISIÓN DEL EQUIPO DE CONTRACARGOS QUE ATIENDE PRINCIPALMENTE CONTRACARGOS POR FRAUDE. LÍNEA 3 ES UNA DIVISIÓN DEL EQUIPO DE CONTRACARGOS QUE ATIENDE CONTRACARGOS POR SERVICIOS Y AUTORIZACIÓN.</v>
      </c>
      <c r="F61" s="19" t="s">
        <v>254</v>
      </c>
      <c r="G61" s="17" t="s">
        <v>56</v>
      </c>
      <c r="H61" s="17" t="s">
        <v>100</v>
      </c>
      <c r="I61" s="22" t="s">
        <v>255</v>
      </c>
      <c r="J61" s="17" t="s">
        <v>56</v>
      </c>
      <c r="K61" s="17" t="s">
        <v>97</v>
      </c>
      <c r="L61" s="17" t="s">
        <v>56</v>
      </c>
      <c r="M61" s="17" t="s">
        <v>97</v>
      </c>
    </row>
    <row r="62" spans="1:13">
      <c r="A62" s="17" t="s">
        <v>49</v>
      </c>
      <c r="B62" s="17" t="s">
        <v>50</v>
      </c>
      <c r="C62" s="18" t="s">
        <v>51</v>
      </c>
      <c r="D62" s="19" t="s">
        <v>256</v>
      </c>
      <c r="E62" s="19" t="str">
        <f t="shared" ref="E62:E63" si="2">UPPER(F62)</f>
        <v>CAMPO QUE EVALUA LA ATENCION DEL CONTRACARGO SEGUN FLAG_MONEDA_TRX_CC Y EL IMPORTE DE LA TRANSACCION</v>
      </c>
      <c r="F62" s="19" t="s">
        <v>257</v>
      </c>
      <c r="G62" s="17" t="s">
        <v>56</v>
      </c>
      <c r="H62" s="17" t="s">
        <v>100</v>
      </c>
      <c r="I62" s="22" t="s">
        <v>258</v>
      </c>
      <c r="J62" s="17" t="s">
        <v>56</v>
      </c>
      <c r="K62" s="17" t="s">
        <v>97</v>
      </c>
      <c r="L62" s="17" t="s">
        <v>56</v>
      </c>
      <c r="M62" s="17" t="s">
        <v>56</v>
      </c>
    </row>
    <row r="63" spans="1:13">
      <c r="A63" s="17" t="s">
        <v>49</v>
      </c>
      <c r="B63" s="17" t="s">
        <v>50</v>
      </c>
      <c r="C63" s="18" t="s">
        <v>51</v>
      </c>
      <c r="D63" s="19" t="s">
        <v>259</v>
      </c>
      <c r="E63" s="19" t="str">
        <f t="shared" si="2"/>
        <v>CAMPO QUE EVALUA LA ATENCION DEL CONTRACARGO SEGUN EL IMPORTE DEL CONTRACARGO</v>
      </c>
      <c r="F63" s="19" t="s">
        <v>260</v>
      </c>
      <c r="G63" s="17" t="s">
        <v>56</v>
      </c>
      <c r="H63" s="17" t="s">
        <v>100</v>
      </c>
      <c r="I63" s="22" t="s">
        <v>261</v>
      </c>
      <c r="J63" s="17" t="s">
        <v>56</v>
      </c>
      <c r="K63" s="17" t="s">
        <v>97</v>
      </c>
      <c r="L63" s="17" t="s">
        <v>56</v>
      </c>
      <c r="M63" s="17" t="s">
        <v>56</v>
      </c>
    </row>
    <row r="64" spans="1:13">
      <c r="A64" s="17" t="s">
        <v>49</v>
      </c>
      <c r="B64" s="17" t="s">
        <v>50</v>
      </c>
      <c r="C64" s="18" t="s">
        <v>51</v>
      </c>
      <c r="D64" s="20" t="s">
        <v>262</v>
      </c>
      <c r="E64" s="19" t="str">
        <f t="shared" ref="E64" si="3">UPPER(F64)</f>
        <v>CORREO DE CONTACTO DEL COMERCIO</v>
      </c>
      <c r="F64" s="19" t="s">
        <v>263</v>
      </c>
      <c r="G64" s="17" t="s">
        <v>97</v>
      </c>
      <c r="H64" s="17" t="s">
        <v>398</v>
      </c>
      <c r="I64" t="s">
        <v>265</v>
      </c>
      <c r="J64" s="17" t="s">
        <v>56</v>
      </c>
      <c r="K64" s="17" t="s">
        <v>97</v>
      </c>
      <c r="L64" s="17" t="s">
        <v>56</v>
      </c>
      <c r="M64" s="17" t="s">
        <v>56</v>
      </c>
    </row>
    <row r="65" spans="1:13">
      <c r="A65" s="17" t="s">
        <v>49</v>
      </c>
      <c r="B65" s="17" t="s">
        <v>50</v>
      </c>
      <c r="C65" s="18" t="s">
        <v>51</v>
      </c>
      <c r="D65" s="19" t="s">
        <v>266</v>
      </c>
      <c r="E65" s="19" t="str">
        <f t="shared" ref="E65:E70" si="4">UPPER(F65)</f>
        <v>FLAG QUE INDICA SI EL CONTRACARGO TIENE UNA RETENCIÓN (CÓDIGO 34)</v>
      </c>
      <c r="F65" s="19" t="s">
        <v>267</v>
      </c>
      <c r="G65" s="17" t="s">
        <v>56</v>
      </c>
      <c r="H65" s="17" t="s">
        <v>264</v>
      </c>
      <c r="I65" s="22" t="s">
        <v>268</v>
      </c>
      <c r="J65" s="17" t="s">
        <v>56</v>
      </c>
      <c r="K65" s="17" t="s">
        <v>97</v>
      </c>
      <c r="L65" s="17" t="s">
        <v>56</v>
      </c>
      <c r="M65" s="17" t="s">
        <v>56</v>
      </c>
    </row>
    <row r="66" spans="1:13">
      <c r="A66" s="17" t="s">
        <v>49</v>
      </c>
      <c r="B66" s="17" t="s">
        <v>50</v>
      </c>
      <c r="C66" s="18" t="s">
        <v>51</v>
      </c>
      <c r="D66" s="19" t="s">
        <v>269</v>
      </c>
      <c r="E66" s="19" t="str">
        <f t="shared" si="4"/>
        <v>FLAG QUE INDICA SI EL CONTRACARGO TIENE UNA DEVOLUCIÓN (CÓDIGO 876)</v>
      </c>
      <c r="F66" s="19" t="s">
        <v>270</v>
      </c>
      <c r="G66" s="17" t="s">
        <v>56</v>
      </c>
      <c r="H66" s="17" t="s">
        <v>264</v>
      </c>
      <c r="I66" s="22" t="s">
        <v>268</v>
      </c>
      <c r="J66" s="17" t="s">
        <v>56</v>
      </c>
      <c r="K66" s="17" t="s">
        <v>97</v>
      </c>
      <c r="L66" s="17" t="s">
        <v>56</v>
      </c>
      <c r="M66" s="17" t="s">
        <v>56</v>
      </c>
    </row>
    <row r="67" spans="1:13">
      <c r="A67" s="17" t="s">
        <v>49</v>
      </c>
      <c r="B67" s="17" t="s">
        <v>50</v>
      </c>
      <c r="C67" s="18" t="s">
        <v>51</v>
      </c>
      <c r="D67" s="19" t="s">
        <v>271</v>
      </c>
      <c r="E67" s="19" t="str">
        <f t="shared" si="4"/>
        <v>INDICA SI EL COMERCIO ESTÁ INTEGRADO CON PPTR (PLATAFORMA DE PAGOS EN TIEMPO REAL).</v>
      </c>
      <c r="F67" s="19" t="s">
        <v>272</v>
      </c>
      <c r="G67" s="17" t="s">
        <v>56</v>
      </c>
      <c r="H67" s="17" t="s">
        <v>264</v>
      </c>
      <c r="I67" s="22" t="s">
        <v>268</v>
      </c>
      <c r="J67" s="17" t="s">
        <v>56</v>
      </c>
      <c r="K67" s="17" t="s">
        <v>97</v>
      </c>
      <c r="L67" s="17" t="s">
        <v>56</v>
      </c>
      <c r="M67" s="17" t="s">
        <v>56</v>
      </c>
    </row>
    <row r="68" spans="1:13">
      <c r="A68" s="17" t="s">
        <v>49</v>
      </c>
      <c r="B68" s="17" t="s">
        <v>50</v>
      </c>
      <c r="C68" s="18" t="s">
        <v>51</v>
      </c>
      <c r="D68" s="19" t="s">
        <v>273</v>
      </c>
      <c r="E68" s="19" t="str">
        <f t="shared" si="4"/>
        <v>CAMPO QUE INDICA SI UN CONTRACARGO FUE REVERSADO O NO</v>
      </c>
      <c r="F68" s="19" t="s">
        <v>274</v>
      </c>
      <c r="G68" s="17" t="s">
        <v>56</v>
      </c>
      <c r="H68" s="17" t="s">
        <v>264</v>
      </c>
      <c r="I68" s="22" t="s">
        <v>268</v>
      </c>
      <c r="J68" s="17" t="s">
        <v>56</v>
      </c>
      <c r="K68" s="17" t="s">
        <v>97</v>
      </c>
      <c r="L68" s="17" t="s">
        <v>56</v>
      </c>
      <c r="M68" s="17" t="s">
        <v>56</v>
      </c>
    </row>
    <row r="69" spans="1:13">
      <c r="A69" s="17" t="s">
        <v>49</v>
      </c>
      <c r="B69" s="17" t="s">
        <v>50</v>
      </c>
      <c r="C69" s="18" t="s">
        <v>51</v>
      </c>
      <c r="D69" s="19" t="s">
        <v>275</v>
      </c>
      <c r="E69" s="19" t="str">
        <f t="shared" si="4"/>
        <v>FLAG QUE INDICA SI LA MONEDA DE LA TRANSACCION ES LA MISMA QUE LA MONEDA DEL CONTRACARGO</v>
      </c>
      <c r="F69" s="19" t="s">
        <v>276</v>
      </c>
      <c r="G69" s="17" t="s">
        <v>56</v>
      </c>
      <c r="H69" s="17" t="s">
        <v>264</v>
      </c>
      <c r="I69" s="22" t="s">
        <v>268</v>
      </c>
      <c r="J69" s="17" t="s">
        <v>56</v>
      </c>
      <c r="K69" s="17" t="s">
        <v>97</v>
      </c>
      <c r="L69" s="17" t="s">
        <v>56</v>
      </c>
      <c r="M69" s="17" t="s">
        <v>56</v>
      </c>
    </row>
    <row r="70" spans="1:13">
      <c r="A70" s="17" t="s">
        <v>49</v>
      </c>
      <c r="B70" s="17" t="s">
        <v>50</v>
      </c>
      <c r="C70" s="18" t="s">
        <v>51</v>
      </c>
      <c r="D70" s="19" t="s">
        <v>277</v>
      </c>
      <c r="E70" s="19" t="str">
        <f t="shared" si="4"/>
        <v>FLAG QUE INDICA SI SE DEBE NOTIFICAR AL COMERCIO POR CORREO</v>
      </c>
      <c r="F70" s="19" t="s">
        <v>278</v>
      </c>
      <c r="G70" s="17" t="s">
        <v>56</v>
      </c>
      <c r="H70" s="17" t="s">
        <v>264</v>
      </c>
      <c r="I70" s="22" t="s">
        <v>268</v>
      </c>
      <c r="J70" s="17" t="s">
        <v>56</v>
      </c>
      <c r="K70" s="17" t="s">
        <v>97</v>
      </c>
      <c r="L70" s="17" t="s">
        <v>56</v>
      </c>
      <c r="M70" s="17" t="s">
        <v>56</v>
      </c>
    </row>
    <row r="71" spans="1:13">
      <c r="A71" s="17" t="s">
        <v>49</v>
      </c>
      <c r="B71" s="17" t="s">
        <v>50</v>
      </c>
      <c r="C71" s="18" t="s">
        <v>51</v>
      </c>
      <c r="D71" s="19" t="s">
        <v>279</v>
      </c>
      <c r="E71" s="19" t="str">
        <f>UPPER(F71)</f>
        <v>FLAG QUE INDICA SI LOS CONTRACARGOS SERAN ATENDIDOS DE FORMA MASIVA POR EL ÁREA DE GESTION DE DATOS</v>
      </c>
      <c r="F71" s="19" t="s">
        <v>280</v>
      </c>
      <c r="G71" s="17" t="s">
        <v>56</v>
      </c>
      <c r="H71" s="17" t="s">
        <v>264</v>
      </c>
      <c r="I71" s="22" t="s">
        <v>268</v>
      </c>
      <c r="J71" s="17" t="s">
        <v>56</v>
      </c>
      <c r="K71" s="17" t="s">
        <v>97</v>
      </c>
      <c r="L71" s="17" t="s">
        <v>56</v>
      </c>
      <c r="M71" s="17" t="s">
        <v>56</v>
      </c>
    </row>
    <row r="72" spans="1:13">
      <c r="A72" s="17" t="s">
        <v>49</v>
      </c>
      <c r="B72" s="17" t="s">
        <v>50</v>
      </c>
      <c r="C72" s="18" t="s">
        <v>51</v>
      </c>
      <c r="D72" s="19" t="s">
        <v>281</v>
      </c>
      <c r="E72" s="19" t="str">
        <f t="shared" ref="E72:E74" si="5">UPPER(F72)</f>
        <v>DATO DE AUDITORÍA: DESCRIPCIÓN DEL APLICATIVO ORIGEN DE LOS DATOS.</v>
      </c>
      <c r="F72" s="19" t="s">
        <v>282</v>
      </c>
      <c r="G72" s="17" t="s">
        <v>56</v>
      </c>
      <c r="H72" s="17" t="s">
        <v>100</v>
      </c>
      <c r="I72" s="22" t="s">
        <v>283</v>
      </c>
      <c r="J72" s="17" t="s">
        <v>56</v>
      </c>
      <c r="K72" s="17" t="s">
        <v>56</v>
      </c>
      <c r="L72" s="17" t="s">
        <v>56</v>
      </c>
      <c r="M72" s="17" t="s">
        <v>56</v>
      </c>
    </row>
    <row r="73" spans="1:13">
      <c r="A73" s="17" t="s">
        <v>49</v>
      </c>
      <c r="B73" s="17" t="s">
        <v>50</v>
      </c>
      <c r="C73" s="18" t="s">
        <v>51</v>
      </c>
      <c r="D73" s="19" t="s">
        <v>284</v>
      </c>
      <c r="E73" s="19" t="str">
        <f t="shared" si="5"/>
        <v>FECHA Y HORA DE INSERCIÓN DEL REGISTRO EN EL MODELO</v>
      </c>
      <c r="F73" s="19" t="s">
        <v>285</v>
      </c>
      <c r="G73" s="17" t="s">
        <v>56</v>
      </c>
      <c r="H73" s="17" t="s">
        <v>286</v>
      </c>
      <c r="I73" s="22" t="s">
        <v>287</v>
      </c>
      <c r="J73" s="17" t="s">
        <v>56</v>
      </c>
      <c r="K73" s="17" t="s">
        <v>56</v>
      </c>
      <c r="L73" s="17" t="s">
        <v>56</v>
      </c>
      <c r="M73" s="17" t="s">
        <v>56</v>
      </c>
    </row>
    <row r="74" spans="1:13">
      <c r="A74" s="17" t="s">
        <v>49</v>
      </c>
      <c r="B74" s="17" t="s">
        <v>50</v>
      </c>
      <c r="C74" s="18" t="s">
        <v>51</v>
      </c>
      <c r="D74" s="19" t="s">
        <v>288</v>
      </c>
      <c r="E74" s="19" t="str">
        <f t="shared" si="5"/>
        <v>USUARIO QUE CREA EL REGISTRO EN LA BD</v>
      </c>
      <c r="F74" s="19" t="s">
        <v>289</v>
      </c>
      <c r="G74" s="17" t="s">
        <v>56</v>
      </c>
      <c r="H74" s="17" t="s">
        <v>100</v>
      </c>
      <c r="I74" s="22" t="s">
        <v>258</v>
      </c>
      <c r="J74" s="17" t="s">
        <v>56</v>
      </c>
      <c r="K74" s="17" t="s">
        <v>56</v>
      </c>
      <c r="L74" s="17" t="s">
        <v>56</v>
      </c>
      <c r="M74" s="17" t="s">
        <v>56</v>
      </c>
    </row>
  </sheetData>
  <autoFilter ref="A2:M74" xr:uid="{43B8BE03-B52F-4C6B-A89B-93AA54382303}"/>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1E828-5B5B-4916-A4A3-BAA5872A6CD3}">
  <sheetPr codeName="Hoja4"/>
  <dimension ref="A1:M32"/>
  <sheetViews>
    <sheetView showGridLines="0" topLeftCell="D1" zoomScaleNormal="100" workbookViewId="0">
      <pane ySplit="2" topLeftCell="A3" activePane="bottomLeft" state="frozen"/>
      <selection pane="bottomLeft" activeCell="D5" sqref="D5"/>
    </sheetView>
  </sheetViews>
  <sheetFormatPr baseColWidth="10" defaultColWidth="11.44140625" defaultRowHeight="14.4"/>
  <cols>
    <col min="1" max="2" width="29" customWidth="1"/>
    <col min="3" max="3" width="36.33203125" customWidth="1"/>
    <col min="4" max="4" width="29" customWidth="1"/>
    <col min="5" max="5" width="60.6640625" customWidth="1"/>
    <col min="6" max="6" width="64.33203125" customWidth="1"/>
    <col min="7" max="7" width="19.109375" customWidth="1"/>
    <col min="8" max="8" width="29" customWidth="1"/>
    <col min="9" max="9" width="40.5546875" customWidth="1"/>
    <col min="10" max="13" width="29" customWidth="1"/>
  </cols>
  <sheetData>
    <row r="1" spans="1:13" ht="31.2">
      <c r="A1" s="14" t="s">
        <v>14</v>
      </c>
      <c r="B1" s="15" t="s">
        <v>15</v>
      </c>
      <c r="C1" s="15" t="s">
        <v>6</v>
      </c>
      <c r="D1" s="15" t="s">
        <v>7</v>
      </c>
      <c r="E1" s="15" t="s">
        <v>75</v>
      </c>
      <c r="F1" s="15" t="s">
        <v>76</v>
      </c>
      <c r="G1" s="15" t="s">
        <v>77</v>
      </c>
      <c r="H1" s="15" t="s">
        <v>78</v>
      </c>
      <c r="I1" s="15" t="s">
        <v>79</v>
      </c>
      <c r="J1" s="15" t="s">
        <v>80</v>
      </c>
      <c r="K1" s="15" t="s">
        <v>81</v>
      </c>
      <c r="L1" s="15" t="s">
        <v>82</v>
      </c>
      <c r="M1" s="15" t="s">
        <v>83</v>
      </c>
    </row>
    <row r="2" spans="1:13" ht="46.8">
      <c r="A2" s="16" t="s">
        <v>32</v>
      </c>
      <c r="B2" s="16" t="s">
        <v>33</v>
      </c>
      <c r="C2" s="16" t="s">
        <v>84</v>
      </c>
      <c r="D2" s="16" t="s">
        <v>85</v>
      </c>
      <c r="E2" s="16" t="s">
        <v>86</v>
      </c>
      <c r="F2" s="16" t="s">
        <v>87</v>
      </c>
      <c r="G2" s="16" t="s">
        <v>88</v>
      </c>
      <c r="H2" s="16" t="s">
        <v>89</v>
      </c>
      <c r="I2" s="16" t="s">
        <v>90</v>
      </c>
      <c r="J2" s="16" t="s">
        <v>91</v>
      </c>
      <c r="K2" s="16" t="s">
        <v>92</v>
      </c>
      <c r="L2" s="16" t="s">
        <v>93</v>
      </c>
      <c r="M2" s="16" t="s">
        <v>92</v>
      </c>
    </row>
    <row r="3" spans="1:13">
      <c r="A3" s="17" t="s">
        <v>49</v>
      </c>
      <c r="B3" s="17" t="s">
        <v>50</v>
      </c>
      <c r="C3" s="18" t="s">
        <v>60</v>
      </c>
      <c r="D3" s="19" t="s">
        <v>94</v>
      </c>
      <c r="E3" s="19" t="str">
        <f>UPPER(F3)</f>
        <v>FECHA DE FOTO/DATOS CONFIGURADA EN EL ETL PARA LA EXTRACCIÓN DE DATOS, CORRESPONDE A APERTURAS DE COMERCIOS HASTA EL CIERRE DEL DÍA ANTERIOR</v>
      </c>
      <c r="F3" s="19" t="s">
        <v>95</v>
      </c>
      <c r="G3" s="17" t="s">
        <v>56</v>
      </c>
      <c r="H3" s="17" t="s">
        <v>96</v>
      </c>
      <c r="I3" s="23">
        <v>45841</v>
      </c>
      <c r="J3" s="17" t="s">
        <v>56</v>
      </c>
      <c r="K3" s="17" t="s">
        <v>56</v>
      </c>
      <c r="L3" s="17" t="s">
        <v>97</v>
      </c>
      <c r="M3" s="17" t="s">
        <v>56</v>
      </c>
    </row>
    <row r="4" spans="1:13">
      <c r="A4" s="17" t="s">
        <v>49</v>
      </c>
      <c r="B4" s="17" t="s">
        <v>50</v>
      </c>
      <c r="C4" s="18" t="s">
        <v>60</v>
      </c>
      <c r="D4" s="19" t="s">
        <v>141</v>
      </c>
      <c r="E4" s="19" t="str">
        <f t="shared" ref="E4:E29" si="0">UPPER(F4)</f>
        <v>CODIGO DE COMERCIO</v>
      </c>
      <c r="F4" s="19" t="s">
        <v>142</v>
      </c>
      <c r="G4" s="17" t="s">
        <v>56</v>
      </c>
      <c r="H4" s="17" t="s">
        <v>100</v>
      </c>
      <c r="I4" s="22" t="s">
        <v>101</v>
      </c>
      <c r="J4" s="17" t="s">
        <v>56</v>
      </c>
      <c r="K4" s="17" t="s">
        <v>97</v>
      </c>
      <c r="L4" s="17" t="s">
        <v>56</v>
      </c>
      <c r="M4" s="17" t="s">
        <v>56</v>
      </c>
    </row>
    <row r="5" spans="1:13">
      <c r="A5" s="17" t="s">
        <v>49</v>
      </c>
      <c r="B5" s="17" t="s">
        <v>50</v>
      </c>
      <c r="C5" s="18" t="s">
        <v>60</v>
      </c>
      <c r="D5" s="19" t="s">
        <v>290</v>
      </c>
      <c r="E5" s="19" t="str">
        <f t="shared" si="0"/>
        <v>TARJETA DE LA TRANSACCION ENMASCARADA EN FORMATO (XXXXXX******XXXXX)</v>
      </c>
      <c r="F5" s="19" t="s">
        <v>291</v>
      </c>
      <c r="G5" s="17" t="s">
        <v>56</v>
      </c>
      <c r="H5" s="17" t="s">
        <v>100</v>
      </c>
      <c r="I5" s="22" t="s">
        <v>408</v>
      </c>
      <c r="J5" s="17" t="s">
        <v>56</v>
      </c>
      <c r="K5" s="17" t="s">
        <v>97</v>
      </c>
      <c r="L5" s="17" t="s">
        <v>56</v>
      </c>
      <c r="M5" s="17" t="s">
        <v>56</v>
      </c>
    </row>
    <row r="6" spans="1:13">
      <c r="A6" s="17" t="s">
        <v>49</v>
      </c>
      <c r="B6" s="17" t="s">
        <v>50</v>
      </c>
      <c r="C6" s="18" t="s">
        <v>60</v>
      </c>
      <c r="D6" s="19" t="s">
        <v>144</v>
      </c>
      <c r="E6" s="19" t="str">
        <f t="shared" si="0"/>
        <v>NOMBRE DE COMERCIO</v>
      </c>
      <c r="F6" s="19" t="s">
        <v>145</v>
      </c>
      <c r="G6" s="17" t="s">
        <v>56</v>
      </c>
      <c r="H6" s="17" t="s">
        <v>100</v>
      </c>
      <c r="I6" s="22">
        <v>52760312</v>
      </c>
      <c r="J6" s="17" t="s">
        <v>56</v>
      </c>
      <c r="K6" s="17" t="s">
        <v>97</v>
      </c>
      <c r="L6" s="17" t="s">
        <v>56</v>
      </c>
      <c r="M6" s="17" t="s">
        <v>56</v>
      </c>
    </row>
    <row r="7" spans="1:13">
      <c r="A7" s="17" t="s">
        <v>49</v>
      </c>
      <c r="B7" s="17" t="s">
        <v>50</v>
      </c>
      <c r="C7" s="18" t="s">
        <v>60</v>
      </c>
      <c r="D7" s="19" t="s">
        <v>181</v>
      </c>
      <c r="E7" s="19" t="str">
        <f t="shared" si="0"/>
        <v>MONEDA DE LA TRANSACCION</v>
      </c>
      <c r="F7" s="19" t="s">
        <v>292</v>
      </c>
      <c r="G7" s="17" t="s">
        <v>56</v>
      </c>
      <c r="H7" s="17" t="s">
        <v>100</v>
      </c>
      <c r="I7" s="22" t="s">
        <v>109</v>
      </c>
      <c r="J7" s="17" t="s">
        <v>56</v>
      </c>
      <c r="K7" s="17" t="s">
        <v>97</v>
      </c>
      <c r="L7" s="17" t="s">
        <v>56</v>
      </c>
      <c r="M7" s="17" t="s">
        <v>56</v>
      </c>
    </row>
    <row r="8" spans="1:13">
      <c r="A8" s="17" t="s">
        <v>49</v>
      </c>
      <c r="B8" s="17" t="s">
        <v>50</v>
      </c>
      <c r="C8" s="18" t="s">
        <v>60</v>
      </c>
      <c r="D8" s="19" t="s">
        <v>183</v>
      </c>
      <c r="E8" s="19" t="str">
        <f t="shared" si="0"/>
        <v>IMPORTE DE LA TRANSACCION</v>
      </c>
      <c r="F8" s="19" t="s">
        <v>184</v>
      </c>
      <c r="G8" s="17" t="s">
        <v>56</v>
      </c>
      <c r="H8" s="17" t="s">
        <v>133</v>
      </c>
      <c r="I8" s="22" t="s">
        <v>112</v>
      </c>
      <c r="J8" s="17" t="s">
        <v>56</v>
      </c>
      <c r="K8" s="17" t="s">
        <v>97</v>
      </c>
      <c r="L8" s="17" t="s">
        <v>56</v>
      </c>
      <c r="M8" s="17" t="s">
        <v>56</v>
      </c>
    </row>
    <row r="9" spans="1:13">
      <c r="A9" s="17" t="s">
        <v>49</v>
      </c>
      <c r="B9" s="17" t="s">
        <v>50</v>
      </c>
      <c r="C9" s="18" t="s">
        <v>60</v>
      </c>
      <c r="D9" s="19" t="s">
        <v>176</v>
      </c>
      <c r="E9" s="19" t="str">
        <f t="shared" si="0"/>
        <v>FECHA DE LA TRANSACCION</v>
      </c>
      <c r="F9" s="19" t="s">
        <v>177</v>
      </c>
      <c r="G9" s="17" t="s">
        <v>56</v>
      </c>
      <c r="H9" s="17" t="s">
        <v>96</v>
      </c>
      <c r="I9" s="22" t="s">
        <v>115</v>
      </c>
      <c r="J9" s="17" t="s">
        <v>56</v>
      </c>
      <c r="K9" s="17" t="s">
        <v>97</v>
      </c>
      <c r="L9" s="17" t="s">
        <v>56</v>
      </c>
      <c r="M9" s="17" t="s">
        <v>56</v>
      </c>
    </row>
    <row r="10" spans="1:13">
      <c r="A10" s="17" t="s">
        <v>49</v>
      </c>
      <c r="B10" s="17" t="s">
        <v>50</v>
      </c>
      <c r="C10" s="18" t="s">
        <v>60</v>
      </c>
      <c r="D10" s="19" t="s">
        <v>135</v>
      </c>
      <c r="E10" s="19" t="str">
        <f t="shared" si="0"/>
        <v>CODIGO DE AUTORIZACION DE LA TRANSACCION</v>
      </c>
      <c r="F10" s="19" t="s">
        <v>136</v>
      </c>
      <c r="G10" s="17" t="s">
        <v>56</v>
      </c>
      <c r="H10" s="17" t="s">
        <v>100</v>
      </c>
      <c r="I10" s="22" t="s">
        <v>118</v>
      </c>
      <c r="J10" s="17" t="s">
        <v>56</v>
      </c>
      <c r="K10" s="17" t="s">
        <v>97</v>
      </c>
      <c r="L10" s="17" t="s">
        <v>56</v>
      </c>
      <c r="M10" s="17" t="s">
        <v>56</v>
      </c>
    </row>
    <row r="11" spans="1:13">
      <c r="A11" s="17" t="s">
        <v>49</v>
      </c>
      <c r="B11" s="17" t="s">
        <v>50</v>
      </c>
      <c r="C11" s="18" t="s">
        <v>60</v>
      </c>
      <c r="D11" s="19" t="s">
        <v>236</v>
      </c>
      <c r="E11" s="19" t="str">
        <f t="shared" si="0"/>
        <v>MOTIVO DEL CONTRACARGO</v>
      </c>
      <c r="F11" s="19" t="s">
        <v>237</v>
      </c>
      <c r="G11" s="17" t="s">
        <v>56</v>
      </c>
      <c r="H11" s="17" t="s">
        <v>100</v>
      </c>
      <c r="I11" s="22" t="s">
        <v>121</v>
      </c>
      <c r="J11" s="17" t="s">
        <v>56</v>
      </c>
      <c r="K11" s="17" t="s">
        <v>97</v>
      </c>
      <c r="L11" s="17" t="s">
        <v>56</v>
      </c>
      <c r="M11" s="17" t="s">
        <v>56</v>
      </c>
    </row>
    <row r="12" spans="1:13">
      <c r="A12" s="17" t="s">
        <v>49</v>
      </c>
      <c r="B12" s="17" t="s">
        <v>50</v>
      </c>
      <c r="C12" s="18" t="s">
        <v>60</v>
      </c>
      <c r="D12" s="19" t="s">
        <v>192</v>
      </c>
      <c r="E12" s="19" t="str">
        <f t="shared" si="0"/>
        <v>NUMERO DE VOUCHER</v>
      </c>
      <c r="F12" s="19" t="s">
        <v>193</v>
      </c>
      <c r="G12" s="17" t="s">
        <v>56</v>
      </c>
      <c r="H12" s="17" t="s">
        <v>100</v>
      </c>
      <c r="I12" s="22" t="s">
        <v>124</v>
      </c>
      <c r="J12" s="17" t="s">
        <v>56</v>
      </c>
      <c r="K12" s="17" t="s">
        <v>97</v>
      </c>
      <c r="L12" s="17" t="s">
        <v>56</v>
      </c>
      <c r="M12" s="17" t="s">
        <v>56</v>
      </c>
    </row>
    <row r="13" spans="1:13">
      <c r="A13" s="17" t="s">
        <v>49</v>
      </c>
      <c r="B13" s="17" t="s">
        <v>50</v>
      </c>
      <c r="C13" s="18" t="s">
        <v>60</v>
      </c>
      <c r="D13" s="19" t="s">
        <v>198</v>
      </c>
      <c r="E13" s="19" t="str">
        <f t="shared" si="0"/>
        <v>NUMERO DE REFERENCIA</v>
      </c>
      <c r="F13" s="19" t="s">
        <v>199</v>
      </c>
      <c r="G13" s="17" t="s">
        <v>56</v>
      </c>
      <c r="H13" s="17" t="s">
        <v>100</v>
      </c>
      <c r="I13" s="22">
        <v>4.6543134654232102E+17</v>
      </c>
      <c r="J13" s="17" t="s">
        <v>56</v>
      </c>
      <c r="K13" s="17" t="s">
        <v>97</v>
      </c>
      <c r="L13" s="17" t="s">
        <v>56</v>
      </c>
      <c r="M13" s="17" t="s">
        <v>56</v>
      </c>
    </row>
    <row r="14" spans="1:13">
      <c r="A14" s="17" t="s">
        <v>49</v>
      </c>
      <c r="B14" s="17" t="s">
        <v>50</v>
      </c>
      <c r="C14" s="18" t="s">
        <v>60</v>
      </c>
      <c r="D14" s="19" t="s">
        <v>207</v>
      </c>
      <c r="E14" s="19" t="str">
        <f t="shared" si="0"/>
        <v>FECHA DE LA DEVOLUCION</v>
      </c>
      <c r="F14" s="19" t="s">
        <v>208</v>
      </c>
      <c r="G14" s="17" t="s">
        <v>56</v>
      </c>
      <c r="H14" s="17" t="s">
        <v>96</v>
      </c>
      <c r="I14" s="22" t="s">
        <v>130</v>
      </c>
      <c r="J14" s="17" t="s">
        <v>56</v>
      </c>
      <c r="K14" s="17" t="s">
        <v>97</v>
      </c>
      <c r="L14" s="17" t="s">
        <v>56</v>
      </c>
      <c r="M14" s="17" t="s">
        <v>56</v>
      </c>
    </row>
    <row r="15" spans="1:13">
      <c r="A15" s="17" t="s">
        <v>49</v>
      </c>
      <c r="B15" s="17" t="s">
        <v>50</v>
      </c>
      <c r="C15" s="18" t="s">
        <v>60</v>
      </c>
      <c r="D15" s="20" t="s">
        <v>215</v>
      </c>
      <c r="E15" s="19" t="str">
        <f t="shared" si="0"/>
        <v>RAZON SOCIAL DEL COMERCIO</v>
      </c>
      <c r="F15" s="19" t="s">
        <v>216</v>
      </c>
      <c r="G15" s="17" t="s">
        <v>97</v>
      </c>
      <c r="H15" s="17" t="s">
        <v>100</v>
      </c>
      <c r="I15" s="22" t="s">
        <v>134</v>
      </c>
      <c r="J15" s="17" t="s">
        <v>56</v>
      </c>
      <c r="K15" s="17" t="s">
        <v>97</v>
      </c>
      <c r="L15" s="17" t="s">
        <v>56</v>
      </c>
      <c r="M15" s="17" t="s">
        <v>56</v>
      </c>
    </row>
    <row r="16" spans="1:13">
      <c r="A16" s="17" t="s">
        <v>49</v>
      </c>
      <c r="B16" s="17" t="s">
        <v>50</v>
      </c>
      <c r="C16" s="18" t="s">
        <v>60</v>
      </c>
      <c r="D16" s="19" t="s">
        <v>147</v>
      </c>
      <c r="E16" s="19" t="str">
        <f t="shared" si="0"/>
        <v>NUMERO DE CONTROL, ROL CASE</v>
      </c>
      <c r="F16" s="19" t="s">
        <v>293</v>
      </c>
      <c r="G16" s="17" t="s">
        <v>56</v>
      </c>
      <c r="H16" s="17" t="s">
        <v>100</v>
      </c>
      <c r="I16" s="22" t="s">
        <v>137</v>
      </c>
      <c r="J16" s="17" t="s">
        <v>56</v>
      </c>
      <c r="K16" s="17" t="s">
        <v>97</v>
      </c>
      <c r="L16" s="17" t="s">
        <v>56</v>
      </c>
      <c r="M16" s="17" t="s">
        <v>56</v>
      </c>
    </row>
    <row r="17" spans="1:13">
      <c r="A17" s="17" t="s">
        <v>49</v>
      </c>
      <c r="B17" s="17" t="s">
        <v>50</v>
      </c>
      <c r="C17" s="18" t="s">
        <v>60</v>
      </c>
      <c r="D17" s="19" t="s">
        <v>128</v>
      </c>
      <c r="E17" s="19" t="str">
        <f t="shared" si="0"/>
        <v>MONEDA DEL CONTRACARGO</v>
      </c>
      <c r="F17" s="19" t="s">
        <v>294</v>
      </c>
      <c r="G17" s="17" t="s">
        <v>56</v>
      </c>
      <c r="H17" s="17" t="s">
        <v>100</v>
      </c>
      <c r="I17" s="22" t="s">
        <v>143</v>
      </c>
      <c r="J17" s="17" t="s">
        <v>56</v>
      </c>
      <c r="K17" s="17" t="s">
        <v>97</v>
      </c>
      <c r="L17" s="17" t="s">
        <v>56</v>
      </c>
      <c r="M17" s="17" t="s">
        <v>56</v>
      </c>
    </row>
    <row r="18" spans="1:13">
      <c r="A18" s="17" t="s">
        <v>49</v>
      </c>
      <c r="B18" s="17" t="s">
        <v>50</v>
      </c>
      <c r="C18" s="18" t="s">
        <v>60</v>
      </c>
      <c r="D18" s="19" t="s">
        <v>131</v>
      </c>
      <c r="E18" s="19" t="str">
        <f t="shared" si="0"/>
        <v>IMPORTE DEL CONTRACARGO</v>
      </c>
      <c r="F18" s="19" t="s">
        <v>132</v>
      </c>
      <c r="G18" s="17" t="s">
        <v>56</v>
      </c>
      <c r="H18" s="17" t="s">
        <v>133</v>
      </c>
      <c r="I18" s="22" t="s">
        <v>146</v>
      </c>
      <c r="J18" s="17" t="s">
        <v>56</v>
      </c>
      <c r="K18" s="17" t="s">
        <v>97</v>
      </c>
      <c r="L18" s="17" t="s">
        <v>56</v>
      </c>
      <c r="M18" s="17" t="s">
        <v>56</v>
      </c>
    </row>
    <row r="19" spans="1:13">
      <c r="A19" s="17" t="s">
        <v>49</v>
      </c>
      <c r="B19" s="17" t="s">
        <v>50</v>
      </c>
      <c r="C19" s="18" t="s">
        <v>60</v>
      </c>
      <c r="D19" s="19" t="s">
        <v>138</v>
      </c>
      <c r="E19" s="19" t="str">
        <f t="shared" si="0"/>
        <v>NUMERO DE REFERENCIA DEL ADQUIRENTE</v>
      </c>
      <c r="F19" s="19" t="s">
        <v>139</v>
      </c>
      <c r="G19" s="17" t="s">
        <v>56</v>
      </c>
      <c r="H19" s="17" t="s">
        <v>100</v>
      </c>
      <c r="I19" s="22" t="s">
        <v>149</v>
      </c>
      <c r="J19" s="17" t="s">
        <v>56</v>
      </c>
      <c r="K19" s="17" t="s">
        <v>97</v>
      </c>
      <c r="L19" s="17" t="s">
        <v>56</v>
      </c>
      <c r="M19" s="17" t="s">
        <v>56</v>
      </c>
    </row>
    <row r="20" spans="1:13">
      <c r="A20" s="17" t="s">
        <v>49</v>
      </c>
      <c r="B20" s="17" t="s">
        <v>50</v>
      </c>
      <c r="C20" s="18" t="s">
        <v>60</v>
      </c>
      <c r="D20" s="19" t="s">
        <v>110</v>
      </c>
      <c r="E20" s="19" t="str">
        <f t="shared" si="0"/>
        <v>FECHA DE INGRESO DEL CONTRACARGO</v>
      </c>
      <c r="F20" s="19" t="s">
        <v>111</v>
      </c>
      <c r="G20" s="17" t="s">
        <v>56</v>
      </c>
      <c r="H20" s="17" t="s">
        <v>96</v>
      </c>
      <c r="I20" s="22" t="s">
        <v>152</v>
      </c>
      <c r="J20" s="17" t="s">
        <v>56</v>
      </c>
      <c r="K20" s="17" t="s">
        <v>97</v>
      </c>
      <c r="L20" s="17" t="s">
        <v>56</v>
      </c>
      <c r="M20" s="17" t="s">
        <v>56</v>
      </c>
    </row>
    <row r="21" spans="1:13">
      <c r="A21" s="17" t="s">
        <v>49</v>
      </c>
      <c r="B21" s="17" t="s">
        <v>50</v>
      </c>
      <c r="C21" s="18" t="s">
        <v>60</v>
      </c>
      <c r="D21" s="19" t="s">
        <v>189</v>
      </c>
      <c r="E21" s="19" t="str">
        <f t="shared" si="0"/>
        <v>CODIGO DE RESPUESTA ECOMMERCE</v>
      </c>
      <c r="F21" s="19" t="s">
        <v>190</v>
      </c>
      <c r="G21" s="17" t="s">
        <v>56</v>
      </c>
      <c r="H21" s="17" t="s">
        <v>100</v>
      </c>
      <c r="I21" s="22" t="s">
        <v>155</v>
      </c>
      <c r="J21" s="17" t="s">
        <v>56</v>
      </c>
      <c r="K21" s="17" t="s">
        <v>97</v>
      </c>
      <c r="L21" s="17" t="s">
        <v>56</v>
      </c>
      <c r="M21" s="17" t="s">
        <v>56</v>
      </c>
    </row>
    <row r="22" spans="1:13">
      <c r="A22" s="17" t="s">
        <v>49</v>
      </c>
      <c r="B22" s="17" t="s">
        <v>50</v>
      </c>
      <c r="C22" s="18" t="s">
        <v>60</v>
      </c>
      <c r="D22" s="19" t="s">
        <v>173</v>
      </c>
      <c r="E22" s="19" t="str">
        <f t="shared" si="0"/>
        <v>CAMPO QUE INDICA SI ES UN CONTRACARGO ÚNICO O DUPLICADO</v>
      </c>
      <c r="F22" s="19" t="s">
        <v>174</v>
      </c>
      <c r="G22" s="17" t="s">
        <v>56</v>
      </c>
      <c r="H22" s="17" t="s">
        <v>100</v>
      </c>
      <c r="I22" s="22" t="s">
        <v>158</v>
      </c>
      <c r="J22" s="17" t="s">
        <v>56</v>
      </c>
      <c r="K22" s="17" t="s">
        <v>97</v>
      </c>
      <c r="L22" s="17" t="s">
        <v>56</v>
      </c>
      <c r="M22" s="17" t="s">
        <v>56</v>
      </c>
    </row>
    <row r="23" spans="1:13">
      <c r="A23" s="17" t="s">
        <v>49</v>
      </c>
      <c r="B23" s="17" t="s">
        <v>50</v>
      </c>
      <c r="C23" s="18" t="s">
        <v>60</v>
      </c>
      <c r="D23" s="19" t="s">
        <v>241</v>
      </c>
      <c r="E23" s="19" t="str">
        <f t="shared" si="0"/>
        <v>INDICA EL ORDEN DEL CONTRACARGO</v>
      </c>
      <c r="F23" s="19" t="s">
        <v>242</v>
      </c>
      <c r="G23" s="17" t="s">
        <v>56</v>
      </c>
      <c r="H23" s="17" t="s">
        <v>100</v>
      </c>
      <c r="I23" s="22">
        <v>9342939658</v>
      </c>
      <c r="J23" s="17" t="s">
        <v>56</v>
      </c>
      <c r="K23" s="17" t="s">
        <v>97</v>
      </c>
      <c r="L23" s="17" t="s">
        <v>56</v>
      </c>
      <c r="M23" s="17" t="s">
        <v>56</v>
      </c>
    </row>
    <row r="24" spans="1:13">
      <c r="A24" s="17" t="s">
        <v>49</v>
      </c>
      <c r="B24" s="17" t="s">
        <v>50</v>
      </c>
      <c r="C24" s="18" t="s">
        <v>60</v>
      </c>
      <c r="D24" s="19" t="s">
        <v>195</v>
      </c>
      <c r="E24" s="19" t="str">
        <f t="shared" si="0"/>
        <v>CODIGO DE TERMINAL DE LA TRANSACCION</v>
      </c>
      <c r="F24" s="19" t="s">
        <v>196</v>
      </c>
      <c r="G24" s="17" t="s">
        <v>56</v>
      </c>
      <c r="H24" s="17" t="s">
        <v>100</v>
      </c>
      <c r="I24" s="22" t="s">
        <v>163</v>
      </c>
      <c r="J24" s="17" t="s">
        <v>56</v>
      </c>
      <c r="K24" s="17" t="s">
        <v>97</v>
      </c>
      <c r="L24" s="17" t="s">
        <v>56</v>
      </c>
      <c r="M24" s="17" t="s">
        <v>56</v>
      </c>
    </row>
    <row r="25" spans="1:13">
      <c r="A25" s="17" t="s">
        <v>49</v>
      </c>
      <c r="B25" s="17" t="s">
        <v>50</v>
      </c>
      <c r="C25" s="18" t="s">
        <v>60</v>
      </c>
      <c r="D25" s="19" t="s">
        <v>186</v>
      </c>
      <c r="E25" s="19" t="str">
        <f t="shared" si="0"/>
        <v>MODO DE ENTRADA</v>
      </c>
      <c r="F25" s="19" t="s">
        <v>187</v>
      </c>
      <c r="G25" s="17" t="s">
        <v>56</v>
      </c>
      <c r="H25" s="17" t="s">
        <v>100</v>
      </c>
      <c r="I25" s="22" t="s">
        <v>169</v>
      </c>
      <c r="J25" s="17" t="s">
        <v>56</v>
      </c>
      <c r="K25" s="17" t="s">
        <v>97</v>
      </c>
      <c r="L25" s="17" t="s">
        <v>56</v>
      </c>
      <c r="M25" s="17" t="s">
        <v>56</v>
      </c>
    </row>
    <row r="26" spans="1:13">
      <c r="A26" s="17" t="s">
        <v>49</v>
      </c>
      <c r="B26" s="17" t="s">
        <v>50</v>
      </c>
      <c r="C26" s="18" t="s">
        <v>60</v>
      </c>
      <c r="D26" s="20" t="s">
        <v>262</v>
      </c>
      <c r="E26" s="19" t="str">
        <f t="shared" si="0"/>
        <v>CORREO DEL CONTACTO OPERA</v>
      </c>
      <c r="F26" s="19" t="s">
        <v>295</v>
      </c>
      <c r="G26" s="17" t="s">
        <v>97</v>
      </c>
      <c r="H26" s="17" t="s">
        <v>100</v>
      </c>
      <c r="I26" s="22" t="s">
        <v>172</v>
      </c>
      <c r="J26" s="17" t="s">
        <v>56</v>
      </c>
      <c r="K26" s="17" t="s">
        <v>97</v>
      </c>
      <c r="L26" s="17" t="s">
        <v>56</v>
      </c>
      <c r="M26" s="17" t="s">
        <v>56</v>
      </c>
    </row>
    <row r="27" spans="1:13">
      <c r="A27" s="17" t="s">
        <v>49</v>
      </c>
      <c r="B27" s="17" t="s">
        <v>50</v>
      </c>
      <c r="C27" s="18" t="s">
        <v>60</v>
      </c>
      <c r="D27" s="19" t="s">
        <v>253</v>
      </c>
      <c r="E27" s="19" t="str">
        <f t="shared" si="0"/>
        <v>TIPO DE LINEA PARA LA ATENCIÓN. L1 ES LA DIVISIÓN DEL EQUIPO DE CONTRACARGOS QUE ATIENDE CASOS POR FRAUDE.</v>
      </c>
      <c r="F27" s="19" t="s">
        <v>296</v>
      </c>
      <c r="G27" s="17" t="s">
        <v>56</v>
      </c>
      <c r="H27" s="17" t="s">
        <v>100</v>
      </c>
      <c r="I27" s="22" t="s">
        <v>178</v>
      </c>
      <c r="J27" s="17" t="s">
        <v>56</v>
      </c>
      <c r="K27" s="17" t="s">
        <v>97</v>
      </c>
      <c r="L27" s="17" t="s">
        <v>56</v>
      </c>
      <c r="M27" s="17" t="s">
        <v>56</v>
      </c>
    </row>
    <row r="28" spans="1:13">
      <c r="A28" s="17" t="s">
        <v>49</v>
      </c>
      <c r="B28" s="17" t="s">
        <v>50</v>
      </c>
      <c r="C28" s="18" t="s">
        <v>60</v>
      </c>
      <c r="D28" s="19" t="s">
        <v>266</v>
      </c>
      <c r="E28" s="19" t="str">
        <f t="shared" si="0"/>
        <v>FLAG QUE INDICA SI EL CONTRACARGO TIENE UNA RETENCIÓN (CÓDIGO 34)</v>
      </c>
      <c r="F28" s="19" t="s">
        <v>267</v>
      </c>
      <c r="G28" s="17" t="s">
        <v>56</v>
      </c>
      <c r="H28" s="17" t="s">
        <v>264</v>
      </c>
      <c r="I28" s="22" t="s">
        <v>268</v>
      </c>
      <c r="J28" s="17" t="s">
        <v>56</v>
      </c>
      <c r="K28" s="17" t="s">
        <v>97</v>
      </c>
      <c r="L28" s="17" t="s">
        <v>56</v>
      </c>
      <c r="M28" s="17" t="s">
        <v>56</v>
      </c>
    </row>
    <row r="29" spans="1:13">
      <c r="A29" s="17" t="s">
        <v>49</v>
      </c>
      <c r="B29" s="17" t="s">
        <v>50</v>
      </c>
      <c r="C29" s="18" t="s">
        <v>60</v>
      </c>
      <c r="D29" s="19" t="s">
        <v>269</v>
      </c>
      <c r="E29" s="19" t="str">
        <f t="shared" si="0"/>
        <v>FLAG QUE INDICA SI EL CONTRACARGO TIENE UNA DEVOLUCIÓN (CÓDIGO 876)</v>
      </c>
      <c r="F29" s="19" t="s">
        <v>270</v>
      </c>
      <c r="G29" s="17" t="s">
        <v>56</v>
      </c>
      <c r="H29" s="17" t="s">
        <v>264</v>
      </c>
      <c r="I29" s="22" t="s">
        <v>268</v>
      </c>
      <c r="J29" s="17" t="s">
        <v>56</v>
      </c>
      <c r="K29" s="17" t="s">
        <v>97</v>
      </c>
      <c r="L29" s="17" t="s">
        <v>56</v>
      </c>
      <c r="M29" s="17" t="s">
        <v>56</v>
      </c>
    </row>
    <row r="30" spans="1:13">
      <c r="A30" s="17" t="s">
        <v>49</v>
      </c>
      <c r="B30" s="17" t="s">
        <v>50</v>
      </c>
      <c r="C30" s="18" t="s">
        <v>60</v>
      </c>
      <c r="D30" s="19" t="s">
        <v>281</v>
      </c>
      <c r="E30" s="19" t="str">
        <f t="shared" ref="E30:E32" si="1">UPPER(F30)</f>
        <v>DATO DE AUDITORÍA: DESCRIPCIÓN DEL APLICATIVO ORIGEN DE LOS DATOS.</v>
      </c>
      <c r="F30" s="19" t="s">
        <v>282</v>
      </c>
      <c r="G30" s="17" t="s">
        <v>56</v>
      </c>
      <c r="H30" s="17" t="s">
        <v>100</v>
      </c>
      <c r="I30" s="22" t="s">
        <v>283</v>
      </c>
      <c r="J30" s="17" t="s">
        <v>56</v>
      </c>
      <c r="K30" s="17" t="s">
        <v>56</v>
      </c>
      <c r="L30" s="17" t="s">
        <v>56</v>
      </c>
      <c r="M30" s="17" t="s">
        <v>56</v>
      </c>
    </row>
    <row r="31" spans="1:13">
      <c r="A31" s="17" t="s">
        <v>49</v>
      </c>
      <c r="B31" s="17" t="s">
        <v>50</v>
      </c>
      <c r="C31" s="18" t="s">
        <v>60</v>
      </c>
      <c r="D31" s="19" t="s">
        <v>284</v>
      </c>
      <c r="E31" s="19" t="str">
        <f t="shared" si="1"/>
        <v>FECHA Y HORA DE INSERCIÓN DEL REGISTRO EN EL MODELO</v>
      </c>
      <c r="F31" s="19" t="s">
        <v>285</v>
      </c>
      <c r="G31" s="17" t="s">
        <v>56</v>
      </c>
      <c r="H31" s="17" t="s">
        <v>286</v>
      </c>
      <c r="I31" s="22" t="s">
        <v>287</v>
      </c>
      <c r="J31" s="17" t="s">
        <v>56</v>
      </c>
      <c r="K31" s="17" t="s">
        <v>56</v>
      </c>
      <c r="L31" s="17" t="s">
        <v>56</v>
      </c>
      <c r="M31" s="17" t="s">
        <v>56</v>
      </c>
    </row>
    <row r="32" spans="1:13">
      <c r="A32" s="17" t="s">
        <v>49</v>
      </c>
      <c r="B32" s="17" t="s">
        <v>50</v>
      </c>
      <c r="C32" s="18" t="s">
        <v>60</v>
      </c>
      <c r="D32" s="19" t="s">
        <v>288</v>
      </c>
      <c r="E32" s="19" t="str">
        <f t="shared" si="1"/>
        <v>USUARIO QUE CREA EL REGISTRO EN LA BD</v>
      </c>
      <c r="F32" s="19" t="s">
        <v>289</v>
      </c>
      <c r="G32" s="17" t="s">
        <v>56</v>
      </c>
      <c r="H32" s="17" t="s">
        <v>100</v>
      </c>
      <c r="I32" s="22" t="s">
        <v>258</v>
      </c>
      <c r="J32" s="17" t="s">
        <v>56</v>
      </c>
      <c r="K32" s="17" t="s">
        <v>56</v>
      </c>
      <c r="L32" s="17" t="s">
        <v>56</v>
      </c>
      <c r="M32" s="17" t="s">
        <v>56</v>
      </c>
    </row>
  </sheetData>
  <autoFilter ref="A2:M32" xr:uid="{43B8BE03-B52F-4C6B-A89B-93AA5438230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99FB6-DA37-4507-8A55-8EC0BC075A9A}">
  <sheetPr codeName="Hoja5"/>
  <dimension ref="A1:M32"/>
  <sheetViews>
    <sheetView showGridLines="0" topLeftCell="C1" zoomScaleNormal="100" workbookViewId="0">
      <pane ySplit="2" topLeftCell="A3" activePane="bottomLeft" state="frozen"/>
      <selection pane="bottomLeft" activeCell="E22" sqref="E22"/>
    </sheetView>
  </sheetViews>
  <sheetFormatPr baseColWidth="10" defaultColWidth="11.44140625" defaultRowHeight="14.4"/>
  <cols>
    <col min="1" max="2" width="29" customWidth="1"/>
    <col min="3" max="3" width="36.33203125" customWidth="1"/>
    <col min="4" max="4" width="29" customWidth="1"/>
    <col min="5" max="5" width="60.6640625" customWidth="1"/>
    <col min="6" max="6" width="64.33203125" customWidth="1"/>
    <col min="7" max="7" width="19.109375" customWidth="1"/>
    <col min="8" max="8" width="29" customWidth="1"/>
    <col min="9" max="9" width="40.5546875" customWidth="1"/>
    <col min="10" max="13" width="29" customWidth="1"/>
  </cols>
  <sheetData>
    <row r="1" spans="1:13" ht="31.2">
      <c r="A1" s="14" t="s">
        <v>14</v>
      </c>
      <c r="B1" s="15" t="s">
        <v>15</v>
      </c>
      <c r="C1" s="15" t="s">
        <v>6</v>
      </c>
      <c r="D1" s="15" t="s">
        <v>7</v>
      </c>
      <c r="E1" s="15" t="s">
        <v>75</v>
      </c>
      <c r="F1" s="15" t="s">
        <v>76</v>
      </c>
      <c r="G1" s="15" t="s">
        <v>77</v>
      </c>
      <c r="H1" s="15" t="s">
        <v>78</v>
      </c>
      <c r="I1" s="15" t="s">
        <v>79</v>
      </c>
      <c r="J1" s="15" t="s">
        <v>80</v>
      </c>
      <c r="K1" s="15" t="s">
        <v>81</v>
      </c>
      <c r="L1" s="15" t="s">
        <v>82</v>
      </c>
      <c r="M1" s="15" t="s">
        <v>83</v>
      </c>
    </row>
    <row r="2" spans="1:13" ht="46.8">
      <c r="A2" s="16" t="s">
        <v>32</v>
      </c>
      <c r="B2" s="16" t="s">
        <v>33</v>
      </c>
      <c r="C2" s="16" t="s">
        <v>84</v>
      </c>
      <c r="D2" s="16" t="s">
        <v>85</v>
      </c>
      <c r="E2" s="16" t="s">
        <v>86</v>
      </c>
      <c r="F2" s="16" t="s">
        <v>87</v>
      </c>
      <c r="G2" s="16" t="s">
        <v>88</v>
      </c>
      <c r="H2" s="16" t="s">
        <v>89</v>
      </c>
      <c r="I2" s="16" t="s">
        <v>90</v>
      </c>
      <c r="J2" s="16" t="s">
        <v>91</v>
      </c>
      <c r="K2" s="16" t="s">
        <v>92</v>
      </c>
      <c r="L2" s="16" t="s">
        <v>93</v>
      </c>
      <c r="M2" s="16" t="s">
        <v>92</v>
      </c>
    </row>
    <row r="3" spans="1:13">
      <c r="A3" s="17" t="s">
        <v>49</v>
      </c>
      <c r="B3" s="17" t="s">
        <v>50</v>
      </c>
      <c r="C3" s="18" t="s">
        <v>62</v>
      </c>
      <c r="D3" s="19" t="s">
        <v>94</v>
      </c>
      <c r="E3" s="19" t="str">
        <f>UPPER(F3)</f>
        <v>FECHA DE FOTO/DATOS CONFIGURADA EN EL ETL PARA LA EXTRACCIÓN DE DATOS, CORRESPONDE A APERTURAS DE COMERCIOS HASTA EL CIERRE DEL DÍA ANTERIOR</v>
      </c>
      <c r="F3" s="19" t="s">
        <v>95</v>
      </c>
      <c r="G3" s="17" t="s">
        <v>56</v>
      </c>
      <c r="H3" s="17" t="s">
        <v>96</v>
      </c>
      <c r="I3" s="23">
        <v>45841</v>
      </c>
      <c r="J3" s="17" t="s">
        <v>56</v>
      </c>
      <c r="K3" s="17" t="s">
        <v>56</v>
      </c>
      <c r="L3" s="17" t="s">
        <v>97</v>
      </c>
      <c r="M3" s="17" t="s">
        <v>56</v>
      </c>
    </row>
    <row r="4" spans="1:13">
      <c r="A4" s="17" t="s">
        <v>49</v>
      </c>
      <c r="B4" s="17" t="s">
        <v>50</v>
      </c>
      <c r="C4" s="18" t="s">
        <v>62</v>
      </c>
      <c r="D4" s="19" t="s">
        <v>141</v>
      </c>
      <c r="E4" s="19" t="str">
        <f t="shared" ref="E4:E32" si="0">UPPER(F4)</f>
        <v>CODIGO DE COMERCIO</v>
      </c>
      <c r="F4" s="19" t="s">
        <v>142</v>
      </c>
      <c r="G4" s="17" t="s">
        <v>56</v>
      </c>
      <c r="H4" s="17" t="s">
        <v>100</v>
      </c>
      <c r="I4" s="22" t="s">
        <v>101</v>
      </c>
      <c r="J4" s="17" t="s">
        <v>56</v>
      </c>
      <c r="K4" s="17" t="s">
        <v>97</v>
      </c>
      <c r="L4" s="17" t="s">
        <v>56</v>
      </c>
      <c r="M4" s="17" t="s">
        <v>56</v>
      </c>
    </row>
    <row r="5" spans="1:13">
      <c r="A5" s="17" t="s">
        <v>49</v>
      </c>
      <c r="B5" s="17" t="s">
        <v>50</v>
      </c>
      <c r="C5" s="18" t="s">
        <v>62</v>
      </c>
      <c r="D5" s="19" t="s">
        <v>290</v>
      </c>
      <c r="E5" s="19" t="str">
        <f t="shared" si="0"/>
        <v>TARJETA DE LA TRANSACCION ENMASCARADA EN FORMATO (XXXXXX******XXXXX)</v>
      </c>
      <c r="F5" s="19" t="s">
        <v>291</v>
      </c>
      <c r="G5" s="17" t="s">
        <v>56</v>
      </c>
      <c r="H5" s="17" t="s">
        <v>100</v>
      </c>
      <c r="I5" s="22" t="s">
        <v>104</v>
      </c>
      <c r="J5" s="17" t="s">
        <v>56</v>
      </c>
      <c r="K5" s="17" t="s">
        <v>97</v>
      </c>
      <c r="L5" s="17" t="s">
        <v>56</v>
      </c>
      <c r="M5" s="17" t="s">
        <v>56</v>
      </c>
    </row>
    <row r="6" spans="1:13">
      <c r="A6" s="17" t="s">
        <v>49</v>
      </c>
      <c r="B6" s="17" t="s">
        <v>50</v>
      </c>
      <c r="C6" s="18" t="s">
        <v>62</v>
      </c>
      <c r="D6" s="19" t="s">
        <v>144</v>
      </c>
      <c r="E6" s="19" t="str">
        <f t="shared" si="0"/>
        <v>NOMBRE DE COMERCIO</v>
      </c>
      <c r="F6" s="19" t="s">
        <v>145</v>
      </c>
      <c r="G6" s="17" t="s">
        <v>56</v>
      </c>
      <c r="H6" s="17" t="s">
        <v>100</v>
      </c>
      <c r="I6" s="22">
        <v>52760312</v>
      </c>
      <c r="J6" s="17" t="s">
        <v>56</v>
      </c>
      <c r="K6" s="17" t="s">
        <v>97</v>
      </c>
      <c r="L6" s="17" t="s">
        <v>56</v>
      </c>
      <c r="M6" s="17" t="s">
        <v>56</v>
      </c>
    </row>
    <row r="7" spans="1:13">
      <c r="A7" s="17" t="s">
        <v>49</v>
      </c>
      <c r="B7" s="17" t="s">
        <v>50</v>
      </c>
      <c r="C7" s="18" t="s">
        <v>62</v>
      </c>
      <c r="D7" s="19" t="s">
        <v>181</v>
      </c>
      <c r="E7" s="19" t="str">
        <f t="shared" si="0"/>
        <v>MONEDA DE LA TRANSACCION</v>
      </c>
      <c r="F7" s="19" t="s">
        <v>292</v>
      </c>
      <c r="G7" s="17" t="s">
        <v>56</v>
      </c>
      <c r="H7" s="17" t="s">
        <v>100</v>
      </c>
      <c r="I7" s="22" t="s">
        <v>109</v>
      </c>
      <c r="J7" s="17" t="s">
        <v>56</v>
      </c>
      <c r="K7" s="17" t="s">
        <v>97</v>
      </c>
      <c r="L7" s="17" t="s">
        <v>56</v>
      </c>
      <c r="M7" s="17" t="s">
        <v>56</v>
      </c>
    </row>
    <row r="8" spans="1:13">
      <c r="A8" s="17" t="s">
        <v>49</v>
      </c>
      <c r="B8" s="17" t="s">
        <v>50</v>
      </c>
      <c r="C8" s="18" t="s">
        <v>62</v>
      </c>
      <c r="D8" s="19" t="s">
        <v>183</v>
      </c>
      <c r="E8" s="19" t="str">
        <f t="shared" si="0"/>
        <v>IMPORTE DE LA TRANSACCION</v>
      </c>
      <c r="F8" s="19" t="s">
        <v>184</v>
      </c>
      <c r="G8" s="17" t="s">
        <v>56</v>
      </c>
      <c r="H8" s="17" t="s">
        <v>133</v>
      </c>
      <c r="I8" s="22" t="s">
        <v>112</v>
      </c>
      <c r="J8" s="17" t="s">
        <v>56</v>
      </c>
      <c r="K8" s="17" t="s">
        <v>97</v>
      </c>
      <c r="L8" s="17" t="s">
        <v>56</v>
      </c>
      <c r="M8" s="17" t="s">
        <v>56</v>
      </c>
    </row>
    <row r="9" spans="1:13">
      <c r="A9" s="17" t="s">
        <v>49</v>
      </c>
      <c r="B9" s="17" t="s">
        <v>50</v>
      </c>
      <c r="C9" s="18" t="s">
        <v>62</v>
      </c>
      <c r="D9" s="19" t="s">
        <v>176</v>
      </c>
      <c r="E9" s="19" t="str">
        <f t="shared" si="0"/>
        <v>FECHA DE LA TRANSACCION</v>
      </c>
      <c r="F9" s="19" t="s">
        <v>177</v>
      </c>
      <c r="G9" s="17" t="s">
        <v>56</v>
      </c>
      <c r="H9" s="17" t="s">
        <v>96</v>
      </c>
      <c r="I9" s="22" t="s">
        <v>115</v>
      </c>
      <c r="J9" s="17" t="s">
        <v>56</v>
      </c>
      <c r="K9" s="17" t="s">
        <v>97</v>
      </c>
      <c r="L9" s="17" t="s">
        <v>56</v>
      </c>
      <c r="M9" s="17" t="s">
        <v>56</v>
      </c>
    </row>
    <row r="10" spans="1:13">
      <c r="A10" s="17" t="s">
        <v>49</v>
      </c>
      <c r="B10" s="17" t="s">
        <v>50</v>
      </c>
      <c r="C10" s="18" t="s">
        <v>62</v>
      </c>
      <c r="D10" s="19" t="s">
        <v>135</v>
      </c>
      <c r="E10" s="19" t="str">
        <f t="shared" si="0"/>
        <v>CODIGO DE AUTORIZACION DE LA TRANSACCION</v>
      </c>
      <c r="F10" s="19" t="s">
        <v>136</v>
      </c>
      <c r="G10" s="17" t="s">
        <v>56</v>
      </c>
      <c r="H10" s="17" t="s">
        <v>100</v>
      </c>
      <c r="I10" s="22" t="s">
        <v>118</v>
      </c>
      <c r="J10" s="17" t="s">
        <v>56</v>
      </c>
      <c r="K10" s="17" t="s">
        <v>97</v>
      </c>
      <c r="L10" s="17" t="s">
        <v>56</v>
      </c>
      <c r="M10" s="17" t="s">
        <v>56</v>
      </c>
    </row>
    <row r="11" spans="1:13">
      <c r="A11" s="17" t="s">
        <v>49</v>
      </c>
      <c r="B11" s="17" t="s">
        <v>50</v>
      </c>
      <c r="C11" s="18" t="s">
        <v>62</v>
      </c>
      <c r="D11" s="19" t="s">
        <v>236</v>
      </c>
      <c r="E11" s="19" t="str">
        <f t="shared" si="0"/>
        <v>MOTIVO DEL CONTRACARGO</v>
      </c>
      <c r="F11" s="19" t="s">
        <v>237</v>
      </c>
      <c r="G11" s="17" t="s">
        <v>56</v>
      </c>
      <c r="H11" s="17" t="s">
        <v>100</v>
      </c>
      <c r="I11" s="22" t="s">
        <v>121</v>
      </c>
      <c r="J11" s="17" t="s">
        <v>56</v>
      </c>
      <c r="K11" s="17" t="s">
        <v>97</v>
      </c>
      <c r="L11" s="17" t="s">
        <v>56</v>
      </c>
      <c r="M11" s="17" t="s">
        <v>56</v>
      </c>
    </row>
    <row r="12" spans="1:13">
      <c r="A12" s="17" t="s">
        <v>49</v>
      </c>
      <c r="B12" s="17" t="s">
        <v>50</v>
      </c>
      <c r="C12" s="18" t="s">
        <v>62</v>
      </c>
      <c r="D12" s="19" t="s">
        <v>192</v>
      </c>
      <c r="E12" s="19" t="str">
        <f t="shared" si="0"/>
        <v>NUMERO DE VOUCHER</v>
      </c>
      <c r="F12" s="19" t="s">
        <v>193</v>
      </c>
      <c r="G12" s="17" t="s">
        <v>56</v>
      </c>
      <c r="H12" s="17" t="s">
        <v>100</v>
      </c>
      <c r="I12" s="22" t="s">
        <v>124</v>
      </c>
      <c r="J12" s="17" t="s">
        <v>56</v>
      </c>
      <c r="K12" s="17" t="s">
        <v>97</v>
      </c>
      <c r="L12" s="17" t="s">
        <v>56</v>
      </c>
      <c r="M12" s="17" t="s">
        <v>56</v>
      </c>
    </row>
    <row r="13" spans="1:13">
      <c r="A13" s="17" t="s">
        <v>49</v>
      </c>
      <c r="B13" s="17" t="s">
        <v>50</v>
      </c>
      <c r="C13" s="18" t="s">
        <v>62</v>
      </c>
      <c r="D13" s="19" t="s">
        <v>198</v>
      </c>
      <c r="E13" s="19" t="str">
        <f t="shared" si="0"/>
        <v>NUMERO DE REFERENCIA</v>
      </c>
      <c r="F13" s="19" t="s">
        <v>199</v>
      </c>
      <c r="G13" s="17" t="s">
        <v>56</v>
      </c>
      <c r="H13" s="17" t="s">
        <v>100</v>
      </c>
      <c r="I13" s="22">
        <v>4.6543134654232102E+17</v>
      </c>
      <c r="J13" s="17" t="s">
        <v>56</v>
      </c>
      <c r="K13" s="17" t="s">
        <v>97</v>
      </c>
      <c r="L13" s="17" t="s">
        <v>56</v>
      </c>
      <c r="M13" s="17" t="s">
        <v>56</v>
      </c>
    </row>
    <row r="14" spans="1:13">
      <c r="A14" s="17" t="s">
        <v>49</v>
      </c>
      <c r="B14" s="17" t="s">
        <v>50</v>
      </c>
      <c r="C14" s="18" t="s">
        <v>62</v>
      </c>
      <c r="D14" s="19" t="s">
        <v>207</v>
      </c>
      <c r="E14" s="19" t="str">
        <f t="shared" si="0"/>
        <v>FECHA DE LA DEVOLUCION</v>
      </c>
      <c r="F14" s="19" t="s">
        <v>208</v>
      </c>
      <c r="G14" s="17" t="s">
        <v>56</v>
      </c>
      <c r="H14" s="17" t="s">
        <v>96</v>
      </c>
      <c r="I14" s="22" t="s">
        <v>130</v>
      </c>
      <c r="J14" s="17" t="s">
        <v>56</v>
      </c>
      <c r="K14" s="17" t="s">
        <v>97</v>
      </c>
      <c r="L14" s="17" t="s">
        <v>56</v>
      </c>
      <c r="M14" s="17" t="s">
        <v>56</v>
      </c>
    </row>
    <row r="15" spans="1:13">
      <c r="A15" s="17" t="s">
        <v>49</v>
      </c>
      <c r="B15" s="17" t="s">
        <v>50</v>
      </c>
      <c r="C15" s="18" t="s">
        <v>62</v>
      </c>
      <c r="D15" s="20" t="s">
        <v>215</v>
      </c>
      <c r="E15" s="19" t="str">
        <f t="shared" si="0"/>
        <v>RAZON SOCIAL DEL COMERCIO</v>
      </c>
      <c r="F15" s="19" t="s">
        <v>216</v>
      </c>
      <c r="G15" s="17" t="s">
        <v>97</v>
      </c>
      <c r="H15" s="17" t="s">
        <v>100</v>
      </c>
      <c r="I15" s="22" t="s">
        <v>134</v>
      </c>
      <c r="J15" s="17" t="s">
        <v>56</v>
      </c>
      <c r="K15" s="17" t="s">
        <v>97</v>
      </c>
      <c r="L15" s="17" t="s">
        <v>56</v>
      </c>
      <c r="M15" s="17" t="s">
        <v>56</v>
      </c>
    </row>
    <row r="16" spans="1:13">
      <c r="A16" s="17" t="s">
        <v>49</v>
      </c>
      <c r="B16" s="17" t="s">
        <v>50</v>
      </c>
      <c r="C16" s="18" t="s">
        <v>62</v>
      </c>
      <c r="D16" s="19" t="s">
        <v>147</v>
      </c>
      <c r="E16" s="19" t="str">
        <f t="shared" si="0"/>
        <v>NUMERO DE CONTROL, ROL CASE</v>
      </c>
      <c r="F16" s="19" t="s">
        <v>293</v>
      </c>
      <c r="G16" s="17" t="s">
        <v>56</v>
      </c>
      <c r="H16" s="17" t="s">
        <v>100</v>
      </c>
      <c r="I16" s="22" t="s">
        <v>137</v>
      </c>
      <c r="J16" s="17" t="s">
        <v>56</v>
      </c>
      <c r="K16" s="17" t="s">
        <v>97</v>
      </c>
      <c r="L16" s="17" t="s">
        <v>56</v>
      </c>
      <c r="M16" s="17" t="s">
        <v>56</v>
      </c>
    </row>
    <row r="17" spans="1:13">
      <c r="A17" s="17" t="s">
        <v>49</v>
      </c>
      <c r="B17" s="17" t="s">
        <v>50</v>
      </c>
      <c r="C17" s="18" t="s">
        <v>62</v>
      </c>
      <c r="D17" s="19" t="s">
        <v>128</v>
      </c>
      <c r="E17" s="19" t="str">
        <f t="shared" si="0"/>
        <v>MONEDA DEL CONTRACARGO</v>
      </c>
      <c r="F17" s="19" t="s">
        <v>294</v>
      </c>
      <c r="G17" s="17" t="s">
        <v>56</v>
      </c>
      <c r="H17" s="17" t="s">
        <v>100</v>
      </c>
      <c r="I17" s="22" t="s">
        <v>143</v>
      </c>
      <c r="J17" s="17" t="s">
        <v>56</v>
      </c>
      <c r="K17" s="17" t="s">
        <v>97</v>
      </c>
      <c r="L17" s="17" t="s">
        <v>56</v>
      </c>
      <c r="M17" s="17" t="s">
        <v>56</v>
      </c>
    </row>
    <row r="18" spans="1:13">
      <c r="A18" s="17" t="s">
        <v>49</v>
      </c>
      <c r="B18" s="17" t="s">
        <v>50</v>
      </c>
      <c r="C18" s="18" t="s">
        <v>62</v>
      </c>
      <c r="D18" s="19" t="s">
        <v>131</v>
      </c>
      <c r="E18" s="19" t="str">
        <f t="shared" si="0"/>
        <v>IMPORTE DEL CONTRACARGO</v>
      </c>
      <c r="F18" s="19" t="s">
        <v>132</v>
      </c>
      <c r="G18" s="17" t="s">
        <v>56</v>
      </c>
      <c r="H18" s="17" t="s">
        <v>133</v>
      </c>
      <c r="I18" s="22" t="s">
        <v>146</v>
      </c>
      <c r="J18" s="17" t="s">
        <v>56</v>
      </c>
      <c r="K18" s="17" t="s">
        <v>97</v>
      </c>
      <c r="L18" s="17" t="s">
        <v>56</v>
      </c>
      <c r="M18" s="17" t="s">
        <v>56</v>
      </c>
    </row>
    <row r="19" spans="1:13">
      <c r="A19" s="17" t="s">
        <v>49</v>
      </c>
      <c r="B19" s="17" t="s">
        <v>50</v>
      </c>
      <c r="C19" s="18" t="s">
        <v>62</v>
      </c>
      <c r="D19" s="19" t="s">
        <v>138</v>
      </c>
      <c r="E19" s="19" t="str">
        <f t="shared" si="0"/>
        <v>NUMERO DE REFERENCIA DEL ADQUIRENTE</v>
      </c>
      <c r="F19" s="19" t="s">
        <v>139</v>
      </c>
      <c r="G19" s="17" t="s">
        <v>56</v>
      </c>
      <c r="H19" s="17" t="s">
        <v>100</v>
      </c>
      <c r="I19" s="22" t="s">
        <v>149</v>
      </c>
      <c r="J19" s="17" t="s">
        <v>56</v>
      </c>
      <c r="K19" s="17" t="s">
        <v>97</v>
      </c>
      <c r="L19" s="17" t="s">
        <v>56</v>
      </c>
      <c r="M19" s="17" t="s">
        <v>56</v>
      </c>
    </row>
    <row r="20" spans="1:13">
      <c r="A20" s="17" t="s">
        <v>49</v>
      </c>
      <c r="B20" s="17" t="s">
        <v>50</v>
      </c>
      <c r="C20" s="18" t="s">
        <v>62</v>
      </c>
      <c r="D20" s="19" t="s">
        <v>110</v>
      </c>
      <c r="E20" s="19" t="str">
        <f t="shared" si="0"/>
        <v>FECHA DE INGRESO DEL CONTRACARGO</v>
      </c>
      <c r="F20" s="19" t="s">
        <v>111</v>
      </c>
      <c r="G20" s="17" t="s">
        <v>56</v>
      </c>
      <c r="H20" s="17" t="s">
        <v>96</v>
      </c>
      <c r="I20" s="22" t="s">
        <v>152</v>
      </c>
      <c r="J20" s="17" t="s">
        <v>56</v>
      </c>
      <c r="K20" s="17" t="s">
        <v>97</v>
      </c>
      <c r="L20" s="17" t="s">
        <v>56</v>
      </c>
      <c r="M20" s="17" t="s">
        <v>56</v>
      </c>
    </row>
    <row r="21" spans="1:13">
      <c r="A21" s="17" t="s">
        <v>49</v>
      </c>
      <c r="B21" s="17" t="s">
        <v>50</v>
      </c>
      <c r="C21" s="18" t="s">
        <v>62</v>
      </c>
      <c r="D21" s="19" t="s">
        <v>189</v>
      </c>
      <c r="E21" s="19" t="str">
        <f t="shared" si="0"/>
        <v>CODIGO DE RESPUESTA ECOMMERCE</v>
      </c>
      <c r="F21" s="19" t="s">
        <v>190</v>
      </c>
      <c r="G21" s="17" t="s">
        <v>56</v>
      </c>
      <c r="H21" s="17" t="s">
        <v>100</v>
      </c>
      <c r="I21" s="22" t="s">
        <v>155</v>
      </c>
      <c r="J21" s="17" t="s">
        <v>56</v>
      </c>
      <c r="K21" s="17" t="s">
        <v>97</v>
      </c>
      <c r="L21" s="17" t="s">
        <v>56</v>
      </c>
      <c r="M21" s="17" t="s">
        <v>56</v>
      </c>
    </row>
    <row r="22" spans="1:13">
      <c r="A22" s="17" t="s">
        <v>49</v>
      </c>
      <c r="B22" s="17" t="s">
        <v>50</v>
      </c>
      <c r="C22" s="18" t="s">
        <v>62</v>
      </c>
      <c r="D22" s="19" t="s">
        <v>173</v>
      </c>
      <c r="E22" s="19" t="str">
        <f t="shared" si="0"/>
        <v>CAMPO QUE INDICA SI ES UN CONTRACARGO ÚNICO O DUPLICADO</v>
      </c>
      <c r="F22" s="19" t="s">
        <v>174</v>
      </c>
      <c r="G22" s="17" t="s">
        <v>56</v>
      </c>
      <c r="H22" s="17" t="s">
        <v>100</v>
      </c>
      <c r="I22" s="22" t="s">
        <v>158</v>
      </c>
      <c r="J22" s="17" t="s">
        <v>56</v>
      </c>
      <c r="K22" s="17" t="s">
        <v>97</v>
      </c>
      <c r="L22" s="17" t="s">
        <v>56</v>
      </c>
      <c r="M22" s="17" t="s">
        <v>56</v>
      </c>
    </row>
    <row r="23" spans="1:13">
      <c r="A23" s="17" t="s">
        <v>49</v>
      </c>
      <c r="B23" s="17" t="s">
        <v>50</v>
      </c>
      <c r="C23" s="18" t="s">
        <v>62</v>
      </c>
      <c r="D23" s="19" t="s">
        <v>241</v>
      </c>
      <c r="E23" s="19" t="str">
        <f t="shared" si="0"/>
        <v>INDICA EL ORDEN DEL CONTRACARGO</v>
      </c>
      <c r="F23" s="19" t="s">
        <v>242</v>
      </c>
      <c r="G23" s="17" t="s">
        <v>56</v>
      </c>
      <c r="H23" s="17" t="s">
        <v>100</v>
      </c>
      <c r="I23" s="22">
        <v>9342939658</v>
      </c>
      <c r="J23" s="17" t="s">
        <v>56</v>
      </c>
      <c r="K23" s="17" t="s">
        <v>97</v>
      </c>
      <c r="L23" s="17" t="s">
        <v>56</v>
      </c>
      <c r="M23" s="17" t="s">
        <v>56</v>
      </c>
    </row>
    <row r="24" spans="1:13">
      <c r="A24" s="17" t="s">
        <v>49</v>
      </c>
      <c r="B24" s="17" t="s">
        <v>50</v>
      </c>
      <c r="C24" s="18" t="s">
        <v>62</v>
      </c>
      <c r="D24" s="19" t="s">
        <v>195</v>
      </c>
      <c r="E24" s="19" t="str">
        <f t="shared" si="0"/>
        <v>CODIGO DE TERMINAL DE LA TRANSACCION</v>
      </c>
      <c r="F24" s="19" t="s">
        <v>196</v>
      </c>
      <c r="G24" s="17" t="s">
        <v>56</v>
      </c>
      <c r="H24" s="17" t="s">
        <v>100</v>
      </c>
      <c r="I24" s="22" t="s">
        <v>163</v>
      </c>
      <c r="J24" s="17" t="s">
        <v>56</v>
      </c>
      <c r="K24" s="17" t="s">
        <v>97</v>
      </c>
      <c r="L24" s="17" t="s">
        <v>56</v>
      </c>
      <c r="M24" s="17" t="s">
        <v>56</v>
      </c>
    </row>
    <row r="25" spans="1:13">
      <c r="A25" s="17" t="s">
        <v>49</v>
      </c>
      <c r="B25" s="17" t="s">
        <v>50</v>
      </c>
      <c r="C25" s="18" t="s">
        <v>62</v>
      </c>
      <c r="D25" s="19" t="s">
        <v>186</v>
      </c>
      <c r="E25" s="19" t="str">
        <f t="shared" si="0"/>
        <v>MODO DE ENTRADA</v>
      </c>
      <c r="F25" s="19" t="s">
        <v>187</v>
      </c>
      <c r="G25" s="17" t="s">
        <v>56</v>
      </c>
      <c r="H25" s="17" t="s">
        <v>100</v>
      </c>
      <c r="I25" s="22" t="s">
        <v>169</v>
      </c>
      <c r="J25" s="17" t="s">
        <v>56</v>
      </c>
      <c r="K25" s="17" t="s">
        <v>97</v>
      </c>
      <c r="L25" s="17" t="s">
        <v>56</v>
      </c>
      <c r="M25" s="17" t="s">
        <v>56</v>
      </c>
    </row>
    <row r="26" spans="1:13">
      <c r="A26" s="17" t="s">
        <v>49</v>
      </c>
      <c r="B26" s="17" t="s">
        <v>50</v>
      </c>
      <c r="C26" s="18" t="s">
        <v>62</v>
      </c>
      <c r="D26" s="20" t="s">
        <v>262</v>
      </c>
      <c r="E26" s="19" t="str">
        <f t="shared" si="0"/>
        <v>CORREO DEL CONTACTO OPERA</v>
      </c>
      <c r="F26" s="19" t="s">
        <v>295</v>
      </c>
      <c r="G26" s="17" t="s">
        <v>97</v>
      </c>
      <c r="H26" s="17" t="s">
        <v>100</v>
      </c>
      <c r="I26" s="22" t="s">
        <v>172</v>
      </c>
      <c r="J26" s="17" t="s">
        <v>56</v>
      </c>
      <c r="K26" s="17" t="s">
        <v>97</v>
      </c>
      <c r="L26" s="17" t="s">
        <v>56</v>
      </c>
      <c r="M26" s="17" t="s">
        <v>56</v>
      </c>
    </row>
    <row r="27" spans="1:13">
      <c r="A27" s="17" t="s">
        <v>49</v>
      </c>
      <c r="B27" s="17" t="s">
        <v>50</v>
      </c>
      <c r="C27" s="18" t="s">
        <v>62</v>
      </c>
      <c r="D27" s="19" t="s">
        <v>253</v>
      </c>
      <c r="E27" s="19" t="str">
        <f t="shared" si="0"/>
        <v>TIPO DE LINEA PARA LA ATENCIÓN. L1 ES LA DIVISIÓN DEL EQUIPO DE CONTRACARGOS QUE ATIENDE CASOS POR FRAUDE.</v>
      </c>
      <c r="F27" s="19" t="s">
        <v>296</v>
      </c>
      <c r="G27" s="17" t="s">
        <v>56</v>
      </c>
      <c r="H27" s="17" t="s">
        <v>100</v>
      </c>
      <c r="I27" s="22" t="s">
        <v>178</v>
      </c>
      <c r="J27" s="17" t="s">
        <v>56</v>
      </c>
      <c r="K27" s="17" t="s">
        <v>97</v>
      </c>
      <c r="L27" s="17" t="s">
        <v>56</v>
      </c>
      <c r="M27" s="17" t="s">
        <v>56</v>
      </c>
    </row>
    <row r="28" spans="1:13">
      <c r="A28" s="17" t="s">
        <v>49</v>
      </c>
      <c r="B28" s="17" t="s">
        <v>50</v>
      </c>
      <c r="C28" s="18" t="s">
        <v>62</v>
      </c>
      <c r="D28" s="19" t="s">
        <v>266</v>
      </c>
      <c r="E28" s="19" t="str">
        <f t="shared" si="0"/>
        <v>FLAG QUE INDICA SI EL CONTRACARGO TIENE UNA RETENCIÓN (CÓDIGO 34)</v>
      </c>
      <c r="F28" s="19" t="s">
        <v>267</v>
      </c>
      <c r="G28" s="17" t="s">
        <v>56</v>
      </c>
      <c r="H28" s="17" t="s">
        <v>264</v>
      </c>
      <c r="I28" s="22" t="s">
        <v>268</v>
      </c>
      <c r="J28" s="17" t="s">
        <v>56</v>
      </c>
      <c r="K28" s="17" t="s">
        <v>97</v>
      </c>
      <c r="L28" s="17" t="s">
        <v>56</v>
      </c>
      <c r="M28" s="17" t="s">
        <v>56</v>
      </c>
    </row>
    <row r="29" spans="1:13">
      <c r="A29" s="17" t="s">
        <v>49</v>
      </c>
      <c r="B29" s="17" t="s">
        <v>50</v>
      </c>
      <c r="C29" s="18" t="s">
        <v>62</v>
      </c>
      <c r="D29" s="19" t="s">
        <v>269</v>
      </c>
      <c r="E29" s="19" t="str">
        <f t="shared" si="0"/>
        <v>FLAG QUE INDICA SI EL CONTRACARGO TIENE UNA DEVOLUCIÓN (CÓDIGO 876)</v>
      </c>
      <c r="F29" s="19" t="s">
        <v>270</v>
      </c>
      <c r="G29" s="17" t="s">
        <v>56</v>
      </c>
      <c r="H29" s="17" t="s">
        <v>264</v>
      </c>
      <c r="I29" s="22" t="s">
        <v>268</v>
      </c>
      <c r="J29" s="17" t="s">
        <v>56</v>
      </c>
      <c r="K29" s="17" t="s">
        <v>97</v>
      </c>
      <c r="L29" s="17" t="s">
        <v>56</v>
      </c>
      <c r="M29" s="17" t="s">
        <v>56</v>
      </c>
    </row>
    <row r="30" spans="1:13">
      <c r="A30" s="17" t="s">
        <v>49</v>
      </c>
      <c r="B30" s="17" t="s">
        <v>50</v>
      </c>
      <c r="C30" s="18" t="s">
        <v>62</v>
      </c>
      <c r="D30" s="19" t="s">
        <v>281</v>
      </c>
      <c r="E30" s="19" t="str">
        <f t="shared" si="0"/>
        <v>DATO DE AUDITORÍA: DESCRIPCIÓN DEL APLICATIVO ORIGEN DE LOS DATOS.</v>
      </c>
      <c r="F30" s="19" t="s">
        <v>282</v>
      </c>
      <c r="G30" s="17" t="s">
        <v>56</v>
      </c>
      <c r="H30" s="17" t="s">
        <v>100</v>
      </c>
      <c r="I30" s="22" t="s">
        <v>283</v>
      </c>
      <c r="J30" s="17" t="s">
        <v>56</v>
      </c>
      <c r="K30" s="17" t="s">
        <v>56</v>
      </c>
      <c r="L30" s="17" t="s">
        <v>56</v>
      </c>
      <c r="M30" s="17" t="s">
        <v>56</v>
      </c>
    </row>
    <row r="31" spans="1:13">
      <c r="A31" s="17" t="s">
        <v>49</v>
      </c>
      <c r="B31" s="17" t="s">
        <v>50</v>
      </c>
      <c r="C31" s="18" t="s">
        <v>62</v>
      </c>
      <c r="D31" s="19" t="s">
        <v>284</v>
      </c>
      <c r="E31" s="19" t="str">
        <f t="shared" si="0"/>
        <v>FECHA Y HORA DE INSERCIÓN DEL REGISTRO EN EL MODELO</v>
      </c>
      <c r="F31" s="19" t="s">
        <v>285</v>
      </c>
      <c r="G31" s="17" t="s">
        <v>56</v>
      </c>
      <c r="H31" s="17" t="s">
        <v>286</v>
      </c>
      <c r="I31" s="22" t="s">
        <v>287</v>
      </c>
      <c r="J31" s="17" t="s">
        <v>56</v>
      </c>
      <c r="K31" s="17" t="s">
        <v>56</v>
      </c>
      <c r="L31" s="17" t="s">
        <v>56</v>
      </c>
      <c r="M31" s="17" t="s">
        <v>56</v>
      </c>
    </row>
    <row r="32" spans="1:13">
      <c r="A32" s="17" t="s">
        <v>49</v>
      </c>
      <c r="B32" s="17" t="s">
        <v>50</v>
      </c>
      <c r="C32" s="18" t="s">
        <v>62</v>
      </c>
      <c r="D32" s="19" t="s">
        <v>288</v>
      </c>
      <c r="E32" s="19" t="str">
        <f t="shared" si="0"/>
        <v>USUARIO QUE CREA EL REGISTRO EN LA BD</v>
      </c>
      <c r="F32" s="19" t="s">
        <v>289</v>
      </c>
      <c r="G32" s="17" t="s">
        <v>56</v>
      </c>
      <c r="H32" s="17" t="s">
        <v>100</v>
      </c>
      <c r="I32" s="22" t="s">
        <v>258</v>
      </c>
      <c r="J32" s="17" t="s">
        <v>56</v>
      </c>
      <c r="K32" s="17" t="s">
        <v>56</v>
      </c>
      <c r="L32" s="17" t="s">
        <v>56</v>
      </c>
      <c r="M32" s="17" t="s">
        <v>56</v>
      </c>
    </row>
  </sheetData>
  <autoFilter ref="A2:M32" xr:uid="{43B8BE03-B52F-4C6B-A89B-93AA5438230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ED22E-D62D-4FDC-9515-8B79A56AA3D8}">
  <sheetPr codeName="Hoja6"/>
  <dimension ref="A1:M52"/>
  <sheetViews>
    <sheetView showGridLines="0" topLeftCell="D1" zoomScaleNormal="100" workbookViewId="0">
      <pane ySplit="2" topLeftCell="A12" activePane="bottomLeft" state="frozen"/>
      <selection pane="bottomLeft" activeCell="D22" sqref="D22"/>
    </sheetView>
  </sheetViews>
  <sheetFormatPr baseColWidth="10" defaultColWidth="11.44140625" defaultRowHeight="14.4"/>
  <cols>
    <col min="1" max="2" width="29" customWidth="1"/>
    <col min="3" max="3" width="36.33203125" customWidth="1"/>
    <col min="4" max="4" width="29" customWidth="1"/>
    <col min="5" max="5" width="60.6640625" customWidth="1"/>
    <col min="6" max="6" width="64.33203125" customWidth="1"/>
    <col min="7" max="7" width="19.109375" customWidth="1"/>
    <col min="8" max="8" width="29" customWidth="1"/>
    <col min="9" max="9" width="40.5546875" customWidth="1"/>
    <col min="10" max="13" width="29" customWidth="1"/>
  </cols>
  <sheetData>
    <row r="1" spans="1:13" ht="31.2">
      <c r="A1" s="14" t="s">
        <v>14</v>
      </c>
      <c r="B1" s="15" t="s">
        <v>15</v>
      </c>
      <c r="C1" s="15" t="s">
        <v>6</v>
      </c>
      <c r="D1" s="15" t="s">
        <v>7</v>
      </c>
      <c r="E1" s="15" t="s">
        <v>75</v>
      </c>
      <c r="F1" s="15" t="s">
        <v>76</v>
      </c>
      <c r="G1" s="15" t="s">
        <v>77</v>
      </c>
      <c r="H1" s="15" t="s">
        <v>78</v>
      </c>
      <c r="I1" s="15" t="s">
        <v>79</v>
      </c>
      <c r="J1" s="15" t="s">
        <v>80</v>
      </c>
      <c r="K1" s="15" t="s">
        <v>81</v>
      </c>
      <c r="L1" s="15" t="s">
        <v>82</v>
      </c>
      <c r="M1" s="15" t="s">
        <v>83</v>
      </c>
    </row>
    <row r="2" spans="1:13" ht="46.8">
      <c r="A2" s="16" t="s">
        <v>32</v>
      </c>
      <c r="B2" s="16" t="s">
        <v>33</v>
      </c>
      <c r="C2" s="16" t="s">
        <v>84</v>
      </c>
      <c r="D2" s="16" t="s">
        <v>85</v>
      </c>
      <c r="E2" s="16" t="s">
        <v>86</v>
      </c>
      <c r="F2" s="16" t="s">
        <v>87</v>
      </c>
      <c r="G2" s="16" t="s">
        <v>88</v>
      </c>
      <c r="H2" s="16" t="s">
        <v>89</v>
      </c>
      <c r="I2" s="16" t="s">
        <v>90</v>
      </c>
      <c r="J2" s="16" t="s">
        <v>91</v>
      </c>
      <c r="K2" s="16" t="s">
        <v>92</v>
      </c>
      <c r="L2" s="16" t="s">
        <v>93</v>
      </c>
      <c r="M2" s="16" t="s">
        <v>92</v>
      </c>
    </row>
    <row r="3" spans="1:13">
      <c r="A3" s="17" t="s">
        <v>49</v>
      </c>
      <c r="B3" s="17" t="s">
        <v>50</v>
      </c>
      <c r="C3" s="18" t="s">
        <v>64</v>
      </c>
      <c r="D3" s="19" t="s">
        <v>94</v>
      </c>
      <c r="E3" s="19" t="str">
        <f>UPPER(F3)</f>
        <v>FECHA DE FOTO/DATOS CONFIGURADA EN EL ETL PARA LA EXTRACCIÓN DE DATOS, CORRESPONDE A APERTURAS DE COMERCIOS HASTA EL CIERRE DEL DÍA ANTERIOR</v>
      </c>
      <c r="F3" s="19" t="s">
        <v>95</v>
      </c>
      <c r="G3" s="17" t="s">
        <v>56</v>
      </c>
      <c r="H3" s="17" t="s">
        <v>96</v>
      </c>
      <c r="I3" s="23">
        <v>45841</v>
      </c>
      <c r="J3" s="17" t="s">
        <v>56</v>
      </c>
      <c r="K3" s="17" t="s">
        <v>56</v>
      </c>
      <c r="L3" s="17" t="s">
        <v>97</v>
      </c>
      <c r="M3" s="17" t="s">
        <v>56</v>
      </c>
    </row>
    <row r="4" spans="1:13">
      <c r="A4" s="17" t="s">
        <v>49</v>
      </c>
      <c r="B4" s="17" t="s">
        <v>50</v>
      </c>
      <c r="C4" s="18" t="s">
        <v>64</v>
      </c>
      <c r="D4" s="19" t="s">
        <v>297</v>
      </c>
      <c r="E4" s="19" t="str">
        <f t="shared" ref="E4:E52" si="0">UPPER(F4)</f>
        <v>CODIGO DE COMERCIO</v>
      </c>
      <c r="F4" s="19" t="s">
        <v>142</v>
      </c>
      <c r="G4" s="17" t="s">
        <v>56</v>
      </c>
      <c r="H4" s="17" t="s">
        <v>100</v>
      </c>
      <c r="I4" s="22"/>
      <c r="J4" s="17" t="s">
        <v>56</v>
      </c>
      <c r="K4" s="17" t="s">
        <v>97</v>
      </c>
      <c r="L4" s="17" t="s">
        <v>56</v>
      </c>
      <c r="M4" s="17" t="s">
        <v>56</v>
      </c>
    </row>
    <row r="5" spans="1:13">
      <c r="A5" s="17" t="s">
        <v>49</v>
      </c>
      <c r="B5" s="17" t="s">
        <v>50</v>
      </c>
      <c r="C5" s="18" t="s">
        <v>64</v>
      </c>
      <c r="D5" s="19" t="s">
        <v>298</v>
      </c>
      <c r="E5" s="19" t="str">
        <f t="shared" si="0"/>
        <v>NOMBRE DEL PROCESO EN SALESFORCE</v>
      </c>
      <c r="F5" s="19" t="s">
        <v>299</v>
      </c>
      <c r="G5" s="17" t="s">
        <v>56</v>
      </c>
      <c r="H5" s="17" t="s">
        <v>100</v>
      </c>
      <c r="I5" s="22"/>
      <c r="J5" s="17" t="s">
        <v>56</v>
      </c>
      <c r="K5" s="17" t="s">
        <v>97</v>
      </c>
      <c r="L5" s="17" t="s">
        <v>56</v>
      </c>
      <c r="M5" s="17" t="s">
        <v>56</v>
      </c>
    </row>
    <row r="6" spans="1:13">
      <c r="A6" s="17" t="s">
        <v>49</v>
      </c>
      <c r="B6" s="17" t="s">
        <v>50</v>
      </c>
      <c r="C6" s="18" t="s">
        <v>64</v>
      </c>
      <c r="D6" s="19" t="s">
        <v>300</v>
      </c>
      <c r="E6" s="19" t="str">
        <f t="shared" si="0"/>
        <v>ASUNTO DEL CASO</v>
      </c>
      <c r="F6" s="19" t="s">
        <v>301</v>
      </c>
      <c r="G6" s="17" t="s">
        <v>56</v>
      </c>
      <c r="H6" s="17" t="s">
        <v>100</v>
      </c>
      <c r="I6" s="22"/>
      <c r="J6" s="17" t="s">
        <v>56</v>
      </c>
      <c r="K6" s="17" t="s">
        <v>97</v>
      </c>
      <c r="L6" s="17" t="s">
        <v>56</v>
      </c>
      <c r="M6" s="17" t="s">
        <v>56</v>
      </c>
    </row>
    <row r="7" spans="1:13">
      <c r="A7" s="17" t="s">
        <v>49</v>
      </c>
      <c r="B7" s="17" t="s">
        <v>50</v>
      </c>
      <c r="C7" s="18" t="s">
        <v>64</v>
      </c>
      <c r="D7" s="19" t="s">
        <v>302</v>
      </c>
      <c r="E7" s="19" t="str">
        <f t="shared" si="0"/>
        <v>TITULO DEL CASO</v>
      </c>
      <c r="F7" s="19" t="s">
        <v>303</v>
      </c>
      <c r="G7" s="17" t="s">
        <v>56</v>
      </c>
      <c r="H7" s="17" t="s">
        <v>100</v>
      </c>
      <c r="I7" s="22"/>
      <c r="J7" s="17" t="s">
        <v>56</v>
      </c>
      <c r="K7" s="17" t="s">
        <v>97</v>
      </c>
      <c r="L7" s="17" t="s">
        <v>56</v>
      </c>
      <c r="M7" s="17" t="s">
        <v>56</v>
      </c>
    </row>
    <row r="8" spans="1:13">
      <c r="A8" s="17" t="s">
        <v>49</v>
      </c>
      <c r="B8" s="17" t="s">
        <v>50</v>
      </c>
      <c r="C8" s="18" t="s">
        <v>64</v>
      </c>
      <c r="D8" s="19" t="s">
        <v>304</v>
      </c>
      <c r="E8" s="19" t="str">
        <f t="shared" si="0"/>
        <v>NIVEL DE ATENCIÓN</v>
      </c>
      <c r="F8" s="19" t="s">
        <v>304</v>
      </c>
      <c r="G8" s="17" t="s">
        <v>56</v>
      </c>
      <c r="H8" s="17" t="s">
        <v>100</v>
      </c>
      <c r="I8" s="22"/>
      <c r="J8" s="17" t="s">
        <v>56</v>
      </c>
      <c r="K8" s="17" t="s">
        <v>97</v>
      </c>
      <c r="L8" s="17" t="s">
        <v>56</v>
      </c>
      <c r="M8" s="17" t="s">
        <v>56</v>
      </c>
    </row>
    <row r="9" spans="1:13">
      <c r="A9" s="17" t="s">
        <v>49</v>
      </c>
      <c r="B9" s="17" t="s">
        <v>50</v>
      </c>
      <c r="C9" s="18" t="s">
        <v>64</v>
      </c>
      <c r="D9" s="19" t="s">
        <v>305</v>
      </c>
      <c r="E9" s="19" t="str">
        <f t="shared" si="0"/>
        <v>ORIGEN DEL CASO</v>
      </c>
      <c r="F9" s="19" t="s">
        <v>306</v>
      </c>
      <c r="G9" s="17" t="s">
        <v>56</v>
      </c>
      <c r="H9" s="17" t="s">
        <v>100</v>
      </c>
      <c r="I9" s="22"/>
      <c r="J9" s="17" t="s">
        <v>56</v>
      </c>
      <c r="K9" s="17" t="s">
        <v>97</v>
      </c>
      <c r="L9" s="17" t="s">
        <v>56</v>
      </c>
      <c r="M9" s="17" t="s">
        <v>56</v>
      </c>
    </row>
    <row r="10" spans="1:13">
      <c r="A10" s="17" t="s">
        <v>49</v>
      </c>
      <c r="B10" s="17" t="s">
        <v>50</v>
      </c>
      <c r="C10" s="18" t="s">
        <v>64</v>
      </c>
      <c r="D10" s="19" t="s">
        <v>307</v>
      </c>
      <c r="E10" s="19" t="str">
        <f t="shared" si="0"/>
        <v>TIPO DE CASO</v>
      </c>
      <c r="F10" s="19" t="s">
        <v>307</v>
      </c>
      <c r="G10" s="17" t="s">
        <v>56</v>
      </c>
      <c r="H10" s="17" t="s">
        <v>100</v>
      </c>
      <c r="I10" s="22"/>
      <c r="J10" s="17" t="s">
        <v>56</v>
      </c>
      <c r="K10" s="17" t="s">
        <v>97</v>
      </c>
      <c r="L10" s="17" t="s">
        <v>56</v>
      </c>
      <c r="M10" s="17" t="s">
        <v>56</v>
      </c>
    </row>
    <row r="11" spans="1:13">
      <c r="A11" s="17" t="s">
        <v>49</v>
      </c>
      <c r="B11" s="17" t="s">
        <v>50</v>
      </c>
      <c r="C11" s="18" t="s">
        <v>64</v>
      </c>
      <c r="D11" s="19" t="s">
        <v>308</v>
      </c>
      <c r="E11" s="19" t="str">
        <f t="shared" si="0"/>
        <v>PRIORIDAD DEL CASO</v>
      </c>
      <c r="F11" s="19" t="s">
        <v>309</v>
      </c>
      <c r="G11" s="17" t="s">
        <v>56</v>
      </c>
      <c r="H11" s="17" t="s">
        <v>100</v>
      </c>
      <c r="I11" s="22"/>
      <c r="J11" s="17" t="s">
        <v>56</v>
      </c>
      <c r="K11" s="17" t="s">
        <v>97</v>
      </c>
      <c r="L11" s="17" t="s">
        <v>56</v>
      </c>
      <c r="M11" s="17" t="s">
        <v>56</v>
      </c>
    </row>
    <row r="12" spans="1:13">
      <c r="A12" s="17" t="s">
        <v>49</v>
      </c>
      <c r="B12" s="17" t="s">
        <v>50</v>
      </c>
      <c r="C12" s="18" t="s">
        <v>64</v>
      </c>
      <c r="D12" s="19" t="s">
        <v>310</v>
      </c>
      <c r="E12" s="19" t="str">
        <f t="shared" si="0"/>
        <v>DESCRIPCION DEL CASO</v>
      </c>
      <c r="F12" s="19" t="s">
        <v>311</v>
      </c>
      <c r="G12" s="17" t="s">
        <v>56</v>
      </c>
      <c r="H12" s="17" t="s">
        <v>100</v>
      </c>
      <c r="I12" s="22"/>
      <c r="J12" s="17" t="s">
        <v>56</v>
      </c>
      <c r="K12" s="17" t="s">
        <v>97</v>
      </c>
      <c r="L12" s="17" t="s">
        <v>56</v>
      </c>
      <c r="M12" s="17" t="s">
        <v>56</v>
      </c>
    </row>
    <row r="13" spans="1:13">
      <c r="A13" s="17" t="s">
        <v>49</v>
      </c>
      <c r="B13" s="17" t="s">
        <v>50</v>
      </c>
      <c r="C13" s="18" t="s">
        <v>64</v>
      </c>
      <c r="D13" s="19" t="s">
        <v>312</v>
      </c>
      <c r="E13" s="19" t="str">
        <f t="shared" si="0"/>
        <v>MARCA DE TARJETA</v>
      </c>
      <c r="F13" s="19" t="s">
        <v>312</v>
      </c>
      <c r="G13" s="17" t="s">
        <v>56</v>
      </c>
      <c r="H13" s="17" t="s">
        <v>100</v>
      </c>
      <c r="I13" s="22"/>
      <c r="J13" s="17" t="s">
        <v>56</v>
      </c>
      <c r="K13" s="17" t="s">
        <v>97</v>
      </c>
      <c r="L13" s="17" t="s">
        <v>56</v>
      </c>
      <c r="M13" s="17" t="s">
        <v>56</v>
      </c>
    </row>
    <row r="14" spans="1:13">
      <c r="A14" s="17" t="s">
        <v>49</v>
      </c>
      <c r="B14" s="17" t="s">
        <v>50</v>
      </c>
      <c r="C14" s="18" t="s">
        <v>64</v>
      </c>
      <c r="D14" s="19" t="s">
        <v>313</v>
      </c>
      <c r="E14" s="19" t="str">
        <f t="shared" si="0"/>
        <v>CATEGORIA DE CONTROVERSIA</v>
      </c>
      <c r="F14" s="19" t="s">
        <v>313</v>
      </c>
      <c r="G14" s="17" t="s">
        <v>56</v>
      </c>
      <c r="H14" s="17" t="s">
        <v>100</v>
      </c>
      <c r="I14" s="22"/>
      <c r="J14" s="17" t="s">
        <v>56</v>
      </c>
      <c r="K14" s="17" t="s">
        <v>97</v>
      </c>
      <c r="L14" s="17" t="s">
        <v>56</v>
      </c>
      <c r="M14" s="17" t="s">
        <v>56</v>
      </c>
    </row>
    <row r="15" spans="1:13">
      <c r="A15" s="17" t="s">
        <v>49</v>
      </c>
      <c r="B15" s="17" t="s">
        <v>50</v>
      </c>
      <c r="C15" s="18" t="s">
        <v>64</v>
      </c>
      <c r="D15" s="19" t="s">
        <v>314</v>
      </c>
      <c r="E15" s="19" t="str">
        <f t="shared" si="0"/>
        <v>NUMERO DE CONTROL, ROL CASE</v>
      </c>
      <c r="F15" s="19" t="s">
        <v>293</v>
      </c>
      <c r="G15" s="17" t="s">
        <v>56</v>
      </c>
      <c r="H15" s="17" t="s">
        <v>100</v>
      </c>
      <c r="I15" s="22"/>
      <c r="J15" s="17" t="s">
        <v>56</v>
      </c>
      <c r="K15" s="17" t="s">
        <v>97</v>
      </c>
      <c r="L15" s="17" t="s">
        <v>56</v>
      </c>
      <c r="M15" s="17" t="s">
        <v>56</v>
      </c>
    </row>
    <row r="16" spans="1:13">
      <c r="A16" s="17" t="s">
        <v>49</v>
      </c>
      <c r="B16" s="17" t="s">
        <v>50</v>
      </c>
      <c r="C16" s="18" t="s">
        <v>64</v>
      </c>
      <c r="D16" s="19" t="s">
        <v>315</v>
      </c>
      <c r="E16" s="19" t="str">
        <f t="shared" si="0"/>
        <v>INDICA SI EL CASO SE DEBE COMPLETAR EN AUTOMATICO AL CARGARLO A LA PLATAFORMA, ES DECIR QUE SE CERRARÁ AUTOMATICAMENTE</v>
      </c>
      <c r="F16" s="19" t="s">
        <v>316</v>
      </c>
      <c r="G16" s="17" t="s">
        <v>56</v>
      </c>
      <c r="H16" s="17" t="s">
        <v>100</v>
      </c>
      <c r="I16" s="22"/>
      <c r="J16" s="17" t="s">
        <v>56</v>
      </c>
      <c r="K16" s="17" t="s">
        <v>97</v>
      </c>
      <c r="L16" s="17" t="s">
        <v>56</v>
      </c>
      <c r="M16" s="17" t="s">
        <v>56</v>
      </c>
    </row>
    <row r="17" spans="1:13">
      <c r="A17" s="17" t="s">
        <v>49</v>
      </c>
      <c r="B17" s="17" t="s">
        <v>50</v>
      </c>
      <c r="C17" s="18" t="s">
        <v>64</v>
      </c>
      <c r="D17" s="19" t="s">
        <v>317</v>
      </c>
      <c r="E17" s="19" t="str">
        <f t="shared" si="0"/>
        <v>FECHA DE INGRESO DEL CONTRACARGO</v>
      </c>
      <c r="F17" s="19" t="s">
        <v>111</v>
      </c>
      <c r="G17" s="17" t="s">
        <v>56</v>
      </c>
      <c r="H17" s="17" t="s">
        <v>96</v>
      </c>
      <c r="I17" s="22"/>
      <c r="J17" s="17" t="s">
        <v>56</v>
      </c>
      <c r="K17" s="17" t="s">
        <v>97</v>
      </c>
      <c r="L17" s="17" t="s">
        <v>56</v>
      </c>
      <c r="M17" s="17" t="s">
        <v>56</v>
      </c>
    </row>
    <row r="18" spans="1:13">
      <c r="A18" s="17" t="s">
        <v>49</v>
      </c>
      <c r="B18" s="17" t="s">
        <v>50</v>
      </c>
      <c r="C18" s="18" t="s">
        <v>64</v>
      </c>
      <c r="D18" s="19" t="s">
        <v>318</v>
      </c>
      <c r="E18" s="19" t="str">
        <f t="shared" si="0"/>
        <v>IMPORTE DEL CONTRACARGO</v>
      </c>
      <c r="F18" s="19" t="s">
        <v>132</v>
      </c>
      <c r="G18" s="17" t="s">
        <v>56</v>
      </c>
      <c r="H18" s="17" t="s">
        <v>133</v>
      </c>
      <c r="I18" s="22"/>
      <c r="J18" s="17" t="s">
        <v>56</v>
      </c>
      <c r="K18" s="17" t="s">
        <v>97</v>
      </c>
      <c r="L18" s="17" t="s">
        <v>56</v>
      </c>
      <c r="M18" s="17" t="s">
        <v>56</v>
      </c>
    </row>
    <row r="19" spans="1:13">
      <c r="A19" s="17" t="s">
        <v>49</v>
      </c>
      <c r="B19" s="17" t="s">
        <v>50</v>
      </c>
      <c r="C19" s="18" t="s">
        <v>64</v>
      </c>
      <c r="D19" s="19" t="s">
        <v>319</v>
      </c>
      <c r="E19" s="19" t="str">
        <f t="shared" si="0"/>
        <v>MONEDA DEL CONTRACARGO</v>
      </c>
      <c r="F19" s="19" t="s">
        <v>294</v>
      </c>
      <c r="G19" s="17" t="s">
        <v>56</v>
      </c>
      <c r="H19" s="17" t="s">
        <v>100</v>
      </c>
      <c r="I19" s="22"/>
      <c r="J19" s="17" t="s">
        <v>56</v>
      </c>
      <c r="K19" s="17" t="s">
        <v>97</v>
      </c>
      <c r="L19" s="17" t="s">
        <v>56</v>
      </c>
      <c r="M19" s="17" t="s">
        <v>56</v>
      </c>
    </row>
    <row r="20" spans="1:13">
      <c r="A20" s="17" t="s">
        <v>49</v>
      </c>
      <c r="B20" s="17" t="s">
        <v>50</v>
      </c>
      <c r="C20" s="18" t="s">
        <v>64</v>
      </c>
      <c r="D20" s="19" t="s">
        <v>320</v>
      </c>
      <c r="E20" s="19" t="str">
        <f t="shared" si="0"/>
        <v>IMPORTE DE LA TRANSACCION</v>
      </c>
      <c r="F20" s="19" t="s">
        <v>184</v>
      </c>
      <c r="G20" s="17" t="s">
        <v>56</v>
      </c>
      <c r="H20" s="17" t="s">
        <v>133</v>
      </c>
      <c r="I20" s="22"/>
      <c r="J20" s="17" t="s">
        <v>56</v>
      </c>
      <c r="K20" s="17" t="s">
        <v>97</v>
      </c>
      <c r="L20" s="17" t="s">
        <v>56</v>
      </c>
      <c r="M20" s="17" t="s">
        <v>56</v>
      </c>
    </row>
    <row r="21" spans="1:13">
      <c r="A21" s="17" t="s">
        <v>49</v>
      </c>
      <c r="B21" s="17" t="s">
        <v>50</v>
      </c>
      <c r="C21" s="18" t="s">
        <v>64</v>
      </c>
      <c r="D21" s="19" t="s">
        <v>321</v>
      </c>
      <c r="E21" s="19" t="str">
        <f t="shared" si="0"/>
        <v>MONEDA DE LA TRANSACCION</v>
      </c>
      <c r="F21" s="19" t="s">
        <v>292</v>
      </c>
      <c r="G21" s="17" t="s">
        <v>56</v>
      </c>
      <c r="H21" s="17" t="s">
        <v>100</v>
      </c>
      <c r="I21" s="22"/>
      <c r="J21" s="17" t="s">
        <v>56</v>
      </c>
      <c r="K21" s="17" t="s">
        <v>97</v>
      </c>
      <c r="L21" s="17" t="s">
        <v>56</v>
      </c>
      <c r="M21" s="17" t="s">
        <v>56</v>
      </c>
    </row>
    <row r="22" spans="1:13">
      <c r="A22" s="17" t="s">
        <v>49</v>
      </c>
      <c r="B22" s="17" t="s">
        <v>50</v>
      </c>
      <c r="C22" s="18" t="s">
        <v>64</v>
      </c>
      <c r="D22" s="19" t="s">
        <v>409</v>
      </c>
      <c r="E22" s="19" t="str">
        <f t="shared" si="0"/>
        <v>TARJETA ENMASCARADA DE LA TRANSACCION</v>
      </c>
      <c r="F22" s="19" t="s">
        <v>410</v>
      </c>
      <c r="G22" s="17" t="s">
        <v>56</v>
      </c>
      <c r="H22" s="17" t="s">
        <v>100</v>
      </c>
      <c r="I22" s="22" t="s">
        <v>407</v>
      </c>
      <c r="J22" s="17" t="s">
        <v>56</v>
      </c>
      <c r="K22" s="17" t="s">
        <v>97</v>
      </c>
      <c r="L22" s="17" t="s">
        <v>56</v>
      </c>
      <c r="M22" s="17" t="s">
        <v>56</v>
      </c>
    </row>
    <row r="23" spans="1:13">
      <c r="A23" s="17" t="s">
        <v>49</v>
      </c>
      <c r="B23" s="17" t="s">
        <v>50</v>
      </c>
      <c r="C23" s="18" t="s">
        <v>64</v>
      </c>
      <c r="D23" s="19" t="s">
        <v>323</v>
      </c>
      <c r="E23" s="19" t="str">
        <f t="shared" si="0"/>
        <v>FECHA DE LA TRANSACCION</v>
      </c>
      <c r="F23" s="19" t="s">
        <v>177</v>
      </c>
      <c r="G23" s="17" t="s">
        <v>56</v>
      </c>
      <c r="H23" s="17" t="s">
        <v>96</v>
      </c>
      <c r="I23" s="22"/>
      <c r="J23" s="17" t="s">
        <v>56</v>
      </c>
      <c r="K23" s="17" t="s">
        <v>97</v>
      </c>
      <c r="L23" s="17" t="s">
        <v>56</v>
      </c>
      <c r="M23" s="17" t="s">
        <v>56</v>
      </c>
    </row>
    <row r="24" spans="1:13">
      <c r="A24" s="17" t="s">
        <v>49</v>
      </c>
      <c r="B24" s="17" t="s">
        <v>50</v>
      </c>
      <c r="C24" s="18" t="s">
        <v>64</v>
      </c>
      <c r="D24" s="19" t="s">
        <v>324</v>
      </c>
      <c r="E24" s="19" t="str">
        <f t="shared" si="0"/>
        <v>FECHA DE PROCESO DE LA TRANSACCION</v>
      </c>
      <c r="F24" s="19" t="s">
        <v>180</v>
      </c>
      <c r="G24" s="17" t="s">
        <v>56</v>
      </c>
      <c r="H24" s="17" t="s">
        <v>96</v>
      </c>
      <c r="I24" s="22"/>
      <c r="J24" s="17" t="s">
        <v>56</v>
      </c>
      <c r="K24" s="17" t="s">
        <v>97</v>
      </c>
      <c r="L24" s="17" t="s">
        <v>56</v>
      </c>
      <c r="M24" s="17" t="s">
        <v>56</v>
      </c>
    </row>
    <row r="25" spans="1:13">
      <c r="A25" s="17" t="s">
        <v>49</v>
      </c>
      <c r="B25" s="17" t="s">
        <v>50</v>
      </c>
      <c r="C25" s="18" t="s">
        <v>64</v>
      </c>
      <c r="D25" s="19" t="s">
        <v>325</v>
      </c>
      <c r="E25" s="19" t="str">
        <f t="shared" si="0"/>
        <v>FECHA DE LA RETENCION 34</v>
      </c>
      <c r="F25" s="19" t="s">
        <v>326</v>
      </c>
      <c r="G25" s="17" t="s">
        <v>56</v>
      </c>
      <c r="H25" s="17" t="s">
        <v>96</v>
      </c>
      <c r="I25" s="22"/>
      <c r="J25" s="17" t="s">
        <v>56</v>
      </c>
      <c r="K25" s="17" t="s">
        <v>97</v>
      </c>
      <c r="L25" s="17" t="s">
        <v>56</v>
      </c>
      <c r="M25" s="17" t="s">
        <v>56</v>
      </c>
    </row>
    <row r="26" spans="1:13">
      <c r="A26" s="17" t="s">
        <v>49</v>
      </c>
      <c r="B26" s="17" t="s">
        <v>50</v>
      </c>
      <c r="C26" s="18" t="s">
        <v>64</v>
      </c>
      <c r="D26" s="19" t="s">
        <v>327</v>
      </c>
      <c r="E26" s="19" t="str">
        <f t="shared" si="0"/>
        <v>FECHA DE LA DEVOLUCION 876</v>
      </c>
      <c r="F26" s="19" t="s">
        <v>328</v>
      </c>
      <c r="G26" s="17" t="s">
        <v>56</v>
      </c>
      <c r="H26" s="17" t="s">
        <v>96</v>
      </c>
      <c r="I26" s="22"/>
      <c r="J26" s="17" t="s">
        <v>56</v>
      </c>
      <c r="K26" s="17" t="s">
        <v>97</v>
      </c>
      <c r="L26" s="17" t="s">
        <v>56</v>
      </c>
      <c r="M26" s="17" t="s">
        <v>56</v>
      </c>
    </row>
    <row r="27" spans="1:13">
      <c r="A27" s="17" t="s">
        <v>49</v>
      </c>
      <c r="B27" s="17" t="s">
        <v>50</v>
      </c>
      <c r="C27" s="18" t="s">
        <v>64</v>
      </c>
      <c r="D27" s="19" t="s">
        <v>329</v>
      </c>
      <c r="E27" s="19" t="str">
        <f t="shared" si="0"/>
        <v>CODIGO ICA DEL BANCO EMISOR</v>
      </c>
      <c r="F27" s="19" t="s">
        <v>330</v>
      </c>
      <c r="G27" s="17" t="s">
        <v>56</v>
      </c>
      <c r="H27" s="17" t="s">
        <v>100</v>
      </c>
      <c r="I27" s="22"/>
      <c r="J27" s="17" t="s">
        <v>56</v>
      </c>
      <c r="K27" s="17" t="s">
        <v>97</v>
      </c>
      <c r="L27" s="17" t="s">
        <v>56</v>
      </c>
      <c r="M27" s="17" t="s">
        <v>56</v>
      </c>
    </row>
    <row r="28" spans="1:13">
      <c r="A28" s="17" t="s">
        <v>49</v>
      </c>
      <c r="B28" s="17" t="s">
        <v>50</v>
      </c>
      <c r="C28" s="18" t="s">
        <v>64</v>
      </c>
      <c r="D28" s="19" t="s">
        <v>331</v>
      </c>
      <c r="E28" s="19" t="str">
        <f t="shared" si="0"/>
        <v>MODO DE ENTRADA</v>
      </c>
      <c r="F28" s="19" t="s">
        <v>187</v>
      </c>
      <c r="G28" s="17" t="s">
        <v>56</v>
      </c>
      <c r="H28" s="17" t="s">
        <v>100</v>
      </c>
      <c r="I28" s="22"/>
      <c r="J28" s="17" t="s">
        <v>56</v>
      </c>
      <c r="K28" s="17" t="s">
        <v>97</v>
      </c>
      <c r="L28" s="17" t="s">
        <v>56</v>
      </c>
      <c r="M28" s="17" t="s">
        <v>56</v>
      </c>
    </row>
    <row r="29" spans="1:13">
      <c r="A29" s="17" t="s">
        <v>49</v>
      </c>
      <c r="B29" s="17" t="s">
        <v>50</v>
      </c>
      <c r="C29" s="18" t="s">
        <v>64</v>
      </c>
      <c r="D29" s="19" t="s">
        <v>332</v>
      </c>
      <c r="E29" s="19" t="str">
        <f t="shared" si="0"/>
        <v>CODIGO DE AUTORIZACION DE LA TRANSACCION</v>
      </c>
      <c r="F29" s="19" t="s">
        <v>136</v>
      </c>
      <c r="G29" s="17" t="s">
        <v>56</v>
      </c>
      <c r="H29" s="17" t="s">
        <v>100</v>
      </c>
      <c r="I29" s="22"/>
      <c r="J29" s="17" t="s">
        <v>56</v>
      </c>
      <c r="K29" s="17" t="s">
        <v>97</v>
      </c>
      <c r="L29" s="17" t="s">
        <v>56</v>
      </c>
      <c r="M29" s="17" t="s">
        <v>56</v>
      </c>
    </row>
    <row r="30" spans="1:13">
      <c r="A30" s="17" t="s">
        <v>49</v>
      </c>
      <c r="B30" s="17" t="s">
        <v>50</v>
      </c>
      <c r="C30" s="18" t="s">
        <v>64</v>
      </c>
      <c r="D30" s="19" t="s">
        <v>333</v>
      </c>
      <c r="E30" s="19" t="str">
        <f t="shared" si="0"/>
        <v>NOMBRE DEL BANCO EMISOR DE LA TARJETA HABIENTE</v>
      </c>
      <c r="F30" s="19" t="s">
        <v>334</v>
      </c>
      <c r="G30" s="17" t="s">
        <v>56</v>
      </c>
      <c r="H30" s="17" t="s">
        <v>100</v>
      </c>
      <c r="I30" s="22"/>
      <c r="J30" s="17" t="s">
        <v>56</v>
      </c>
      <c r="K30" s="17" t="s">
        <v>97</v>
      </c>
      <c r="L30" s="17" t="s">
        <v>56</v>
      </c>
      <c r="M30" s="17" t="s">
        <v>56</v>
      </c>
    </row>
    <row r="31" spans="1:13">
      <c r="A31" s="17" t="s">
        <v>49</v>
      </c>
      <c r="B31" s="17" t="s">
        <v>50</v>
      </c>
      <c r="C31" s="18" t="s">
        <v>64</v>
      </c>
      <c r="D31" s="19" t="s">
        <v>335</v>
      </c>
      <c r="E31" s="19" t="str">
        <f t="shared" si="0"/>
        <v>CÓDIGO O DESCRIPCIÓN DEL MOTIVO DEL CONTRACARGO</v>
      </c>
      <c r="F31" s="19" t="s">
        <v>336</v>
      </c>
      <c r="G31" s="17" t="s">
        <v>56</v>
      </c>
      <c r="H31" s="17" t="s">
        <v>100</v>
      </c>
      <c r="I31" s="22"/>
      <c r="J31" s="17" t="s">
        <v>56</v>
      </c>
      <c r="K31" s="17" t="s">
        <v>97</v>
      </c>
      <c r="L31" s="17" t="s">
        <v>56</v>
      </c>
      <c r="M31" s="17" t="s">
        <v>56</v>
      </c>
    </row>
    <row r="32" spans="1:13">
      <c r="A32" s="17" t="s">
        <v>49</v>
      </c>
      <c r="B32" s="17" t="s">
        <v>50</v>
      </c>
      <c r="C32" s="18" t="s">
        <v>64</v>
      </c>
      <c r="D32" s="19" t="s">
        <v>337</v>
      </c>
      <c r="E32" s="19" t="str">
        <f t="shared" si="0"/>
        <v>CATEGORÍA DEL MOTIVO DEL CONTRACARGO</v>
      </c>
      <c r="F32" s="19" t="s">
        <v>338</v>
      </c>
      <c r="G32" s="17" t="s">
        <v>56</v>
      </c>
      <c r="H32" s="17" t="s">
        <v>100</v>
      </c>
      <c r="I32" s="22"/>
      <c r="J32" s="17" t="s">
        <v>56</v>
      </c>
      <c r="K32" s="17" t="s">
        <v>97</v>
      </c>
      <c r="L32" s="17" t="s">
        <v>56</v>
      </c>
      <c r="M32" s="17" t="s">
        <v>56</v>
      </c>
    </row>
    <row r="33" spans="1:13">
      <c r="A33" s="17" t="s">
        <v>49</v>
      </c>
      <c r="B33" s="17" t="s">
        <v>50</v>
      </c>
      <c r="C33" s="18" t="s">
        <v>64</v>
      </c>
      <c r="D33" s="19" t="s">
        <v>339</v>
      </c>
      <c r="E33" s="19" t="str">
        <f t="shared" si="0"/>
        <v>NÚMERO DE VOUCHER DE LA TRANSACCIÓN</v>
      </c>
      <c r="F33" s="19" t="s">
        <v>340</v>
      </c>
      <c r="G33" s="17" t="s">
        <v>56</v>
      </c>
      <c r="H33" s="17" t="s">
        <v>100</v>
      </c>
      <c r="I33" s="22"/>
      <c r="J33" s="17" t="s">
        <v>56</v>
      </c>
      <c r="K33" s="17" t="s">
        <v>97</v>
      </c>
      <c r="L33" s="17" t="s">
        <v>56</v>
      </c>
      <c r="M33" s="17" t="s">
        <v>56</v>
      </c>
    </row>
    <row r="34" spans="1:13">
      <c r="A34" s="17" t="s">
        <v>49</v>
      </c>
      <c r="B34" s="17" t="s">
        <v>50</v>
      </c>
      <c r="C34" s="18" t="s">
        <v>64</v>
      </c>
      <c r="D34" s="19" t="s">
        <v>341</v>
      </c>
      <c r="E34" s="19" t="str">
        <f t="shared" si="0"/>
        <v>CÓDIGO DE RESPUESTA ECOMMERCE DE LA TRANSACCIÓN</v>
      </c>
      <c r="F34" s="19" t="s">
        <v>342</v>
      </c>
      <c r="G34" s="17" t="s">
        <v>56</v>
      </c>
      <c r="H34" s="17" t="s">
        <v>100</v>
      </c>
      <c r="I34" s="22"/>
      <c r="J34" s="17" t="s">
        <v>56</v>
      </c>
      <c r="K34" s="17" t="s">
        <v>97</v>
      </c>
      <c r="L34" s="17" t="s">
        <v>56</v>
      </c>
      <c r="M34" s="17" t="s">
        <v>56</v>
      </c>
    </row>
    <row r="35" spans="1:13">
      <c r="A35" s="17" t="s">
        <v>49</v>
      </c>
      <c r="B35" s="17" t="s">
        <v>50</v>
      </c>
      <c r="C35" s="18" t="s">
        <v>64</v>
      </c>
      <c r="D35" s="19" t="s">
        <v>343</v>
      </c>
      <c r="E35" s="19" t="str">
        <f t="shared" si="0"/>
        <v>ESTADO DEL CONTRACARGO EN EL SISTEMA AS400</v>
      </c>
      <c r="F35" s="19" t="s">
        <v>344</v>
      </c>
      <c r="G35" s="17" t="s">
        <v>56</v>
      </c>
      <c r="H35" s="17" t="s">
        <v>100</v>
      </c>
      <c r="I35" s="22"/>
      <c r="J35" s="17" t="s">
        <v>56</v>
      </c>
      <c r="K35" s="17" t="s">
        <v>97</v>
      </c>
      <c r="L35" s="17" t="s">
        <v>56</v>
      </c>
      <c r="M35" s="17" t="s">
        <v>56</v>
      </c>
    </row>
    <row r="36" spans="1:13">
      <c r="A36" s="17" t="s">
        <v>49</v>
      </c>
      <c r="B36" s="17" t="s">
        <v>50</v>
      </c>
      <c r="C36" s="18" t="s">
        <v>64</v>
      </c>
      <c r="D36" s="19" t="s">
        <v>345</v>
      </c>
      <c r="E36" s="19" t="str">
        <f t="shared" si="0"/>
        <v>DESCRIPCIÓN FINAL DEL RESULTADO O MOTIVO DE RESOLUCIÓN DEL CONTRACARGO</v>
      </c>
      <c r="F36" s="19" t="s">
        <v>346</v>
      </c>
      <c r="G36" s="17" t="s">
        <v>56</v>
      </c>
      <c r="H36" s="17" t="s">
        <v>100</v>
      </c>
      <c r="I36" s="22"/>
      <c r="J36" s="17" t="s">
        <v>56</v>
      </c>
      <c r="K36" s="17" t="s">
        <v>97</v>
      </c>
      <c r="L36" s="17" t="s">
        <v>56</v>
      </c>
      <c r="M36" s="17" t="s">
        <v>56</v>
      </c>
    </row>
    <row r="37" spans="1:13">
      <c r="A37" s="17" t="s">
        <v>49</v>
      </c>
      <c r="B37" s="17" t="s">
        <v>50</v>
      </c>
      <c r="C37" s="18" t="s">
        <v>64</v>
      </c>
      <c r="D37" s="19" t="s">
        <v>347</v>
      </c>
      <c r="E37" s="19" t="str">
        <f t="shared" si="0"/>
        <v>JURISDICCIÓN DEL PAÍS DONDE OCURRE LA TRANSACCIÓN SEGÚN CLASIFICACIÓN VISA</v>
      </c>
      <c r="F37" s="19" t="s">
        <v>348</v>
      </c>
      <c r="G37" s="17" t="s">
        <v>56</v>
      </c>
      <c r="H37" s="17" t="s">
        <v>100</v>
      </c>
      <c r="I37" s="22"/>
      <c r="J37" s="17" t="s">
        <v>56</v>
      </c>
      <c r="K37" s="17" t="s">
        <v>97</v>
      </c>
      <c r="L37" s="17" t="s">
        <v>56</v>
      </c>
      <c r="M37" s="17" t="s">
        <v>56</v>
      </c>
    </row>
    <row r="38" spans="1:13">
      <c r="A38" s="17" t="s">
        <v>49</v>
      </c>
      <c r="B38" s="17" t="s">
        <v>50</v>
      </c>
      <c r="C38" s="18" t="s">
        <v>64</v>
      </c>
      <c r="D38" s="19" t="s">
        <v>349</v>
      </c>
      <c r="E38" s="19" t="str">
        <f t="shared" si="0"/>
        <v>NÚMERO DE REFERENCIA DEL ADQUIRENTE (ARN/ARD)</v>
      </c>
      <c r="F38" s="19" t="s">
        <v>350</v>
      </c>
      <c r="G38" s="17" t="s">
        <v>56</v>
      </c>
      <c r="H38" s="17" t="s">
        <v>100</v>
      </c>
      <c r="I38" s="22"/>
      <c r="J38" s="17" t="s">
        <v>56</v>
      </c>
      <c r="K38" s="17" t="s">
        <v>97</v>
      </c>
      <c r="L38" s="17" t="s">
        <v>56</v>
      </c>
      <c r="M38" s="17" t="s">
        <v>56</v>
      </c>
    </row>
    <row r="39" spans="1:13">
      <c r="A39" s="17" t="s">
        <v>49</v>
      </c>
      <c r="B39" s="17" t="s">
        <v>50</v>
      </c>
      <c r="C39" s="18" t="s">
        <v>64</v>
      </c>
      <c r="D39" s="19" t="s">
        <v>351</v>
      </c>
      <c r="E39" s="19" t="str">
        <f t="shared" si="0"/>
        <v>CÓDIGO DE TERMINAL DE LA TRANSACCIÓN</v>
      </c>
      <c r="F39" s="19" t="s">
        <v>352</v>
      </c>
      <c r="G39" s="17" t="s">
        <v>56</v>
      </c>
      <c r="H39" s="17" t="s">
        <v>100</v>
      </c>
      <c r="I39" s="22"/>
      <c r="J39" s="17" t="s">
        <v>56</v>
      </c>
      <c r="K39" s="17" t="s">
        <v>97</v>
      </c>
      <c r="L39" s="17" t="s">
        <v>56</v>
      </c>
      <c r="M39" s="17" t="s">
        <v>56</v>
      </c>
    </row>
    <row r="40" spans="1:13">
      <c r="A40" s="17" t="s">
        <v>49</v>
      </c>
      <c r="B40" s="17" t="s">
        <v>50</v>
      </c>
      <c r="C40" s="18" t="s">
        <v>64</v>
      </c>
      <c r="D40" s="19" t="s">
        <v>353</v>
      </c>
      <c r="E40" s="19" t="str">
        <f t="shared" si="0"/>
        <v>NÚMERO DE REFERENCIA DE LA TRANSACCIÓN</v>
      </c>
      <c r="F40" s="19" t="s">
        <v>354</v>
      </c>
      <c r="G40" s="17" t="s">
        <v>56</v>
      </c>
      <c r="H40" s="17" t="s">
        <v>100</v>
      </c>
      <c r="I40" s="22"/>
      <c r="J40" s="17" t="s">
        <v>56</v>
      </c>
      <c r="K40" s="17" t="s">
        <v>97</v>
      </c>
      <c r="L40" s="17" t="s">
        <v>56</v>
      </c>
      <c r="M40" s="17" t="s">
        <v>56</v>
      </c>
    </row>
    <row r="41" spans="1:13">
      <c r="A41" s="17" t="s">
        <v>49</v>
      </c>
      <c r="B41" s="17" t="s">
        <v>50</v>
      </c>
      <c r="C41" s="18" t="s">
        <v>64</v>
      </c>
      <c r="D41" s="20" t="s">
        <v>355</v>
      </c>
      <c r="E41" s="19" t="str">
        <f t="shared" si="0"/>
        <v>CÓDIGO IDENTIFICADOR DEL COMERCIO (DOCUMENTO DEL CLIENTE AFILIADO)</v>
      </c>
      <c r="F41" s="19" t="s">
        <v>356</v>
      </c>
      <c r="G41" s="17" t="s">
        <v>56</v>
      </c>
      <c r="H41" s="17" t="s">
        <v>100</v>
      </c>
      <c r="I41" s="22"/>
      <c r="J41" s="17" t="s">
        <v>56</v>
      </c>
      <c r="K41" s="17" t="s">
        <v>97</v>
      </c>
      <c r="L41" s="17" t="s">
        <v>56</v>
      </c>
      <c r="M41" s="17" t="s">
        <v>56</v>
      </c>
    </row>
    <row r="42" spans="1:13">
      <c r="A42" s="17" t="s">
        <v>49</v>
      </c>
      <c r="B42" s="17" t="s">
        <v>50</v>
      </c>
      <c r="C42" s="18" t="s">
        <v>64</v>
      </c>
      <c r="D42" s="19" t="s">
        <v>357</v>
      </c>
      <c r="E42" s="19" t="str">
        <f t="shared" si="0"/>
        <v>CÓDIGO DE FUNCIÓN QUE INDICA LA ETAPA DEL CONTRACARGO</v>
      </c>
      <c r="F42" s="19" t="s">
        <v>358</v>
      </c>
      <c r="G42" s="17" t="s">
        <v>56</v>
      </c>
      <c r="H42" s="17" t="s">
        <v>100</v>
      </c>
      <c r="I42" s="22"/>
      <c r="J42" s="17" t="s">
        <v>56</v>
      </c>
      <c r="K42" s="17" t="s">
        <v>97</v>
      </c>
      <c r="L42" s="17" t="s">
        <v>56</v>
      </c>
      <c r="M42" s="17" t="s">
        <v>56</v>
      </c>
    </row>
    <row r="43" spans="1:13">
      <c r="A43" s="17" t="s">
        <v>49</v>
      </c>
      <c r="B43" s="17" t="s">
        <v>50</v>
      </c>
      <c r="C43" s="18" t="s">
        <v>64</v>
      </c>
      <c r="D43" s="19" t="s">
        <v>359</v>
      </c>
      <c r="E43" s="19" t="str">
        <f t="shared" si="0"/>
        <v>TIPO DE LÍNEA DE ATENCIÓN DEL CONTRACARGO (L1 O L3)</v>
      </c>
      <c r="F43" s="19" t="s">
        <v>360</v>
      </c>
      <c r="G43" s="17" t="s">
        <v>56</v>
      </c>
      <c r="H43" s="17" t="s">
        <v>100</v>
      </c>
      <c r="I43" s="22"/>
      <c r="J43" s="17" t="s">
        <v>56</v>
      </c>
      <c r="K43" s="17" t="s">
        <v>97</v>
      </c>
      <c r="L43" s="17" t="s">
        <v>56</v>
      </c>
      <c r="M43" s="17" t="s">
        <v>56</v>
      </c>
    </row>
    <row r="44" spans="1:13">
      <c r="A44" s="17" t="s">
        <v>49</v>
      </c>
      <c r="B44" s="17" t="s">
        <v>50</v>
      </c>
      <c r="C44" s="18" t="s">
        <v>64</v>
      </c>
      <c r="D44" s="19" t="s">
        <v>361</v>
      </c>
      <c r="E44" s="19" t="str">
        <f t="shared" si="0"/>
        <v>INDICADOR DE SI SE DEBE NOTIFICAR AL COMERCIO POR CORREO</v>
      </c>
      <c r="F44" s="19" t="s">
        <v>362</v>
      </c>
      <c r="G44" s="17" t="s">
        <v>56</v>
      </c>
      <c r="H44" s="17" t="s">
        <v>100</v>
      </c>
      <c r="I44" s="22"/>
      <c r="J44" s="17" t="s">
        <v>56</v>
      </c>
      <c r="K44" s="17" t="s">
        <v>97</v>
      </c>
      <c r="L44" s="17" t="s">
        <v>56</v>
      </c>
      <c r="M44" s="17" t="s">
        <v>56</v>
      </c>
    </row>
    <row r="45" spans="1:13">
      <c r="A45" s="17" t="s">
        <v>49</v>
      </c>
      <c r="B45" s="17" t="s">
        <v>50</v>
      </c>
      <c r="C45" s="18" t="s">
        <v>64</v>
      </c>
      <c r="D45" s="19" t="s">
        <v>363</v>
      </c>
      <c r="E45" s="19" t="str">
        <f t="shared" si="0"/>
        <v>EVALUACIÓN DE ATENCIÓN DEL CONTRACARGO SEGÚN PROPORCIÓN TICA</v>
      </c>
      <c r="F45" s="19" t="s">
        <v>364</v>
      </c>
      <c r="G45" s="17" t="s">
        <v>56</v>
      </c>
      <c r="H45" s="17" t="s">
        <v>100</v>
      </c>
      <c r="I45" s="22"/>
      <c r="J45" s="17" t="s">
        <v>56</v>
      </c>
      <c r="K45" s="17" t="s">
        <v>97</v>
      </c>
      <c r="L45" s="17" t="s">
        <v>56</v>
      </c>
      <c r="M45" s="17" t="s">
        <v>56</v>
      </c>
    </row>
    <row r="46" spans="1:13">
      <c r="A46" s="17" t="s">
        <v>49</v>
      </c>
      <c r="B46" s="17" t="s">
        <v>50</v>
      </c>
      <c r="C46" s="18" t="s">
        <v>64</v>
      </c>
      <c r="D46" s="19" t="s">
        <v>365</v>
      </c>
      <c r="E46" s="19" t="str">
        <f t="shared" si="0"/>
        <v>EVALUACIÓN DE ATENCIÓN SEGÚN IMPORTE DEL CONTRACARGO</v>
      </c>
      <c r="F46" s="19" t="s">
        <v>366</v>
      </c>
      <c r="G46" s="17" t="s">
        <v>56</v>
      </c>
      <c r="H46" s="17" t="s">
        <v>100</v>
      </c>
      <c r="I46" s="22"/>
      <c r="J46" s="17" t="s">
        <v>56</v>
      </c>
      <c r="K46" s="17" t="s">
        <v>97</v>
      </c>
      <c r="L46" s="17" t="s">
        <v>56</v>
      </c>
      <c r="M46" s="17" t="s">
        <v>56</v>
      </c>
    </row>
    <row r="47" spans="1:13">
      <c r="A47" s="17" t="s">
        <v>49</v>
      </c>
      <c r="B47" s="17" t="s">
        <v>50</v>
      </c>
      <c r="C47" s="18" t="s">
        <v>64</v>
      </c>
      <c r="D47" s="19" t="s">
        <v>367</v>
      </c>
      <c r="E47" s="19" t="str">
        <f t="shared" si="0"/>
        <v>INDICADOR DE ATENCIÓN MASIVA POR GESTIÓN DE DATOS</v>
      </c>
      <c r="F47" s="19" t="s">
        <v>368</v>
      </c>
      <c r="G47" s="17" t="s">
        <v>56</v>
      </c>
      <c r="H47" s="17" t="s">
        <v>100</v>
      </c>
      <c r="I47" s="22"/>
      <c r="J47" s="17" t="s">
        <v>56</v>
      </c>
      <c r="K47" s="17" t="s">
        <v>97</v>
      </c>
      <c r="L47" s="17" t="s">
        <v>56</v>
      </c>
      <c r="M47" s="17" t="s">
        <v>56</v>
      </c>
    </row>
    <row r="48" spans="1:13">
      <c r="A48" s="17" t="s">
        <v>49</v>
      </c>
      <c r="B48" s="17" t="s">
        <v>50</v>
      </c>
      <c r="C48" s="18" t="s">
        <v>64</v>
      </c>
      <c r="D48" s="19" t="s">
        <v>369</v>
      </c>
      <c r="E48" s="19" t="str">
        <f t="shared" si="0"/>
        <v>ORDEN O SECUENCIA DEL CONTRACARGO</v>
      </c>
      <c r="F48" s="19" t="s">
        <v>370</v>
      </c>
      <c r="G48" s="17" t="s">
        <v>56</v>
      </c>
      <c r="H48" s="17" t="s">
        <v>100</v>
      </c>
      <c r="I48" s="22"/>
      <c r="J48" s="17" t="s">
        <v>56</v>
      </c>
      <c r="K48" s="17" t="s">
        <v>97</v>
      </c>
      <c r="L48" s="17" t="s">
        <v>56</v>
      </c>
      <c r="M48" s="17" t="s">
        <v>56</v>
      </c>
    </row>
    <row r="49" spans="1:13">
      <c r="A49" s="17" t="s">
        <v>49</v>
      </c>
      <c r="B49" s="17" t="s">
        <v>50</v>
      </c>
      <c r="C49" s="18" t="s">
        <v>64</v>
      </c>
      <c r="D49" s="19" t="s">
        <v>371</v>
      </c>
      <c r="E49" s="19" t="str">
        <f t="shared" si="0"/>
        <v>CORREO DE CONTACTO DEL COMERCIO PARA COMUNICACIONES OPERATIVAS</v>
      </c>
      <c r="F49" s="19" t="s">
        <v>372</v>
      </c>
      <c r="G49" s="17" t="s">
        <v>56</v>
      </c>
      <c r="H49" s="17" t="s">
        <v>100</v>
      </c>
      <c r="I49" s="22"/>
      <c r="J49" s="17" t="s">
        <v>56</v>
      </c>
      <c r="K49" s="17" t="s">
        <v>97</v>
      </c>
      <c r="L49" s="17" t="s">
        <v>56</v>
      </c>
      <c r="M49" s="17" t="s">
        <v>56</v>
      </c>
    </row>
    <row r="50" spans="1:13">
      <c r="A50" s="17" t="s">
        <v>49</v>
      </c>
      <c r="B50" s="17" t="s">
        <v>50</v>
      </c>
      <c r="C50" s="18" t="s">
        <v>64</v>
      </c>
      <c r="D50" s="19" t="s">
        <v>281</v>
      </c>
      <c r="E50" s="19" t="str">
        <f t="shared" si="0"/>
        <v>DATO DE AUDITORÍA: DESCRIPCIÓN DEL APLICATIVO ORIGEN DE LOS DATOS.</v>
      </c>
      <c r="F50" s="19" t="s">
        <v>282</v>
      </c>
      <c r="G50" s="17" t="s">
        <v>56</v>
      </c>
      <c r="H50" s="17" t="s">
        <v>100</v>
      </c>
      <c r="I50" s="22" t="s">
        <v>283</v>
      </c>
      <c r="J50" s="17" t="s">
        <v>56</v>
      </c>
      <c r="K50" s="17" t="s">
        <v>56</v>
      </c>
      <c r="L50" s="17" t="s">
        <v>56</v>
      </c>
      <c r="M50" s="17" t="s">
        <v>56</v>
      </c>
    </row>
    <row r="51" spans="1:13">
      <c r="A51" s="17" t="s">
        <v>49</v>
      </c>
      <c r="B51" s="17" t="s">
        <v>50</v>
      </c>
      <c r="C51" s="18" t="s">
        <v>64</v>
      </c>
      <c r="D51" s="19" t="s">
        <v>284</v>
      </c>
      <c r="E51" s="19" t="str">
        <f t="shared" si="0"/>
        <v>FECHA Y HORA DE INSERCIÓN DEL REGISTRO EN EL MODELO</v>
      </c>
      <c r="F51" s="19" t="s">
        <v>285</v>
      </c>
      <c r="G51" s="17" t="s">
        <v>56</v>
      </c>
      <c r="H51" s="17" t="s">
        <v>286</v>
      </c>
      <c r="I51" s="22" t="s">
        <v>287</v>
      </c>
      <c r="J51" s="17" t="s">
        <v>56</v>
      </c>
      <c r="K51" s="17" t="s">
        <v>56</v>
      </c>
      <c r="L51" s="17" t="s">
        <v>56</v>
      </c>
      <c r="M51" s="17" t="s">
        <v>56</v>
      </c>
    </row>
    <row r="52" spans="1:13">
      <c r="A52" s="17" t="s">
        <v>49</v>
      </c>
      <c r="B52" s="17" t="s">
        <v>50</v>
      </c>
      <c r="C52" s="18" t="s">
        <v>64</v>
      </c>
      <c r="D52" s="19" t="s">
        <v>288</v>
      </c>
      <c r="E52" s="19" t="str">
        <f t="shared" si="0"/>
        <v>USUARIO QUE CREA EL REGISTRO EN LA BD</v>
      </c>
      <c r="F52" s="19" t="s">
        <v>289</v>
      </c>
      <c r="G52" s="17" t="s">
        <v>56</v>
      </c>
      <c r="H52" s="17" t="s">
        <v>100</v>
      </c>
      <c r="I52" s="22" t="s">
        <v>258</v>
      </c>
      <c r="J52" s="17" t="s">
        <v>56</v>
      </c>
      <c r="K52" s="17" t="s">
        <v>56</v>
      </c>
      <c r="L52" s="17" t="s">
        <v>56</v>
      </c>
      <c r="M52" s="17" t="s">
        <v>56</v>
      </c>
    </row>
  </sheetData>
  <autoFilter ref="A2:M52" xr:uid="{43B8BE03-B52F-4C6B-A89B-93AA5438230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C101B-8E4E-4A67-AFC9-CE3895E7DD55}">
  <sheetPr codeName="Hoja7"/>
  <dimension ref="A1:M34"/>
  <sheetViews>
    <sheetView showGridLines="0" topLeftCell="E1" zoomScaleNormal="100" workbookViewId="0">
      <pane ySplit="2" topLeftCell="A3" activePane="bottomLeft" state="frozen"/>
      <selection pane="bottomLeft" activeCell="E10" sqref="E10"/>
    </sheetView>
  </sheetViews>
  <sheetFormatPr baseColWidth="10" defaultColWidth="11.44140625" defaultRowHeight="14.4"/>
  <cols>
    <col min="1" max="2" width="29" customWidth="1"/>
    <col min="3" max="3" width="36.33203125" customWidth="1"/>
    <col min="4" max="4" width="29" customWidth="1"/>
    <col min="5" max="5" width="60.6640625" customWidth="1"/>
    <col min="6" max="6" width="64.33203125" customWidth="1"/>
    <col min="7" max="7" width="19.109375" customWidth="1"/>
    <col min="8" max="8" width="29" customWidth="1"/>
    <col min="9" max="9" width="40.5546875" customWidth="1"/>
    <col min="10" max="13" width="29" customWidth="1"/>
  </cols>
  <sheetData>
    <row r="1" spans="1:13" ht="31.2">
      <c r="A1" s="14" t="s">
        <v>14</v>
      </c>
      <c r="B1" s="15" t="s">
        <v>15</v>
      </c>
      <c r="C1" s="15" t="s">
        <v>6</v>
      </c>
      <c r="D1" s="15" t="s">
        <v>7</v>
      </c>
      <c r="E1" s="15" t="s">
        <v>75</v>
      </c>
      <c r="F1" s="15" t="s">
        <v>76</v>
      </c>
      <c r="G1" s="15" t="s">
        <v>77</v>
      </c>
      <c r="H1" s="15" t="s">
        <v>78</v>
      </c>
      <c r="I1" s="15" t="s">
        <v>79</v>
      </c>
      <c r="J1" s="15" t="s">
        <v>80</v>
      </c>
      <c r="K1" s="15" t="s">
        <v>81</v>
      </c>
      <c r="L1" s="15" t="s">
        <v>82</v>
      </c>
      <c r="M1" s="15" t="s">
        <v>83</v>
      </c>
    </row>
    <row r="2" spans="1:13" ht="46.8">
      <c r="A2" s="16" t="s">
        <v>32</v>
      </c>
      <c r="B2" s="16" t="s">
        <v>33</v>
      </c>
      <c r="C2" s="16" t="s">
        <v>84</v>
      </c>
      <c r="D2" s="16" t="s">
        <v>85</v>
      </c>
      <c r="E2" s="16" t="s">
        <v>86</v>
      </c>
      <c r="F2" s="16" t="s">
        <v>87</v>
      </c>
      <c r="G2" s="16" t="s">
        <v>88</v>
      </c>
      <c r="H2" s="16" t="s">
        <v>89</v>
      </c>
      <c r="I2" s="16" t="s">
        <v>90</v>
      </c>
      <c r="J2" s="16" t="s">
        <v>91</v>
      </c>
      <c r="K2" s="16" t="s">
        <v>92</v>
      </c>
      <c r="L2" s="16" t="s">
        <v>93</v>
      </c>
      <c r="M2" s="16" t="s">
        <v>92</v>
      </c>
    </row>
    <row r="3" spans="1:13">
      <c r="A3" s="17" t="s">
        <v>49</v>
      </c>
      <c r="B3" s="17" t="s">
        <v>50</v>
      </c>
      <c r="C3" s="18" t="s">
        <v>66</v>
      </c>
      <c r="D3" s="19" t="s">
        <v>94</v>
      </c>
      <c r="E3" s="19" t="str">
        <f>UPPER(F3)</f>
        <v>FECHA DE FOTO/DATOS CONFIGURADA EN EL ETL PARA LA EXTRACCIÓN DE DATOS, CORRESPONDE A APERTURAS DE COMERCIOS HASTA EL CIERRE DEL DÍA ANTERIOR</v>
      </c>
      <c r="F3" s="19" t="s">
        <v>95</v>
      </c>
      <c r="G3" s="17" t="s">
        <v>56</v>
      </c>
      <c r="H3" s="17" t="s">
        <v>96</v>
      </c>
      <c r="I3" s="23">
        <v>45841</v>
      </c>
      <c r="J3" s="17" t="s">
        <v>56</v>
      </c>
      <c r="K3" s="17" t="s">
        <v>56</v>
      </c>
      <c r="L3" s="17" t="s">
        <v>97</v>
      </c>
      <c r="M3" s="17" t="s">
        <v>56</v>
      </c>
    </row>
    <row r="4" spans="1:13">
      <c r="A4" s="17" t="s">
        <v>49</v>
      </c>
      <c r="B4" s="17" t="s">
        <v>50</v>
      </c>
      <c r="C4" s="18" t="s">
        <v>66</v>
      </c>
      <c r="D4" s="29" t="s">
        <v>373</v>
      </c>
      <c r="E4" s="19" t="str">
        <f t="shared" ref="E4:E34" si="0">UPPER(F4)</f>
        <v>CODIGO DE COMERCIO</v>
      </c>
      <c r="F4" s="19" t="s">
        <v>142</v>
      </c>
      <c r="G4" s="17" t="s">
        <v>56</v>
      </c>
      <c r="H4" s="17" t="s">
        <v>100</v>
      </c>
      <c r="I4" s="22"/>
      <c r="J4" s="17" t="s">
        <v>56</v>
      </c>
      <c r="K4" s="17" t="s">
        <v>97</v>
      </c>
      <c r="L4" s="17" t="s">
        <v>56</v>
      </c>
      <c r="M4" s="17" t="s">
        <v>56</v>
      </c>
    </row>
    <row r="5" spans="1:13">
      <c r="A5" s="17" t="s">
        <v>49</v>
      </c>
      <c r="B5" s="17" t="s">
        <v>50</v>
      </c>
      <c r="C5" s="18" t="s">
        <v>66</v>
      </c>
      <c r="D5" s="29" t="s">
        <v>374</v>
      </c>
      <c r="E5" s="19" t="str">
        <f t="shared" si="0"/>
        <v>TARJETA DE LA TRANSACCION ENMASCARADA</v>
      </c>
      <c r="F5" s="19" t="s">
        <v>322</v>
      </c>
      <c r="G5" s="17" t="s">
        <v>56</v>
      </c>
      <c r="H5" s="17" t="s">
        <v>100</v>
      </c>
      <c r="I5" s="22" t="s">
        <v>411</v>
      </c>
      <c r="J5" s="17" t="s">
        <v>56</v>
      </c>
      <c r="K5" s="17" t="s">
        <v>97</v>
      </c>
      <c r="L5" s="17" t="s">
        <v>56</v>
      </c>
      <c r="M5" s="17" t="s">
        <v>56</v>
      </c>
    </row>
    <row r="6" spans="1:13">
      <c r="A6" s="17" t="s">
        <v>49</v>
      </c>
      <c r="B6" s="17" t="s">
        <v>50</v>
      </c>
      <c r="C6" s="18" t="s">
        <v>66</v>
      </c>
      <c r="D6" s="29" t="s">
        <v>375</v>
      </c>
      <c r="E6" s="19" t="str">
        <f t="shared" si="0"/>
        <v>NOMBRE DE COMERCIO</v>
      </c>
      <c r="F6" s="19" t="s">
        <v>145</v>
      </c>
      <c r="G6" s="17" t="s">
        <v>56</v>
      </c>
      <c r="H6" s="17" t="s">
        <v>100</v>
      </c>
      <c r="I6" s="22"/>
      <c r="J6" s="17" t="s">
        <v>56</v>
      </c>
      <c r="K6" s="17" t="s">
        <v>97</v>
      </c>
      <c r="L6" s="17" t="s">
        <v>56</v>
      </c>
      <c r="M6" s="17" t="s">
        <v>56</v>
      </c>
    </row>
    <row r="7" spans="1:13">
      <c r="A7" s="17" t="s">
        <v>49</v>
      </c>
      <c r="B7" s="17" t="s">
        <v>50</v>
      </c>
      <c r="C7" s="18" t="s">
        <v>66</v>
      </c>
      <c r="D7" s="29" t="s">
        <v>376</v>
      </c>
      <c r="E7" s="19" t="str">
        <f t="shared" si="0"/>
        <v>MONEDA DE LA TRANSACCION</v>
      </c>
      <c r="F7" s="19" t="s">
        <v>292</v>
      </c>
      <c r="G7" s="17" t="s">
        <v>56</v>
      </c>
      <c r="H7" s="17" t="s">
        <v>100</v>
      </c>
      <c r="I7" s="22"/>
      <c r="J7" s="17" t="s">
        <v>56</v>
      </c>
      <c r="K7" s="17" t="s">
        <v>97</v>
      </c>
      <c r="L7" s="17" t="s">
        <v>56</v>
      </c>
      <c r="M7" s="17" t="s">
        <v>56</v>
      </c>
    </row>
    <row r="8" spans="1:13">
      <c r="A8" s="17" t="s">
        <v>49</v>
      </c>
      <c r="B8" s="17" t="s">
        <v>50</v>
      </c>
      <c r="C8" s="18" t="s">
        <v>66</v>
      </c>
      <c r="D8" s="29" t="s">
        <v>377</v>
      </c>
      <c r="E8" s="19" t="str">
        <f t="shared" si="0"/>
        <v>IMPORTE DE LA TRANSACCION</v>
      </c>
      <c r="F8" s="19" t="s">
        <v>184</v>
      </c>
      <c r="G8" s="17" t="s">
        <v>56</v>
      </c>
      <c r="H8" s="17" t="s">
        <v>100</v>
      </c>
      <c r="I8" s="22"/>
      <c r="J8" s="17" t="s">
        <v>56</v>
      </c>
      <c r="K8" s="17" t="s">
        <v>97</v>
      </c>
      <c r="L8" s="17" t="s">
        <v>56</v>
      </c>
      <c r="M8" s="17" t="s">
        <v>56</v>
      </c>
    </row>
    <row r="9" spans="1:13">
      <c r="A9" s="17" t="s">
        <v>49</v>
      </c>
      <c r="B9" s="17" t="s">
        <v>50</v>
      </c>
      <c r="C9" s="18" t="s">
        <v>66</v>
      </c>
      <c r="D9" s="29" t="s">
        <v>378</v>
      </c>
      <c r="E9" s="19" t="str">
        <f t="shared" si="0"/>
        <v>FECHA DE LA TRANSACCION</v>
      </c>
      <c r="F9" s="19" t="s">
        <v>177</v>
      </c>
      <c r="G9" s="17" t="s">
        <v>56</v>
      </c>
      <c r="H9" s="17" t="s">
        <v>100</v>
      </c>
      <c r="I9" s="22"/>
      <c r="J9" s="17" t="s">
        <v>56</v>
      </c>
      <c r="K9" s="17" t="s">
        <v>97</v>
      </c>
      <c r="L9" s="17" t="s">
        <v>56</v>
      </c>
      <c r="M9" s="17" t="s">
        <v>56</v>
      </c>
    </row>
    <row r="10" spans="1:13">
      <c r="A10" s="17" t="s">
        <v>49</v>
      </c>
      <c r="B10" s="17" t="s">
        <v>50</v>
      </c>
      <c r="C10" s="18" t="s">
        <v>66</v>
      </c>
      <c r="D10" s="29" t="s">
        <v>379</v>
      </c>
      <c r="E10" s="19" t="str">
        <f t="shared" si="0"/>
        <v>CODIGO DE AUTORIZACION DE LA TRANSACCION</v>
      </c>
      <c r="F10" s="19" t="s">
        <v>136</v>
      </c>
      <c r="G10" s="17" t="s">
        <v>56</v>
      </c>
      <c r="H10" s="17" t="s">
        <v>100</v>
      </c>
      <c r="I10" s="22"/>
      <c r="J10" s="17" t="s">
        <v>56</v>
      </c>
      <c r="K10" s="17" t="s">
        <v>97</v>
      </c>
      <c r="L10" s="17" t="s">
        <v>56</v>
      </c>
      <c r="M10" s="17" t="s">
        <v>56</v>
      </c>
    </row>
    <row r="11" spans="1:13">
      <c r="A11" s="17" t="s">
        <v>49</v>
      </c>
      <c r="B11" s="17" t="s">
        <v>50</v>
      </c>
      <c r="C11" s="18" t="s">
        <v>66</v>
      </c>
      <c r="D11" s="29" t="s">
        <v>380</v>
      </c>
      <c r="E11" s="19" t="str">
        <f t="shared" si="0"/>
        <v>MOTIVO DEL CONTRACARGO</v>
      </c>
      <c r="F11" s="19" t="s">
        <v>237</v>
      </c>
      <c r="G11" s="17" t="s">
        <v>56</v>
      </c>
      <c r="H11" s="17" t="s">
        <v>100</v>
      </c>
      <c r="I11" s="22"/>
      <c r="J11" s="17" t="s">
        <v>56</v>
      </c>
      <c r="K11" s="17" t="s">
        <v>97</v>
      </c>
      <c r="L11" s="17" t="s">
        <v>56</v>
      </c>
      <c r="M11" s="17" t="s">
        <v>56</v>
      </c>
    </row>
    <row r="12" spans="1:13">
      <c r="A12" s="17" t="s">
        <v>49</v>
      </c>
      <c r="B12" s="17" t="s">
        <v>50</v>
      </c>
      <c r="C12" s="18" t="s">
        <v>66</v>
      </c>
      <c r="D12" s="29" t="s">
        <v>339</v>
      </c>
      <c r="E12" s="19" t="str">
        <f t="shared" si="0"/>
        <v>NUMERO DE VOUCHER</v>
      </c>
      <c r="F12" s="19" t="s">
        <v>193</v>
      </c>
      <c r="G12" s="17" t="s">
        <v>56</v>
      </c>
      <c r="H12" s="17" t="s">
        <v>100</v>
      </c>
      <c r="I12" s="22"/>
      <c r="J12" s="17" t="s">
        <v>56</v>
      </c>
      <c r="K12" s="17" t="s">
        <v>97</v>
      </c>
      <c r="L12" s="17" t="s">
        <v>56</v>
      </c>
      <c r="M12" s="17" t="s">
        <v>56</v>
      </c>
    </row>
    <row r="13" spans="1:13">
      <c r="A13" s="17" t="s">
        <v>49</v>
      </c>
      <c r="B13" s="17" t="s">
        <v>50</v>
      </c>
      <c r="C13" s="18" t="s">
        <v>66</v>
      </c>
      <c r="D13" s="29" t="s">
        <v>353</v>
      </c>
      <c r="E13" s="19" t="str">
        <f t="shared" si="0"/>
        <v>NUMERO DE REFERENCIA</v>
      </c>
      <c r="F13" s="19" t="s">
        <v>199</v>
      </c>
      <c r="G13" s="17" t="s">
        <v>56</v>
      </c>
      <c r="H13" s="17" t="s">
        <v>100</v>
      </c>
      <c r="I13" s="22"/>
      <c r="J13" s="17" t="s">
        <v>56</v>
      </c>
      <c r="K13" s="17" t="s">
        <v>97</v>
      </c>
      <c r="L13" s="17" t="s">
        <v>56</v>
      </c>
      <c r="M13" s="17" t="s">
        <v>56</v>
      </c>
    </row>
    <row r="14" spans="1:13">
      <c r="A14" s="17" t="s">
        <v>49</v>
      </c>
      <c r="B14" s="17" t="s">
        <v>50</v>
      </c>
      <c r="C14" s="18" t="s">
        <v>66</v>
      </c>
      <c r="D14" s="29" t="s">
        <v>381</v>
      </c>
      <c r="E14" s="19" t="str">
        <f t="shared" si="0"/>
        <v>FECHA DE LA DEVOLUCION</v>
      </c>
      <c r="F14" s="19" t="s">
        <v>208</v>
      </c>
      <c r="G14" s="17" t="s">
        <v>56</v>
      </c>
      <c r="H14" s="17" t="s">
        <v>100</v>
      </c>
      <c r="I14" s="22"/>
      <c r="J14" s="17" t="s">
        <v>56</v>
      </c>
      <c r="K14" s="17" t="s">
        <v>97</v>
      </c>
      <c r="L14" s="17" t="s">
        <v>56</v>
      </c>
      <c r="M14" s="17" t="s">
        <v>56</v>
      </c>
    </row>
    <row r="15" spans="1:13">
      <c r="A15" s="17" t="s">
        <v>49</v>
      </c>
      <c r="B15" s="17" t="s">
        <v>50</v>
      </c>
      <c r="C15" s="18" t="s">
        <v>66</v>
      </c>
      <c r="D15" s="29" t="s">
        <v>382</v>
      </c>
      <c r="E15" s="19" t="str">
        <f t="shared" si="0"/>
        <v>RAZON SOCIAL DEL COMERCIO</v>
      </c>
      <c r="F15" s="19" t="s">
        <v>216</v>
      </c>
      <c r="G15" s="17" t="s">
        <v>56</v>
      </c>
      <c r="H15" s="17" t="s">
        <v>100</v>
      </c>
      <c r="I15" s="22"/>
      <c r="J15" s="17" t="s">
        <v>56</v>
      </c>
      <c r="K15" s="17" t="s">
        <v>97</v>
      </c>
      <c r="L15" s="17" t="s">
        <v>56</v>
      </c>
      <c r="M15" s="17" t="s">
        <v>56</v>
      </c>
    </row>
    <row r="16" spans="1:13">
      <c r="A16" s="17" t="s">
        <v>49</v>
      </c>
      <c r="B16" s="17" t="s">
        <v>50</v>
      </c>
      <c r="C16" s="18" t="s">
        <v>66</v>
      </c>
      <c r="D16" s="29" t="s">
        <v>383</v>
      </c>
      <c r="E16" s="19" t="str">
        <f t="shared" si="0"/>
        <v>NUMERO DE CONTROL, ROL CASE</v>
      </c>
      <c r="F16" s="19" t="s">
        <v>293</v>
      </c>
      <c r="G16" s="17" t="s">
        <v>56</v>
      </c>
      <c r="H16" s="17" t="s">
        <v>96</v>
      </c>
      <c r="I16" s="22"/>
      <c r="J16" s="17" t="s">
        <v>56</v>
      </c>
      <c r="K16" s="17" t="s">
        <v>97</v>
      </c>
      <c r="L16" s="17" t="s">
        <v>56</v>
      </c>
      <c r="M16" s="17" t="s">
        <v>56</v>
      </c>
    </row>
    <row r="17" spans="1:13">
      <c r="A17" s="17" t="s">
        <v>49</v>
      </c>
      <c r="B17" s="17" t="s">
        <v>50</v>
      </c>
      <c r="C17" s="18" t="s">
        <v>66</v>
      </c>
      <c r="D17" s="29" t="s">
        <v>384</v>
      </c>
      <c r="E17" s="19" t="str">
        <f t="shared" si="0"/>
        <v>MONEDA DEL CONTRACARGO</v>
      </c>
      <c r="F17" s="19" t="s">
        <v>294</v>
      </c>
      <c r="G17" s="17" t="s">
        <v>56</v>
      </c>
      <c r="H17" s="17" t="s">
        <v>100</v>
      </c>
      <c r="I17" s="22"/>
      <c r="J17" s="17" t="s">
        <v>56</v>
      </c>
      <c r="K17" s="17" t="s">
        <v>97</v>
      </c>
      <c r="L17" s="17" t="s">
        <v>56</v>
      </c>
      <c r="M17" s="17" t="s">
        <v>56</v>
      </c>
    </row>
    <row r="18" spans="1:13">
      <c r="A18" s="17" t="s">
        <v>49</v>
      </c>
      <c r="B18" s="17" t="s">
        <v>50</v>
      </c>
      <c r="C18" s="18" t="s">
        <v>66</v>
      </c>
      <c r="D18" s="29" t="s">
        <v>385</v>
      </c>
      <c r="E18" s="19" t="str">
        <f t="shared" si="0"/>
        <v>IMPORTE DEL CONTRACARGO</v>
      </c>
      <c r="F18" s="19" t="s">
        <v>132</v>
      </c>
      <c r="G18" s="17" t="s">
        <v>56</v>
      </c>
      <c r="H18" s="17" t="s">
        <v>133</v>
      </c>
      <c r="I18" s="22"/>
      <c r="J18" s="17" t="s">
        <v>56</v>
      </c>
      <c r="K18" s="17" t="s">
        <v>97</v>
      </c>
      <c r="L18" s="17" t="s">
        <v>56</v>
      </c>
      <c r="M18" s="17" t="s">
        <v>56</v>
      </c>
    </row>
    <row r="19" spans="1:13">
      <c r="A19" s="17" t="s">
        <v>49</v>
      </c>
      <c r="B19" s="17" t="s">
        <v>50</v>
      </c>
      <c r="C19" s="18" t="s">
        <v>66</v>
      </c>
      <c r="D19" s="29" t="s">
        <v>386</v>
      </c>
      <c r="E19" s="19" t="str">
        <f t="shared" si="0"/>
        <v>NUMERO DE REFERENCIA DEL ADQUIRENTE</v>
      </c>
      <c r="F19" s="19" t="s">
        <v>139</v>
      </c>
      <c r="G19" s="17" t="s">
        <v>56</v>
      </c>
      <c r="H19" s="17" t="s">
        <v>100</v>
      </c>
      <c r="I19" s="22"/>
      <c r="J19" s="17" t="s">
        <v>56</v>
      </c>
      <c r="K19" s="17" t="s">
        <v>97</v>
      </c>
      <c r="L19" s="17" t="s">
        <v>56</v>
      </c>
      <c r="M19" s="17" t="s">
        <v>56</v>
      </c>
    </row>
    <row r="20" spans="1:13">
      <c r="A20" s="17" t="s">
        <v>49</v>
      </c>
      <c r="B20" s="17" t="s">
        <v>50</v>
      </c>
      <c r="C20" s="18" t="s">
        <v>66</v>
      </c>
      <c r="D20" s="29" t="s">
        <v>387</v>
      </c>
      <c r="E20" s="19" t="str">
        <f t="shared" si="0"/>
        <v>FECHA DE INGRESO DEL CONTRACARGO</v>
      </c>
      <c r="F20" s="19" t="s">
        <v>111</v>
      </c>
      <c r="G20" s="17" t="s">
        <v>56</v>
      </c>
      <c r="H20" s="17" t="s">
        <v>100</v>
      </c>
      <c r="I20" s="22"/>
      <c r="J20" s="17" t="s">
        <v>56</v>
      </c>
      <c r="K20" s="17" t="s">
        <v>97</v>
      </c>
      <c r="L20" s="17" t="s">
        <v>56</v>
      </c>
      <c r="M20" s="17" t="s">
        <v>56</v>
      </c>
    </row>
    <row r="21" spans="1:13">
      <c r="A21" s="17" t="s">
        <v>49</v>
      </c>
      <c r="B21" s="17" t="s">
        <v>50</v>
      </c>
      <c r="C21" s="18" t="s">
        <v>66</v>
      </c>
      <c r="D21" s="29" t="s">
        <v>341</v>
      </c>
      <c r="E21" s="19" t="str">
        <f t="shared" si="0"/>
        <v>CODIGO DE RESPUESTA ECOMMERCE</v>
      </c>
      <c r="F21" s="19" t="s">
        <v>190</v>
      </c>
      <c r="G21" s="17" t="s">
        <v>56</v>
      </c>
      <c r="H21" s="17" t="s">
        <v>100</v>
      </c>
      <c r="I21" s="22"/>
      <c r="J21" s="17" t="s">
        <v>56</v>
      </c>
      <c r="K21" s="17" t="s">
        <v>97</v>
      </c>
      <c r="L21" s="17" t="s">
        <v>56</v>
      </c>
      <c r="M21" s="17" t="s">
        <v>56</v>
      </c>
    </row>
    <row r="22" spans="1:13">
      <c r="A22" s="17" t="s">
        <v>49</v>
      </c>
      <c r="B22" s="17" t="s">
        <v>50</v>
      </c>
      <c r="C22" s="18" t="s">
        <v>66</v>
      </c>
      <c r="D22" s="29" t="s">
        <v>388</v>
      </c>
      <c r="E22" s="19" t="str">
        <f t="shared" si="0"/>
        <v>CAMPO QUE INDICA SI ES UN CONTRACARGO ÚNICO O DUPLICADO</v>
      </c>
      <c r="F22" s="19" t="s">
        <v>174</v>
      </c>
      <c r="G22" s="17" t="s">
        <v>56</v>
      </c>
      <c r="H22" s="17" t="s">
        <v>96</v>
      </c>
      <c r="I22" s="22"/>
      <c r="J22" s="17" t="s">
        <v>56</v>
      </c>
      <c r="K22" s="17" t="s">
        <v>97</v>
      </c>
      <c r="L22" s="17" t="s">
        <v>56</v>
      </c>
      <c r="M22" s="17" t="s">
        <v>56</v>
      </c>
    </row>
    <row r="23" spans="1:13">
      <c r="A23" s="17" t="s">
        <v>49</v>
      </c>
      <c r="B23" s="17" t="s">
        <v>50</v>
      </c>
      <c r="C23" s="18" t="s">
        <v>66</v>
      </c>
      <c r="D23" s="29" t="s">
        <v>369</v>
      </c>
      <c r="E23" s="19" t="str">
        <f t="shared" si="0"/>
        <v>INDICA EL ORDEN DEL CONTRACARGO</v>
      </c>
      <c r="F23" s="19" t="s">
        <v>242</v>
      </c>
      <c r="G23" s="17" t="s">
        <v>56</v>
      </c>
      <c r="H23" s="17" t="s">
        <v>96</v>
      </c>
      <c r="I23" s="22"/>
      <c r="J23" s="17" t="s">
        <v>56</v>
      </c>
      <c r="K23" s="17" t="s">
        <v>97</v>
      </c>
      <c r="L23" s="17" t="s">
        <v>56</v>
      </c>
      <c r="M23" s="17" t="s">
        <v>56</v>
      </c>
    </row>
    <row r="24" spans="1:13">
      <c r="A24" s="17" t="s">
        <v>49</v>
      </c>
      <c r="B24" s="17" t="s">
        <v>50</v>
      </c>
      <c r="C24" s="18" t="s">
        <v>66</v>
      </c>
      <c r="D24" s="29" t="s">
        <v>351</v>
      </c>
      <c r="E24" s="19" t="str">
        <f t="shared" si="0"/>
        <v>CODIGO DE TERMINAL DE LA TRANSACCION</v>
      </c>
      <c r="F24" s="19" t="s">
        <v>196</v>
      </c>
      <c r="G24" s="17" t="s">
        <v>56</v>
      </c>
      <c r="H24" s="17" t="s">
        <v>96</v>
      </c>
      <c r="I24" s="22"/>
      <c r="J24" s="17" t="s">
        <v>56</v>
      </c>
      <c r="K24" s="17" t="s">
        <v>97</v>
      </c>
      <c r="L24" s="17" t="s">
        <v>56</v>
      </c>
      <c r="M24" s="17" t="s">
        <v>56</v>
      </c>
    </row>
    <row r="25" spans="1:13">
      <c r="A25" s="17" t="s">
        <v>49</v>
      </c>
      <c r="B25" s="17" t="s">
        <v>50</v>
      </c>
      <c r="C25" s="18" t="s">
        <v>66</v>
      </c>
      <c r="D25" s="29" t="s">
        <v>389</v>
      </c>
      <c r="E25" s="19" t="str">
        <f t="shared" si="0"/>
        <v>INDICA SI EL CONTRACARGO TIENE UN DEVOLUCION 876 Y/O RETENCION 34</v>
      </c>
      <c r="F25" s="19" t="s">
        <v>390</v>
      </c>
      <c r="G25" s="17" t="s">
        <v>56</v>
      </c>
      <c r="H25" s="17" t="s">
        <v>96</v>
      </c>
      <c r="I25" s="22"/>
      <c r="J25" s="17" t="s">
        <v>56</v>
      </c>
      <c r="K25" s="17" t="s">
        <v>97</v>
      </c>
      <c r="L25" s="17" t="s">
        <v>56</v>
      </c>
      <c r="M25" s="17" t="s">
        <v>56</v>
      </c>
    </row>
    <row r="26" spans="1:13">
      <c r="A26" s="17" t="s">
        <v>49</v>
      </c>
      <c r="B26" s="17" t="s">
        <v>50</v>
      </c>
      <c r="C26" s="18" t="s">
        <v>66</v>
      </c>
      <c r="D26" s="29" t="s">
        <v>391</v>
      </c>
      <c r="E26" s="19" t="str">
        <f t="shared" si="0"/>
        <v>MODO DE ENTRADA</v>
      </c>
      <c r="F26" s="19" t="s">
        <v>187</v>
      </c>
      <c r="G26" s="17" t="s">
        <v>56</v>
      </c>
      <c r="H26" s="17" t="s">
        <v>100</v>
      </c>
      <c r="I26" s="22"/>
      <c r="J26" s="17" t="s">
        <v>56</v>
      </c>
      <c r="K26" s="17" t="s">
        <v>97</v>
      </c>
      <c r="L26" s="17" t="s">
        <v>56</v>
      </c>
      <c r="M26" s="17" t="s">
        <v>56</v>
      </c>
    </row>
    <row r="27" spans="1:13">
      <c r="A27" s="17" t="s">
        <v>49</v>
      </c>
      <c r="B27" s="17" t="s">
        <v>50</v>
      </c>
      <c r="C27" s="18" t="s">
        <v>66</v>
      </c>
      <c r="D27" s="29" t="s">
        <v>392</v>
      </c>
      <c r="E27" s="19" t="str">
        <f t="shared" si="0"/>
        <v>CORREO DEL CONTACTO OPERA</v>
      </c>
      <c r="F27" s="19" t="s">
        <v>295</v>
      </c>
      <c r="G27" s="17" t="s">
        <v>56</v>
      </c>
      <c r="H27" s="17" t="s">
        <v>100</v>
      </c>
      <c r="I27" s="22"/>
      <c r="J27" s="17" t="s">
        <v>56</v>
      </c>
      <c r="K27" s="17" t="s">
        <v>97</v>
      </c>
      <c r="L27" s="17" t="s">
        <v>56</v>
      </c>
      <c r="M27" s="17" t="s">
        <v>56</v>
      </c>
    </row>
    <row r="28" spans="1:13">
      <c r="A28" s="17" t="s">
        <v>49</v>
      </c>
      <c r="B28" s="17" t="s">
        <v>50</v>
      </c>
      <c r="C28" s="18" t="s">
        <v>66</v>
      </c>
      <c r="D28" s="29" t="s">
        <v>359</v>
      </c>
      <c r="E28" s="19" t="str">
        <f t="shared" si="0"/>
        <v>TIPO DE LINEA PARA LA ATENCIÓN</v>
      </c>
      <c r="F28" s="19" t="s">
        <v>393</v>
      </c>
      <c r="G28" s="17" t="s">
        <v>56</v>
      </c>
      <c r="H28" s="17" t="s">
        <v>100</v>
      </c>
      <c r="I28" s="22"/>
      <c r="J28" s="17" t="s">
        <v>56</v>
      </c>
      <c r="K28" s="17" t="s">
        <v>97</v>
      </c>
      <c r="L28" s="17" t="s">
        <v>56</v>
      </c>
      <c r="M28" s="17" t="s">
        <v>56</v>
      </c>
    </row>
    <row r="29" spans="1:13">
      <c r="A29" s="17" t="s">
        <v>49</v>
      </c>
      <c r="B29" s="17" t="s">
        <v>50</v>
      </c>
      <c r="C29" s="18" t="s">
        <v>66</v>
      </c>
      <c r="D29" s="29" t="s">
        <v>394</v>
      </c>
      <c r="E29" s="19" t="str">
        <f t="shared" si="0"/>
        <v>CORREO DEL ANALISTA ASIGNADO AL CONTRACARGO</v>
      </c>
      <c r="F29" s="19" t="s">
        <v>395</v>
      </c>
      <c r="G29" s="17" t="s">
        <v>56</v>
      </c>
      <c r="H29" s="17" t="s">
        <v>100</v>
      </c>
      <c r="I29" s="22"/>
      <c r="J29" s="17" t="s">
        <v>56</v>
      </c>
      <c r="K29" s="17" t="s">
        <v>97</v>
      </c>
      <c r="L29" s="17" t="s">
        <v>56</v>
      </c>
      <c r="M29" s="17" t="s">
        <v>56</v>
      </c>
    </row>
    <row r="30" spans="1:13">
      <c r="A30" s="17" t="s">
        <v>49</v>
      </c>
      <c r="B30" s="17" t="s">
        <v>50</v>
      </c>
      <c r="C30" s="18" t="s">
        <v>66</v>
      </c>
      <c r="D30" s="29" t="s">
        <v>361</v>
      </c>
      <c r="E30" s="19" t="str">
        <f t="shared" si="0"/>
        <v>FLAG DE CORREO DE NOTIFICACIÓN AL COMERCIO</v>
      </c>
      <c r="F30" s="19" t="s">
        <v>396</v>
      </c>
      <c r="G30" s="17" t="s">
        <v>56</v>
      </c>
      <c r="H30" s="17" t="s">
        <v>100</v>
      </c>
      <c r="I30" s="22"/>
      <c r="J30" s="17" t="s">
        <v>56</v>
      </c>
      <c r="K30" s="17" t="s">
        <v>97</v>
      </c>
      <c r="L30" s="17" t="s">
        <v>56</v>
      </c>
      <c r="M30" s="17" t="s">
        <v>56</v>
      </c>
    </row>
    <row r="31" spans="1:13">
      <c r="A31" s="17" t="s">
        <v>49</v>
      </c>
      <c r="B31" s="17" t="s">
        <v>50</v>
      </c>
      <c r="C31" s="18" t="s">
        <v>66</v>
      </c>
      <c r="D31" s="29" t="s">
        <v>355</v>
      </c>
      <c r="E31" s="19" t="str">
        <f t="shared" si="0"/>
        <v>RUC DEL COMERCIO</v>
      </c>
      <c r="F31" s="19" t="s">
        <v>397</v>
      </c>
      <c r="G31" s="17" t="s">
        <v>56</v>
      </c>
      <c r="H31" s="17" t="s">
        <v>100</v>
      </c>
      <c r="I31" s="22"/>
      <c r="J31" s="17" t="s">
        <v>56</v>
      </c>
      <c r="K31" s="17" t="s">
        <v>97</v>
      </c>
      <c r="L31" s="17" t="s">
        <v>56</v>
      </c>
      <c r="M31" s="17" t="s">
        <v>56</v>
      </c>
    </row>
    <row r="32" spans="1:13">
      <c r="A32" s="17" t="s">
        <v>49</v>
      </c>
      <c r="B32" s="17" t="s">
        <v>50</v>
      </c>
      <c r="C32" s="18" t="s">
        <v>66</v>
      </c>
      <c r="D32" s="19" t="s">
        <v>281</v>
      </c>
      <c r="E32" s="19" t="str">
        <f t="shared" si="0"/>
        <v>DATO DE AUDITORÍA: DESCRIPCIÓN DEL APLICATIVO ORIGEN DE LOS DATOS.</v>
      </c>
      <c r="F32" s="19" t="s">
        <v>282</v>
      </c>
      <c r="G32" s="17" t="s">
        <v>56</v>
      </c>
      <c r="H32" s="17" t="s">
        <v>100</v>
      </c>
      <c r="I32" s="22" t="s">
        <v>283</v>
      </c>
      <c r="J32" s="17" t="s">
        <v>56</v>
      </c>
      <c r="K32" s="17" t="s">
        <v>56</v>
      </c>
      <c r="L32" s="17" t="s">
        <v>56</v>
      </c>
      <c r="M32" s="17" t="s">
        <v>56</v>
      </c>
    </row>
    <row r="33" spans="1:13">
      <c r="A33" s="17" t="s">
        <v>49</v>
      </c>
      <c r="B33" s="17" t="s">
        <v>50</v>
      </c>
      <c r="C33" s="18" t="s">
        <v>66</v>
      </c>
      <c r="D33" s="19" t="s">
        <v>284</v>
      </c>
      <c r="E33" s="19" t="str">
        <f t="shared" si="0"/>
        <v>FECHA Y HORA DE INSERCIÓN DEL REGISTRO EN EL MODELO</v>
      </c>
      <c r="F33" s="19" t="s">
        <v>285</v>
      </c>
      <c r="G33" s="17" t="s">
        <v>56</v>
      </c>
      <c r="H33" s="17" t="s">
        <v>286</v>
      </c>
      <c r="I33" s="22" t="s">
        <v>287</v>
      </c>
      <c r="J33" s="17" t="s">
        <v>56</v>
      </c>
      <c r="K33" s="17" t="s">
        <v>56</v>
      </c>
      <c r="L33" s="17" t="s">
        <v>56</v>
      </c>
      <c r="M33" s="17" t="s">
        <v>56</v>
      </c>
    </row>
    <row r="34" spans="1:13">
      <c r="A34" s="17" t="s">
        <v>49</v>
      </c>
      <c r="B34" s="17" t="s">
        <v>50</v>
      </c>
      <c r="C34" s="18" t="s">
        <v>66</v>
      </c>
      <c r="D34" s="19" t="s">
        <v>288</v>
      </c>
      <c r="E34" s="19" t="str">
        <f t="shared" si="0"/>
        <v>USUARIO QUE CREA EL REGISTRO EN LA BD</v>
      </c>
      <c r="F34" s="19" t="s">
        <v>289</v>
      </c>
      <c r="G34" s="17" t="s">
        <v>56</v>
      </c>
      <c r="H34" s="17" t="s">
        <v>100</v>
      </c>
      <c r="I34" s="22" t="s">
        <v>258</v>
      </c>
      <c r="J34" s="17" t="s">
        <v>56</v>
      </c>
      <c r="K34" s="17" t="s">
        <v>56</v>
      </c>
      <c r="L34" s="17" t="s">
        <v>56</v>
      </c>
      <c r="M34" s="17" t="s">
        <v>56</v>
      </c>
    </row>
  </sheetData>
  <autoFilter ref="A2:M34" xr:uid="{43B8BE03-B52F-4C6B-A89B-93AA5438230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3B785-B9F2-4562-A7AB-DBDF9DD14123}">
  <sheetPr codeName="Hoja8"/>
  <dimension ref="A1:M34"/>
  <sheetViews>
    <sheetView showGridLines="0" topLeftCell="C1" zoomScaleNormal="100" workbookViewId="0">
      <pane ySplit="2" topLeftCell="A3" activePane="bottomLeft" state="frozen"/>
      <selection pane="bottomLeft" activeCell="D17" sqref="D17"/>
    </sheetView>
  </sheetViews>
  <sheetFormatPr baseColWidth="10" defaultColWidth="11.44140625" defaultRowHeight="14.4"/>
  <cols>
    <col min="1" max="2" width="29" customWidth="1"/>
    <col min="3" max="3" width="36.33203125" customWidth="1"/>
    <col min="4" max="4" width="29" customWidth="1"/>
    <col min="5" max="5" width="60.6640625" customWidth="1"/>
    <col min="6" max="6" width="64.33203125" customWidth="1"/>
    <col min="7" max="7" width="19.109375" customWidth="1"/>
    <col min="8" max="8" width="29" customWidth="1"/>
    <col min="9" max="9" width="40.5546875" customWidth="1"/>
    <col min="10" max="13" width="29" customWidth="1"/>
  </cols>
  <sheetData>
    <row r="1" spans="1:13" ht="31.2">
      <c r="A1" s="14" t="s">
        <v>14</v>
      </c>
      <c r="B1" s="15" t="s">
        <v>15</v>
      </c>
      <c r="C1" s="15" t="s">
        <v>6</v>
      </c>
      <c r="D1" s="15" t="s">
        <v>7</v>
      </c>
      <c r="E1" s="15" t="s">
        <v>75</v>
      </c>
      <c r="F1" s="15" t="s">
        <v>76</v>
      </c>
      <c r="G1" s="15" t="s">
        <v>77</v>
      </c>
      <c r="H1" s="15" t="s">
        <v>78</v>
      </c>
      <c r="I1" s="15" t="s">
        <v>79</v>
      </c>
      <c r="J1" s="15" t="s">
        <v>80</v>
      </c>
      <c r="K1" s="15" t="s">
        <v>81</v>
      </c>
      <c r="L1" s="15" t="s">
        <v>82</v>
      </c>
      <c r="M1" s="15" t="s">
        <v>83</v>
      </c>
    </row>
    <row r="2" spans="1:13" ht="46.8">
      <c r="A2" s="16" t="s">
        <v>32</v>
      </c>
      <c r="B2" s="16" t="s">
        <v>33</v>
      </c>
      <c r="C2" s="16" t="s">
        <v>84</v>
      </c>
      <c r="D2" s="16" t="s">
        <v>85</v>
      </c>
      <c r="E2" s="16" t="s">
        <v>86</v>
      </c>
      <c r="F2" s="16" t="s">
        <v>87</v>
      </c>
      <c r="G2" s="16" t="s">
        <v>88</v>
      </c>
      <c r="H2" s="16" t="s">
        <v>89</v>
      </c>
      <c r="I2" s="16" t="s">
        <v>90</v>
      </c>
      <c r="J2" s="16" t="s">
        <v>91</v>
      </c>
      <c r="K2" s="16" t="s">
        <v>92</v>
      </c>
      <c r="L2" s="16" t="s">
        <v>93</v>
      </c>
      <c r="M2" s="16" t="s">
        <v>92</v>
      </c>
    </row>
    <row r="3" spans="1:13">
      <c r="A3" s="17" t="s">
        <v>49</v>
      </c>
      <c r="B3" s="17" t="s">
        <v>50</v>
      </c>
      <c r="C3" s="18" t="s">
        <v>68</v>
      </c>
      <c r="D3" s="19" t="s">
        <v>94</v>
      </c>
      <c r="E3" s="19" t="str">
        <f>UPPER(F3)</f>
        <v>FECHA DE FOTO/DATOS CONFIGURADA EN EL ETL PARA LA EXTRACCIÓN DE DATOS, CORRESPONDE A APERTURAS DE COMERCIOS HASTA EL CIERRE DEL DÍA ANTERIOR</v>
      </c>
      <c r="F3" s="19" t="s">
        <v>95</v>
      </c>
      <c r="G3" s="17" t="s">
        <v>56</v>
      </c>
      <c r="H3" s="17" t="s">
        <v>96</v>
      </c>
      <c r="I3" s="23">
        <v>45841</v>
      </c>
      <c r="J3" s="17" t="s">
        <v>56</v>
      </c>
      <c r="K3" s="17" t="s">
        <v>56</v>
      </c>
      <c r="L3" s="17" t="s">
        <v>97</v>
      </c>
      <c r="M3" s="17" t="s">
        <v>56</v>
      </c>
    </row>
    <row r="4" spans="1:13">
      <c r="A4" s="17" t="s">
        <v>49</v>
      </c>
      <c r="B4" s="17" t="s">
        <v>50</v>
      </c>
      <c r="C4" s="18" t="s">
        <v>68</v>
      </c>
      <c r="D4" s="29" t="s">
        <v>373</v>
      </c>
      <c r="E4" s="19" t="str">
        <f t="shared" ref="E4:E34" si="0">UPPER(F4)</f>
        <v>CODIGO DE COMERCIO</v>
      </c>
      <c r="F4" s="19" t="s">
        <v>142</v>
      </c>
      <c r="G4" s="17" t="s">
        <v>56</v>
      </c>
      <c r="H4" s="17" t="s">
        <v>100</v>
      </c>
      <c r="I4" s="22"/>
      <c r="J4" s="17" t="s">
        <v>56</v>
      </c>
      <c r="K4" s="17" t="s">
        <v>97</v>
      </c>
      <c r="L4" s="17" t="s">
        <v>56</v>
      </c>
      <c r="M4" s="17" t="s">
        <v>56</v>
      </c>
    </row>
    <row r="5" spans="1:13">
      <c r="A5" s="17" t="s">
        <v>49</v>
      </c>
      <c r="B5" s="17" t="s">
        <v>50</v>
      </c>
      <c r="C5" s="18" t="s">
        <v>68</v>
      </c>
      <c r="D5" s="29" t="s">
        <v>374</v>
      </c>
      <c r="E5" s="19" t="str">
        <f t="shared" si="0"/>
        <v>TARJETA DE LA TRANSACCION ENMASCARADA</v>
      </c>
      <c r="F5" s="19" t="s">
        <v>322</v>
      </c>
      <c r="G5" s="17" t="s">
        <v>56</v>
      </c>
      <c r="H5" s="17" t="s">
        <v>100</v>
      </c>
      <c r="I5" s="22" t="s">
        <v>412</v>
      </c>
      <c r="J5" s="17" t="s">
        <v>56</v>
      </c>
      <c r="K5" s="17" t="s">
        <v>97</v>
      </c>
      <c r="L5" s="17" t="s">
        <v>56</v>
      </c>
      <c r="M5" s="17" t="s">
        <v>56</v>
      </c>
    </row>
    <row r="6" spans="1:13">
      <c r="A6" s="17" t="s">
        <v>49</v>
      </c>
      <c r="B6" s="17" t="s">
        <v>50</v>
      </c>
      <c r="C6" s="18" t="s">
        <v>68</v>
      </c>
      <c r="D6" s="29" t="s">
        <v>375</v>
      </c>
      <c r="E6" s="19" t="str">
        <f t="shared" si="0"/>
        <v>NOMBRE DE COMERCIO</v>
      </c>
      <c r="F6" s="19" t="s">
        <v>145</v>
      </c>
      <c r="G6" s="17" t="s">
        <v>56</v>
      </c>
      <c r="H6" s="17" t="s">
        <v>100</v>
      </c>
      <c r="I6" s="22"/>
      <c r="J6" s="17" t="s">
        <v>56</v>
      </c>
      <c r="K6" s="17" t="s">
        <v>97</v>
      </c>
      <c r="L6" s="17" t="s">
        <v>56</v>
      </c>
      <c r="M6" s="17" t="s">
        <v>56</v>
      </c>
    </row>
    <row r="7" spans="1:13">
      <c r="A7" s="17" t="s">
        <v>49</v>
      </c>
      <c r="B7" s="17" t="s">
        <v>50</v>
      </c>
      <c r="C7" s="18" t="s">
        <v>68</v>
      </c>
      <c r="D7" s="29" t="s">
        <v>376</v>
      </c>
      <c r="E7" s="19" t="str">
        <f t="shared" si="0"/>
        <v>MONEDA DE LA TRANSACCION</v>
      </c>
      <c r="F7" s="19" t="s">
        <v>292</v>
      </c>
      <c r="G7" s="17" t="s">
        <v>56</v>
      </c>
      <c r="H7" s="17" t="s">
        <v>100</v>
      </c>
      <c r="I7" s="22"/>
      <c r="J7" s="17" t="s">
        <v>56</v>
      </c>
      <c r="K7" s="17" t="s">
        <v>97</v>
      </c>
      <c r="L7" s="17" t="s">
        <v>56</v>
      </c>
      <c r="M7" s="17" t="s">
        <v>56</v>
      </c>
    </row>
    <row r="8" spans="1:13">
      <c r="A8" s="17" t="s">
        <v>49</v>
      </c>
      <c r="B8" s="17" t="s">
        <v>50</v>
      </c>
      <c r="C8" s="18" t="s">
        <v>68</v>
      </c>
      <c r="D8" s="29" t="s">
        <v>377</v>
      </c>
      <c r="E8" s="19" t="str">
        <f t="shared" si="0"/>
        <v>IMPORTE DE LA TRANSACCION</v>
      </c>
      <c r="F8" s="19" t="s">
        <v>184</v>
      </c>
      <c r="G8" s="17" t="s">
        <v>56</v>
      </c>
      <c r="H8" s="17" t="s">
        <v>100</v>
      </c>
      <c r="I8" s="22"/>
      <c r="J8" s="17" t="s">
        <v>56</v>
      </c>
      <c r="K8" s="17" t="s">
        <v>97</v>
      </c>
      <c r="L8" s="17" t="s">
        <v>56</v>
      </c>
      <c r="M8" s="17" t="s">
        <v>56</v>
      </c>
    </row>
    <row r="9" spans="1:13">
      <c r="A9" s="17" t="s">
        <v>49</v>
      </c>
      <c r="B9" s="17" t="s">
        <v>50</v>
      </c>
      <c r="C9" s="18" t="s">
        <v>68</v>
      </c>
      <c r="D9" s="29" t="s">
        <v>378</v>
      </c>
      <c r="E9" s="19" t="str">
        <f t="shared" si="0"/>
        <v>FECHA DE LA TRANSACCION</v>
      </c>
      <c r="F9" s="19" t="s">
        <v>177</v>
      </c>
      <c r="G9" s="17" t="s">
        <v>56</v>
      </c>
      <c r="H9" s="17" t="s">
        <v>100</v>
      </c>
      <c r="I9" s="22"/>
      <c r="J9" s="17" t="s">
        <v>56</v>
      </c>
      <c r="K9" s="17" t="s">
        <v>97</v>
      </c>
      <c r="L9" s="17" t="s">
        <v>56</v>
      </c>
      <c r="M9" s="17" t="s">
        <v>56</v>
      </c>
    </row>
    <row r="10" spans="1:13">
      <c r="A10" s="17" t="s">
        <v>49</v>
      </c>
      <c r="B10" s="17" t="s">
        <v>50</v>
      </c>
      <c r="C10" s="18" t="s">
        <v>68</v>
      </c>
      <c r="D10" s="29" t="s">
        <v>379</v>
      </c>
      <c r="E10" s="19" t="str">
        <f t="shared" si="0"/>
        <v>CODIGO DE AUTORIZACION DE LA TRANSACCION</v>
      </c>
      <c r="F10" s="19" t="s">
        <v>136</v>
      </c>
      <c r="G10" s="17" t="s">
        <v>56</v>
      </c>
      <c r="H10" s="17" t="s">
        <v>100</v>
      </c>
      <c r="I10" s="22"/>
      <c r="J10" s="17" t="s">
        <v>56</v>
      </c>
      <c r="K10" s="17" t="s">
        <v>97</v>
      </c>
      <c r="L10" s="17" t="s">
        <v>56</v>
      </c>
      <c r="M10" s="17" t="s">
        <v>56</v>
      </c>
    </row>
    <row r="11" spans="1:13">
      <c r="A11" s="17" t="s">
        <v>49</v>
      </c>
      <c r="B11" s="17" t="s">
        <v>50</v>
      </c>
      <c r="C11" s="18" t="s">
        <v>68</v>
      </c>
      <c r="D11" s="29" t="s">
        <v>380</v>
      </c>
      <c r="E11" s="19" t="str">
        <f t="shared" si="0"/>
        <v>MOTIVO DEL CONTRACARGO</v>
      </c>
      <c r="F11" s="19" t="s">
        <v>237</v>
      </c>
      <c r="G11" s="17" t="s">
        <v>56</v>
      </c>
      <c r="H11" s="17" t="s">
        <v>100</v>
      </c>
      <c r="I11" s="22"/>
      <c r="J11" s="17" t="s">
        <v>56</v>
      </c>
      <c r="K11" s="17" t="s">
        <v>97</v>
      </c>
      <c r="L11" s="17" t="s">
        <v>56</v>
      </c>
      <c r="M11" s="17" t="s">
        <v>56</v>
      </c>
    </row>
    <row r="12" spans="1:13">
      <c r="A12" s="17" t="s">
        <v>49</v>
      </c>
      <c r="B12" s="17" t="s">
        <v>50</v>
      </c>
      <c r="C12" s="18" t="s">
        <v>68</v>
      </c>
      <c r="D12" s="29" t="s">
        <v>339</v>
      </c>
      <c r="E12" s="19" t="str">
        <f t="shared" si="0"/>
        <v>NUMERO DE VOUCHER</v>
      </c>
      <c r="F12" s="19" t="s">
        <v>193</v>
      </c>
      <c r="G12" s="17" t="s">
        <v>56</v>
      </c>
      <c r="H12" s="17" t="s">
        <v>100</v>
      </c>
      <c r="I12" s="22"/>
      <c r="J12" s="17" t="s">
        <v>56</v>
      </c>
      <c r="K12" s="17" t="s">
        <v>97</v>
      </c>
      <c r="L12" s="17" t="s">
        <v>56</v>
      </c>
      <c r="M12" s="17" t="s">
        <v>56</v>
      </c>
    </row>
    <row r="13" spans="1:13">
      <c r="A13" s="17" t="s">
        <v>49</v>
      </c>
      <c r="B13" s="17" t="s">
        <v>50</v>
      </c>
      <c r="C13" s="18" t="s">
        <v>68</v>
      </c>
      <c r="D13" s="29" t="s">
        <v>353</v>
      </c>
      <c r="E13" s="19" t="str">
        <f t="shared" si="0"/>
        <v>NUMERO DE REFERENCIA</v>
      </c>
      <c r="F13" s="19" t="s">
        <v>199</v>
      </c>
      <c r="G13" s="17" t="s">
        <v>56</v>
      </c>
      <c r="H13" s="17" t="s">
        <v>100</v>
      </c>
      <c r="I13" s="22"/>
      <c r="J13" s="17" t="s">
        <v>56</v>
      </c>
      <c r="K13" s="17" t="s">
        <v>97</v>
      </c>
      <c r="L13" s="17" t="s">
        <v>56</v>
      </c>
      <c r="M13" s="17" t="s">
        <v>56</v>
      </c>
    </row>
    <row r="14" spans="1:13">
      <c r="A14" s="17" t="s">
        <v>49</v>
      </c>
      <c r="B14" s="17" t="s">
        <v>50</v>
      </c>
      <c r="C14" s="18" t="s">
        <v>68</v>
      </c>
      <c r="D14" s="29" t="s">
        <v>381</v>
      </c>
      <c r="E14" s="19" t="str">
        <f t="shared" si="0"/>
        <v>FECHA DE LA DEVOLUCION</v>
      </c>
      <c r="F14" s="19" t="s">
        <v>208</v>
      </c>
      <c r="G14" s="17" t="s">
        <v>56</v>
      </c>
      <c r="H14" s="17" t="s">
        <v>100</v>
      </c>
      <c r="I14" s="22"/>
      <c r="J14" s="17" t="s">
        <v>56</v>
      </c>
      <c r="K14" s="17" t="s">
        <v>97</v>
      </c>
      <c r="L14" s="17" t="s">
        <v>56</v>
      </c>
      <c r="M14" s="17" t="s">
        <v>56</v>
      </c>
    </row>
    <row r="15" spans="1:13">
      <c r="A15" s="17" t="s">
        <v>49</v>
      </c>
      <c r="B15" s="17" t="s">
        <v>50</v>
      </c>
      <c r="C15" s="18" t="s">
        <v>68</v>
      </c>
      <c r="D15" s="29" t="s">
        <v>382</v>
      </c>
      <c r="E15" s="19" t="str">
        <f t="shared" si="0"/>
        <v>RAZON SOCIAL DEL COMERCIO</v>
      </c>
      <c r="F15" s="19" t="s">
        <v>216</v>
      </c>
      <c r="G15" s="17" t="s">
        <v>56</v>
      </c>
      <c r="H15" s="17" t="s">
        <v>100</v>
      </c>
      <c r="I15" s="22"/>
      <c r="J15" s="17" t="s">
        <v>56</v>
      </c>
      <c r="K15" s="17" t="s">
        <v>97</v>
      </c>
      <c r="L15" s="17" t="s">
        <v>56</v>
      </c>
      <c r="M15" s="17" t="s">
        <v>56</v>
      </c>
    </row>
    <row r="16" spans="1:13">
      <c r="A16" s="17" t="s">
        <v>49</v>
      </c>
      <c r="B16" s="17" t="s">
        <v>50</v>
      </c>
      <c r="C16" s="18" t="s">
        <v>68</v>
      </c>
      <c r="D16" s="29" t="s">
        <v>383</v>
      </c>
      <c r="E16" s="19" t="str">
        <f t="shared" si="0"/>
        <v>NUMERO DE CONTROL, ROL CASE</v>
      </c>
      <c r="F16" s="19" t="s">
        <v>293</v>
      </c>
      <c r="G16" s="17" t="s">
        <v>56</v>
      </c>
      <c r="H16" s="17" t="s">
        <v>96</v>
      </c>
      <c r="I16" s="22"/>
      <c r="J16" s="17" t="s">
        <v>56</v>
      </c>
      <c r="K16" s="17" t="s">
        <v>97</v>
      </c>
      <c r="L16" s="17" t="s">
        <v>56</v>
      </c>
      <c r="M16" s="17" t="s">
        <v>56</v>
      </c>
    </row>
    <row r="17" spans="1:13">
      <c r="A17" s="17" t="s">
        <v>49</v>
      </c>
      <c r="B17" s="17" t="s">
        <v>50</v>
      </c>
      <c r="C17" s="18" t="s">
        <v>68</v>
      </c>
      <c r="D17" s="29" t="s">
        <v>384</v>
      </c>
      <c r="E17" s="19" t="str">
        <f t="shared" si="0"/>
        <v>MONEDA DEL CONTRACARGO</v>
      </c>
      <c r="F17" s="19" t="s">
        <v>294</v>
      </c>
      <c r="G17" s="17" t="s">
        <v>56</v>
      </c>
      <c r="H17" s="17" t="s">
        <v>100</v>
      </c>
      <c r="I17" s="22"/>
      <c r="J17" s="17" t="s">
        <v>56</v>
      </c>
      <c r="K17" s="17" t="s">
        <v>97</v>
      </c>
      <c r="L17" s="17" t="s">
        <v>56</v>
      </c>
      <c r="M17" s="17" t="s">
        <v>56</v>
      </c>
    </row>
    <row r="18" spans="1:13">
      <c r="A18" s="17" t="s">
        <v>49</v>
      </c>
      <c r="B18" s="17" t="s">
        <v>50</v>
      </c>
      <c r="C18" s="18" t="s">
        <v>68</v>
      </c>
      <c r="D18" s="29" t="s">
        <v>385</v>
      </c>
      <c r="E18" s="19" t="str">
        <f t="shared" si="0"/>
        <v>IMPORTE DEL CONTRACARGO</v>
      </c>
      <c r="F18" s="19" t="s">
        <v>132</v>
      </c>
      <c r="G18" s="17" t="s">
        <v>56</v>
      </c>
      <c r="H18" s="17" t="s">
        <v>133</v>
      </c>
      <c r="I18" s="22"/>
      <c r="J18" s="17" t="s">
        <v>56</v>
      </c>
      <c r="K18" s="17" t="s">
        <v>97</v>
      </c>
      <c r="L18" s="17" t="s">
        <v>56</v>
      </c>
      <c r="M18" s="17" t="s">
        <v>56</v>
      </c>
    </row>
    <row r="19" spans="1:13">
      <c r="A19" s="17" t="s">
        <v>49</v>
      </c>
      <c r="B19" s="17" t="s">
        <v>50</v>
      </c>
      <c r="C19" s="18" t="s">
        <v>68</v>
      </c>
      <c r="D19" s="29" t="s">
        <v>386</v>
      </c>
      <c r="E19" s="19" t="str">
        <f t="shared" si="0"/>
        <v>NUMERO DE REFERENCIA DEL ADQUIRENTE</v>
      </c>
      <c r="F19" s="19" t="s">
        <v>139</v>
      </c>
      <c r="G19" s="17" t="s">
        <v>56</v>
      </c>
      <c r="H19" s="17" t="s">
        <v>100</v>
      </c>
      <c r="I19" s="22"/>
      <c r="J19" s="17" t="s">
        <v>56</v>
      </c>
      <c r="K19" s="17" t="s">
        <v>97</v>
      </c>
      <c r="L19" s="17" t="s">
        <v>56</v>
      </c>
      <c r="M19" s="17" t="s">
        <v>56</v>
      </c>
    </row>
    <row r="20" spans="1:13">
      <c r="A20" s="17" t="s">
        <v>49</v>
      </c>
      <c r="B20" s="17" t="s">
        <v>50</v>
      </c>
      <c r="C20" s="18" t="s">
        <v>68</v>
      </c>
      <c r="D20" s="29" t="s">
        <v>387</v>
      </c>
      <c r="E20" s="19" t="str">
        <f t="shared" si="0"/>
        <v>FECHA DE INGRESO DEL CONTRACARGO</v>
      </c>
      <c r="F20" s="19" t="s">
        <v>111</v>
      </c>
      <c r="G20" s="17" t="s">
        <v>56</v>
      </c>
      <c r="H20" s="17" t="s">
        <v>100</v>
      </c>
      <c r="I20" s="22"/>
      <c r="J20" s="17" t="s">
        <v>56</v>
      </c>
      <c r="K20" s="17" t="s">
        <v>97</v>
      </c>
      <c r="L20" s="17" t="s">
        <v>56</v>
      </c>
      <c r="M20" s="17" t="s">
        <v>56</v>
      </c>
    </row>
    <row r="21" spans="1:13">
      <c r="A21" s="17" t="s">
        <v>49</v>
      </c>
      <c r="B21" s="17" t="s">
        <v>50</v>
      </c>
      <c r="C21" s="18" t="s">
        <v>68</v>
      </c>
      <c r="D21" s="29" t="s">
        <v>341</v>
      </c>
      <c r="E21" s="19" t="str">
        <f t="shared" si="0"/>
        <v>CODIGO DE RESPUESTA ECOMMERCE</v>
      </c>
      <c r="F21" s="19" t="s">
        <v>190</v>
      </c>
      <c r="G21" s="17" t="s">
        <v>56</v>
      </c>
      <c r="H21" s="17" t="s">
        <v>100</v>
      </c>
      <c r="I21" s="22"/>
      <c r="J21" s="17" t="s">
        <v>56</v>
      </c>
      <c r="K21" s="17" t="s">
        <v>97</v>
      </c>
      <c r="L21" s="17" t="s">
        <v>56</v>
      </c>
      <c r="M21" s="17" t="s">
        <v>56</v>
      </c>
    </row>
    <row r="22" spans="1:13">
      <c r="A22" s="17" t="s">
        <v>49</v>
      </c>
      <c r="B22" s="17" t="s">
        <v>50</v>
      </c>
      <c r="C22" s="18" t="s">
        <v>68</v>
      </c>
      <c r="D22" s="29" t="s">
        <v>388</v>
      </c>
      <c r="E22" s="19" t="str">
        <f t="shared" si="0"/>
        <v>CAMPO QUE INDICA SI ES UN CONTRACARGO ÚNICO O DUPLICADO</v>
      </c>
      <c r="F22" s="19" t="s">
        <v>174</v>
      </c>
      <c r="G22" s="17" t="s">
        <v>56</v>
      </c>
      <c r="H22" s="17" t="s">
        <v>96</v>
      </c>
      <c r="I22" s="22"/>
      <c r="J22" s="17" t="s">
        <v>56</v>
      </c>
      <c r="K22" s="17" t="s">
        <v>97</v>
      </c>
      <c r="L22" s="17" t="s">
        <v>56</v>
      </c>
      <c r="M22" s="17" t="s">
        <v>56</v>
      </c>
    </row>
    <row r="23" spans="1:13">
      <c r="A23" s="17" t="s">
        <v>49</v>
      </c>
      <c r="B23" s="17" t="s">
        <v>50</v>
      </c>
      <c r="C23" s="18" t="s">
        <v>68</v>
      </c>
      <c r="D23" s="29" t="s">
        <v>369</v>
      </c>
      <c r="E23" s="19" t="str">
        <f t="shared" si="0"/>
        <v>INDICA EL ORDEN DEL CONTRACARGO</v>
      </c>
      <c r="F23" s="19" t="s">
        <v>242</v>
      </c>
      <c r="G23" s="17" t="s">
        <v>56</v>
      </c>
      <c r="H23" s="17" t="s">
        <v>96</v>
      </c>
      <c r="I23" s="22"/>
      <c r="J23" s="17" t="s">
        <v>56</v>
      </c>
      <c r="K23" s="17" t="s">
        <v>97</v>
      </c>
      <c r="L23" s="17" t="s">
        <v>56</v>
      </c>
      <c r="M23" s="17" t="s">
        <v>56</v>
      </c>
    </row>
    <row r="24" spans="1:13">
      <c r="A24" s="17" t="s">
        <v>49</v>
      </c>
      <c r="B24" s="17" t="s">
        <v>50</v>
      </c>
      <c r="C24" s="18" t="s">
        <v>68</v>
      </c>
      <c r="D24" s="29" t="s">
        <v>351</v>
      </c>
      <c r="E24" s="19" t="str">
        <f t="shared" si="0"/>
        <v>CODIGO DE TERMINAL DE LA TRANSACCION</v>
      </c>
      <c r="F24" s="19" t="s">
        <v>196</v>
      </c>
      <c r="G24" s="17" t="s">
        <v>56</v>
      </c>
      <c r="H24" s="17" t="s">
        <v>96</v>
      </c>
      <c r="I24" s="22"/>
      <c r="J24" s="17" t="s">
        <v>56</v>
      </c>
      <c r="K24" s="17" t="s">
        <v>97</v>
      </c>
      <c r="L24" s="17" t="s">
        <v>56</v>
      </c>
      <c r="M24" s="17" t="s">
        <v>56</v>
      </c>
    </row>
    <row r="25" spans="1:13">
      <c r="A25" s="17" t="s">
        <v>49</v>
      </c>
      <c r="B25" s="17" t="s">
        <v>50</v>
      </c>
      <c r="C25" s="18" t="s">
        <v>68</v>
      </c>
      <c r="D25" s="29" t="s">
        <v>389</v>
      </c>
      <c r="E25" s="19" t="str">
        <f t="shared" si="0"/>
        <v>INDICA SI EL CONTRACARGO TIENE UN DEVOLUCION 876 Y/O RETENCION 34</v>
      </c>
      <c r="F25" s="19" t="s">
        <v>390</v>
      </c>
      <c r="G25" s="17" t="s">
        <v>56</v>
      </c>
      <c r="H25" s="17" t="s">
        <v>96</v>
      </c>
      <c r="I25" s="22"/>
      <c r="J25" s="17" t="s">
        <v>56</v>
      </c>
      <c r="K25" s="17" t="s">
        <v>97</v>
      </c>
      <c r="L25" s="17" t="s">
        <v>56</v>
      </c>
      <c r="M25" s="17" t="s">
        <v>56</v>
      </c>
    </row>
    <row r="26" spans="1:13">
      <c r="A26" s="17" t="s">
        <v>49</v>
      </c>
      <c r="B26" s="17" t="s">
        <v>50</v>
      </c>
      <c r="C26" s="18" t="s">
        <v>68</v>
      </c>
      <c r="D26" s="29" t="s">
        <v>391</v>
      </c>
      <c r="E26" s="19" t="str">
        <f t="shared" si="0"/>
        <v>MODO DE ENTRADA</v>
      </c>
      <c r="F26" s="19" t="s">
        <v>187</v>
      </c>
      <c r="G26" s="17" t="s">
        <v>56</v>
      </c>
      <c r="H26" s="17" t="s">
        <v>100</v>
      </c>
      <c r="I26" s="22"/>
      <c r="J26" s="17" t="s">
        <v>56</v>
      </c>
      <c r="K26" s="17" t="s">
        <v>97</v>
      </c>
      <c r="L26" s="17" t="s">
        <v>56</v>
      </c>
      <c r="M26" s="17" t="s">
        <v>56</v>
      </c>
    </row>
    <row r="27" spans="1:13">
      <c r="A27" s="17" t="s">
        <v>49</v>
      </c>
      <c r="B27" s="17" t="s">
        <v>50</v>
      </c>
      <c r="C27" s="18" t="s">
        <v>68</v>
      </c>
      <c r="D27" s="29" t="s">
        <v>392</v>
      </c>
      <c r="E27" s="19" t="str">
        <f t="shared" si="0"/>
        <v>CORREO DEL CONTACTO OPERA</v>
      </c>
      <c r="F27" s="19" t="s">
        <v>295</v>
      </c>
      <c r="G27" s="17" t="s">
        <v>56</v>
      </c>
      <c r="H27" s="17" t="s">
        <v>100</v>
      </c>
      <c r="I27" s="22"/>
      <c r="J27" s="17" t="s">
        <v>56</v>
      </c>
      <c r="K27" s="17" t="s">
        <v>97</v>
      </c>
      <c r="L27" s="17" t="s">
        <v>56</v>
      </c>
      <c r="M27" s="17" t="s">
        <v>56</v>
      </c>
    </row>
    <row r="28" spans="1:13">
      <c r="A28" s="17" t="s">
        <v>49</v>
      </c>
      <c r="B28" s="17" t="s">
        <v>50</v>
      </c>
      <c r="C28" s="18" t="s">
        <v>68</v>
      </c>
      <c r="D28" s="29" t="s">
        <v>359</v>
      </c>
      <c r="E28" s="19" t="str">
        <f t="shared" si="0"/>
        <v>TIPO DE LINEA PARA LA ATENCIÓN</v>
      </c>
      <c r="F28" s="19" t="s">
        <v>393</v>
      </c>
      <c r="G28" s="17" t="s">
        <v>56</v>
      </c>
      <c r="H28" s="17" t="s">
        <v>100</v>
      </c>
      <c r="I28" s="22"/>
      <c r="J28" s="17" t="s">
        <v>56</v>
      </c>
      <c r="K28" s="17" t="s">
        <v>97</v>
      </c>
      <c r="L28" s="17" t="s">
        <v>56</v>
      </c>
      <c r="M28" s="17" t="s">
        <v>56</v>
      </c>
    </row>
    <row r="29" spans="1:13">
      <c r="A29" s="17" t="s">
        <v>49</v>
      </c>
      <c r="B29" s="17" t="s">
        <v>50</v>
      </c>
      <c r="C29" s="18" t="s">
        <v>68</v>
      </c>
      <c r="D29" s="29" t="s">
        <v>394</v>
      </c>
      <c r="E29" s="19" t="str">
        <f t="shared" si="0"/>
        <v>CORREO DEL ANALISTA ASIGNADO AL CONTRACARGO</v>
      </c>
      <c r="F29" s="19" t="s">
        <v>395</v>
      </c>
      <c r="G29" s="17" t="s">
        <v>56</v>
      </c>
      <c r="H29" s="17" t="s">
        <v>100</v>
      </c>
      <c r="I29" s="22"/>
      <c r="J29" s="17" t="s">
        <v>56</v>
      </c>
      <c r="K29" s="17" t="s">
        <v>97</v>
      </c>
      <c r="L29" s="17" t="s">
        <v>56</v>
      </c>
      <c r="M29" s="17" t="s">
        <v>56</v>
      </c>
    </row>
    <row r="30" spans="1:13">
      <c r="A30" s="17" t="s">
        <v>49</v>
      </c>
      <c r="B30" s="17" t="s">
        <v>50</v>
      </c>
      <c r="C30" s="18" t="s">
        <v>68</v>
      </c>
      <c r="D30" s="29" t="s">
        <v>361</v>
      </c>
      <c r="E30" s="19" t="str">
        <f t="shared" si="0"/>
        <v>FLAG DE CORREO DE NOTIFICACIÓN AL COMERCIO</v>
      </c>
      <c r="F30" s="19" t="s">
        <v>396</v>
      </c>
      <c r="G30" s="17" t="s">
        <v>56</v>
      </c>
      <c r="H30" s="17" t="s">
        <v>100</v>
      </c>
      <c r="I30" s="22"/>
      <c r="J30" s="17" t="s">
        <v>56</v>
      </c>
      <c r="K30" s="17" t="s">
        <v>97</v>
      </c>
      <c r="L30" s="17" t="s">
        <v>56</v>
      </c>
      <c r="M30" s="17" t="s">
        <v>56</v>
      </c>
    </row>
    <row r="31" spans="1:13">
      <c r="A31" s="17" t="s">
        <v>49</v>
      </c>
      <c r="B31" s="17" t="s">
        <v>50</v>
      </c>
      <c r="C31" s="18" t="s">
        <v>68</v>
      </c>
      <c r="D31" s="29" t="s">
        <v>355</v>
      </c>
      <c r="E31" s="19" t="str">
        <f t="shared" si="0"/>
        <v>RUC DEL COMERCIO</v>
      </c>
      <c r="F31" s="19" t="s">
        <v>397</v>
      </c>
      <c r="G31" s="17" t="s">
        <v>56</v>
      </c>
      <c r="H31" s="17" t="s">
        <v>100</v>
      </c>
      <c r="I31" s="22"/>
      <c r="J31" s="17" t="s">
        <v>56</v>
      </c>
      <c r="K31" s="17" t="s">
        <v>97</v>
      </c>
      <c r="L31" s="17" t="s">
        <v>56</v>
      </c>
      <c r="M31" s="17" t="s">
        <v>56</v>
      </c>
    </row>
    <row r="32" spans="1:13">
      <c r="A32" s="17" t="s">
        <v>49</v>
      </c>
      <c r="B32" s="17" t="s">
        <v>50</v>
      </c>
      <c r="C32" s="18" t="s">
        <v>68</v>
      </c>
      <c r="D32" s="19" t="s">
        <v>281</v>
      </c>
      <c r="E32" s="19" t="str">
        <f t="shared" si="0"/>
        <v>DATO DE AUDITORÍA: DESCRIPCIÓN DEL APLICATIVO ORIGEN DE LOS DATOS.</v>
      </c>
      <c r="F32" s="19" t="s">
        <v>282</v>
      </c>
      <c r="G32" s="17" t="s">
        <v>56</v>
      </c>
      <c r="H32" s="17" t="s">
        <v>100</v>
      </c>
      <c r="I32" s="22" t="s">
        <v>283</v>
      </c>
      <c r="J32" s="17" t="s">
        <v>56</v>
      </c>
      <c r="K32" s="17" t="s">
        <v>56</v>
      </c>
      <c r="L32" s="17" t="s">
        <v>56</v>
      </c>
      <c r="M32" s="17" t="s">
        <v>56</v>
      </c>
    </row>
    <row r="33" spans="1:13">
      <c r="A33" s="17" t="s">
        <v>49</v>
      </c>
      <c r="B33" s="17" t="s">
        <v>50</v>
      </c>
      <c r="C33" s="18" t="s">
        <v>68</v>
      </c>
      <c r="D33" s="19" t="s">
        <v>284</v>
      </c>
      <c r="E33" s="19" t="str">
        <f t="shared" si="0"/>
        <v>FECHA Y HORA DE INSERCIÓN DEL REGISTRO EN EL MODELO</v>
      </c>
      <c r="F33" s="19" t="s">
        <v>285</v>
      </c>
      <c r="G33" s="17" t="s">
        <v>56</v>
      </c>
      <c r="H33" s="17" t="s">
        <v>286</v>
      </c>
      <c r="I33" s="22" t="s">
        <v>287</v>
      </c>
      <c r="J33" s="17" t="s">
        <v>56</v>
      </c>
      <c r="K33" s="17" t="s">
        <v>56</v>
      </c>
      <c r="L33" s="17" t="s">
        <v>56</v>
      </c>
      <c r="M33" s="17" t="s">
        <v>56</v>
      </c>
    </row>
    <row r="34" spans="1:13">
      <c r="A34" s="17" t="s">
        <v>49</v>
      </c>
      <c r="B34" s="17" t="s">
        <v>50</v>
      </c>
      <c r="C34" s="18" t="s">
        <v>68</v>
      </c>
      <c r="D34" s="19" t="s">
        <v>288</v>
      </c>
      <c r="E34" s="19" t="str">
        <f t="shared" si="0"/>
        <v>USUARIO QUE CREA EL REGISTRO EN LA BD</v>
      </c>
      <c r="F34" s="19" t="s">
        <v>289</v>
      </c>
      <c r="G34" s="17" t="s">
        <v>56</v>
      </c>
      <c r="H34" s="17" t="s">
        <v>100</v>
      </c>
      <c r="I34" s="22" t="s">
        <v>258</v>
      </c>
      <c r="J34" s="17" t="s">
        <v>56</v>
      </c>
      <c r="K34" s="17" t="s">
        <v>56</v>
      </c>
      <c r="L34" s="17" t="s">
        <v>56</v>
      </c>
      <c r="M34" s="17" t="s">
        <v>56</v>
      </c>
    </row>
  </sheetData>
  <autoFilter ref="A2:M34" xr:uid="{43B8BE03-B52F-4C6B-A89B-93AA5438230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918DE4-4486-4471-8CC1-DF0FA14AA4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FCB7F921-B723-4C15-9B1B-F767409F20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Datos Sensibles</vt:lpstr>
      <vt:lpstr>Estructuras del Modelo</vt:lpstr>
      <vt:lpstr>dv_consolidacion_contracargo</vt:lpstr>
      <vt:lpstr>v_reporte_cc_primera_linea</vt:lpstr>
      <vt:lpstr>v_reporte_cc_tercera_linea</vt:lpstr>
      <vt:lpstr>v_reporte_cc_crm</vt:lpstr>
      <vt:lpstr>v_reporte_cc_cartas</vt:lpstr>
      <vt:lpstr>v_reporte_cc_cartas_x_comercio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2026-06-15T16:03:46Z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