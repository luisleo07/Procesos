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108 Reporte RPA_LINEA/Capa BI/"/>
    </mc:Choice>
  </mc:AlternateContent>
  <xr:revisionPtr revIDLastSave="2251" documentId="13_ncr:1_{64339764-64F7-4063-A0EA-2164A692546D}" xr6:coauthVersionLast="47" xr6:coauthVersionMax="47" xr10:uidLastSave="{DF0D9A0A-FBD5-4F53-A941-2AEBF101D14F}"/>
  <bookViews>
    <workbookView xWindow="-108" yWindow="-108" windowWidth="23256" windowHeight="12456" tabRatio="693" firstSheet="2" activeTab="3" xr2:uid="{00000000-000D-0000-FFFF-FFFF00000000}"/>
  </bookViews>
  <sheets>
    <sheet name="Identificación de fuentes" sheetId="2" state="hidden" r:id="rId1"/>
    <sheet name="Columnas por fuentes" sheetId="3" state="hidden" r:id="rId2"/>
    <sheet name="Estructuras del Modelo" sheetId="22" r:id="rId3"/>
    <sheet name="dv_consolidacion_contracargo" sheetId="24" r:id="rId4"/>
    <sheet name="Carga Empleado Flujo" sheetId="6" state="hidden" r:id="rId5"/>
    <sheet name="v_reporte_cc_primera_linea" sheetId="26" r:id="rId6"/>
    <sheet name="v_reporte_cc_tercera_linea" sheetId="27" r:id="rId7"/>
    <sheet name="v_reporte_cc_crm" sheetId="28" r:id="rId8"/>
    <sheet name="v_reporte_cc_cartas" sheetId="29" r:id="rId9"/>
    <sheet name="v_reporte_cc_cartas_x_comercio" sheetId="31" r:id="rId10"/>
    <sheet name="dv_bd_comercio_backup" sheetId="21" state="hidden" r:id="rId11"/>
    <sheet name="dependencias" sheetId="9" state="hidden" r:id="rId12"/>
    <sheet name="Capa Explotacion" sheetId="11" state="hidden" r:id="rId13"/>
  </sheets>
  <definedNames>
    <definedName name="_xlnm._FilterDatabase" localSheetId="3" hidden="1">dv_consolidacion_contracargo!$A$1:$G$73</definedName>
    <definedName name="_xlnm._FilterDatabase" localSheetId="8" hidden="1">v_reporte_cc_cartas!$A$1:$H$33</definedName>
    <definedName name="_xlnm._FilterDatabase" localSheetId="9" hidden="1">v_reporte_cc_cartas_x_comercio!$A$1:$H$33</definedName>
    <definedName name="_xlnm._FilterDatabase" localSheetId="7" hidden="1">v_reporte_cc_crm!$A$1:$F$51</definedName>
    <definedName name="_xlnm._FilterDatabase" localSheetId="5" hidden="1">v_reporte_cc_primera_linea!$A$1:$H$31</definedName>
    <definedName name="_xlnm._FilterDatabase" localSheetId="6" hidden="1">v_reporte_cc_tercera_linea!$A$1:$H$31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F38" i="28" l="1"/>
  <c r="F47" i="28"/>
  <c r="F46" i="28"/>
  <c r="F45" i="28"/>
  <c r="F44" i="28"/>
  <c r="F43" i="28"/>
  <c r="F42" i="28"/>
  <c r="F41" i="28"/>
  <c r="F39"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tc={D44E5DFF-4FC8-42FD-9BE3-F84F7BA258DF}</author>
  </authors>
  <commentList>
    <comment ref="B1" authorId="0" shapeId="0" xr:uid="{D0028ABF-1071-4BFB-81B7-61BC084741B5}">
      <text>
        <r>
          <rPr>
            <b/>
            <sz val="9"/>
            <color indexed="81"/>
            <rFont val="Tahoma"/>
            <family val="2"/>
          </rPr>
          <t>ANGELLO BRAVO:</t>
        </r>
        <r>
          <rPr>
            <sz val="9"/>
            <color indexed="81"/>
            <rFont val="Tahoma"/>
            <family val="2"/>
          </rPr>
          <t xml:space="preserve">
Tabla destino</t>
        </r>
      </text>
    </comment>
    <comment ref="C1" authorId="0" shapeId="0" xr:uid="{1543B17E-16A9-45E2-BA0A-782FE7AEF515}">
      <text>
        <r>
          <rPr>
            <b/>
            <sz val="9"/>
            <color indexed="81"/>
            <rFont val="Tahoma"/>
            <family val="2"/>
          </rPr>
          <t>ANGELLO BRAVO:</t>
        </r>
        <r>
          <rPr>
            <sz val="9"/>
            <color indexed="81"/>
            <rFont val="Tahoma"/>
            <family val="2"/>
          </rPr>
          <t xml:space="preserve">
Columna de la tabla destino</t>
        </r>
      </text>
    </comment>
    <comment ref="D1" authorId="0" shapeId="0" xr:uid="{07FBBBE8-F48F-405E-A7ED-1DDBF23E40E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E16AB12-6CBF-4AA6-905E-8FEC0FD2DF11}">
      <text>
        <r>
          <rPr>
            <b/>
            <sz val="9"/>
            <color indexed="81"/>
            <rFont val="Tahoma"/>
            <family val="2"/>
          </rPr>
          <t>ANGELLO BRAVO:</t>
        </r>
        <r>
          <rPr>
            <sz val="9"/>
            <color indexed="81"/>
            <rFont val="Tahoma"/>
            <family val="2"/>
          </rPr>
          <t xml:space="preserve">
Columna(s) de la(s) tabla(s) origen</t>
        </r>
      </text>
    </comment>
    <comment ref="F1" authorId="0" shapeId="0" xr:uid="{1A6132A7-DD0F-4A88-95E0-7FB1636F35E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G1" authorId="0" shapeId="0" xr:uid="{3DBC1502-84BA-46FE-862E-55C3505AA22D}">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C58" authorId="1" shapeId="0" xr:uid="{D44E5DFF-4FC8-42FD-9BE3-F84F7BA258DF}">
      <text>
        <t>[Comentario encadenado]
Su versión de Excel le permite leer este comentario encadenado; sin embargo, las ediciones que se apliquen se quitarán si el archivo se abre en una versión más reciente de Excel. Más información: https://go.microsoft.com/fwlink/?linkid=870924
Comentario:
    Es el equivalente al campo ”segmento” que usa Operaciones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EFE35BD5-B9BB-44D1-8D22-967B9139690D}">
      <text>
        <r>
          <rPr>
            <b/>
            <sz val="9"/>
            <color indexed="81"/>
            <rFont val="Tahoma"/>
            <family val="2"/>
          </rPr>
          <t>ANGELLO BRAVO:</t>
        </r>
        <r>
          <rPr>
            <sz val="9"/>
            <color indexed="81"/>
            <rFont val="Tahoma"/>
            <family val="2"/>
          </rPr>
          <t xml:space="preserve">
Tabla destino</t>
        </r>
      </text>
    </comment>
    <comment ref="C1" authorId="0" shapeId="0" xr:uid="{6719673E-A3AC-4E36-8294-177F937476A0}">
      <text>
        <r>
          <rPr>
            <b/>
            <sz val="9"/>
            <color indexed="81"/>
            <rFont val="Tahoma"/>
            <family val="2"/>
          </rPr>
          <t>ANGELLO BRAVO:</t>
        </r>
        <r>
          <rPr>
            <sz val="9"/>
            <color indexed="81"/>
            <rFont val="Tahoma"/>
            <family val="2"/>
          </rPr>
          <t xml:space="preserve">
Columna de la tabla destino</t>
        </r>
      </text>
    </comment>
    <comment ref="D1" authorId="0" shapeId="0" xr:uid="{03780FCA-3ECE-4C0C-94C2-34EE937C0BBC}">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E9D89B67-C486-4F0D-A5A6-E48859C9E1EB}">
      <text>
        <r>
          <rPr>
            <b/>
            <sz val="9"/>
            <color indexed="81"/>
            <rFont val="Tahoma"/>
            <family val="2"/>
          </rPr>
          <t>ANGELLO BRAVO:</t>
        </r>
        <r>
          <rPr>
            <sz val="9"/>
            <color indexed="81"/>
            <rFont val="Tahoma"/>
            <family val="2"/>
          </rPr>
          <t xml:space="preserve">
Columna(s) de la(s) tabla(s) origen</t>
        </r>
      </text>
    </comment>
    <comment ref="F1" authorId="0" shapeId="0" xr:uid="{A3CC0466-087F-4E4F-96DF-112DFF3FBDCA}">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G1" authorId="0" shapeId="0" xr:uid="{9646DBB5-ABA2-4CAA-9AB1-C9CC03B0ECBD}">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B4AF453C-42ED-4763-86D0-D3F15EBB6057}">
      <text>
        <r>
          <rPr>
            <b/>
            <sz val="9"/>
            <color indexed="81"/>
            <rFont val="Tahoma"/>
            <family val="2"/>
          </rPr>
          <t>ANGELLO BRAVO:</t>
        </r>
        <r>
          <rPr>
            <sz val="9"/>
            <color indexed="81"/>
            <rFont val="Tahoma"/>
            <family val="2"/>
          </rPr>
          <t xml:space="preserve">
Tabla destino</t>
        </r>
      </text>
    </comment>
    <comment ref="C1" authorId="0" shapeId="0" xr:uid="{A1D6F565-40C0-4030-8170-3892B6ED7A5A}">
      <text>
        <r>
          <rPr>
            <b/>
            <sz val="9"/>
            <color indexed="81"/>
            <rFont val="Tahoma"/>
            <family val="2"/>
          </rPr>
          <t>ANGELLO BRAVO:</t>
        </r>
        <r>
          <rPr>
            <sz val="9"/>
            <color indexed="81"/>
            <rFont val="Tahoma"/>
            <family val="2"/>
          </rPr>
          <t xml:space="preserve">
Columna de la tabla destino</t>
        </r>
      </text>
    </comment>
    <comment ref="D1" authorId="0" shapeId="0" xr:uid="{EE450AC3-2C76-49E5-92D9-77988CA45CB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171FD404-8321-4F7A-A60B-3BAA25D3E583}">
      <text>
        <r>
          <rPr>
            <b/>
            <sz val="9"/>
            <color indexed="81"/>
            <rFont val="Tahoma"/>
            <family val="2"/>
          </rPr>
          <t>ANGELLO BRAVO:</t>
        </r>
        <r>
          <rPr>
            <sz val="9"/>
            <color indexed="81"/>
            <rFont val="Tahoma"/>
            <family val="2"/>
          </rPr>
          <t xml:space="preserve">
Columna(s) de la(s) tabla(s) origen</t>
        </r>
      </text>
    </comment>
    <comment ref="F1" authorId="0" shapeId="0" xr:uid="{7F27C570-8673-497E-A3C8-69DA1BE8F0E0}">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G1" authorId="0" shapeId="0" xr:uid="{A59B5519-90CC-49A9-AC55-39F22C785A54}">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H1" authorId="0" shapeId="0" xr:uid="{A9BBB460-AAA4-496B-84A9-A6F966E66931}">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BFB5C458-F1DF-404E-8FEC-1B130DB48366}">
      <text>
        <r>
          <rPr>
            <b/>
            <sz val="9"/>
            <color indexed="81"/>
            <rFont val="Tahoma"/>
            <family val="2"/>
          </rPr>
          <t>ANGELLO BRAVO:</t>
        </r>
        <r>
          <rPr>
            <sz val="9"/>
            <color indexed="81"/>
            <rFont val="Tahoma"/>
            <family val="2"/>
          </rPr>
          <t xml:space="preserve">
Tabla destino</t>
        </r>
      </text>
    </comment>
    <comment ref="C1" authorId="0" shapeId="0" xr:uid="{6810CEDE-9457-4E2B-8C62-FCEF7CEBF4C0}">
      <text>
        <r>
          <rPr>
            <b/>
            <sz val="9"/>
            <color indexed="81"/>
            <rFont val="Tahoma"/>
            <family val="2"/>
          </rPr>
          <t>ANGELLO BRAVO:</t>
        </r>
        <r>
          <rPr>
            <sz val="9"/>
            <color indexed="81"/>
            <rFont val="Tahoma"/>
            <family val="2"/>
          </rPr>
          <t xml:space="preserve">
Columna de la tabla destino</t>
        </r>
      </text>
    </comment>
    <comment ref="D1" authorId="0" shapeId="0" xr:uid="{5804D1E0-A6F3-4D03-A498-520F7BCC3823}">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BD56E9B3-C56F-4518-AA49-6BC31DA33A22}">
      <text>
        <r>
          <rPr>
            <b/>
            <sz val="9"/>
            <color indexed="81"/>
            <rFont val="Tahoma"/>
            <family val="2"/>
          </rPr>
          <t>ANGELLO BRAVO:</t>
        </r>
        <r>
          <rPr>
            <sz val="9"/>
            <color indexed="81"/>
            <rFont val="Tahoma"/>
            <family val="2"/>
          </rPr>
          <t xml:space="preserve">
Columna(s) de la(s) tabla(s) origen</t>
        </r>
      </text>
    </comment>
    <comment ref="F1" authorId="0" shapeId="0" xr:uid="{6C90B2ED-B0B0-4A17-91B1-977CBE21B1AE}">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G1" authorId="0" shapeId="0" xr:uid="{184BDCC1-77CE-4D36-83CB-AF81C1E8D9A4}">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H1" authorId="0" shapeId="0" xr:uid="{B6A58FAF-B7DD-44FD-ADB3-F9B0597EAB0F}">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22E1804B-8EA2-402D-9580-1C9FE9DD5C4B}">
      <text>
        <r>
          <rPr>
            <b/>
            <sz val="9"/>
            <color indexed="81"/>
            <rFont val="Tahoma"/>
            <family val="2"/>
          </rPr>
          <t>ANGELLO BRAVO:</t>
        </r>
        <r>
          <rPr>
            <sz val="9"/>
            <color indexed="81"/>
            <rFont val="Tahoma"/>
            <family val="2"/>
          </rPr>
          <t xml:space="preserve">
Tabla destino</t>
        </r>
      </text>
    </comment>
    <comment ref="C1" authorId="0" shapeId="0" xr:uid="{FDA7303C-9F3C-466F-BA70-F20013C0CA46}">
      <text>
        <r>
          <rPr>
            <b/>
            <sz val="9"/>
            <color indexed="81"/>
            <rFont val="Tahoma"/>
            <family val="2"/>
          </rPr>
          <t>ANGELLO BRAVO:</t>
        </r>
        <r>
          <rPr>
            <sz val="9"/>
            <color indexed="81"/>
            <rFont val="Tahoma"/>
            <family val="2"/>
          </rPr>
          <t xml:space="preserve">
Columna de la tabla destino</t>
        </r>
      </text>
    </comment>
    <comment ref="D1" authorId="0" shapeId="0" xr:uid="{0E3D3719-6070-428A-91D3-82575945D61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F76BC327-AF19-4194-85C2-37438EF834E6}">
      <text>
        <r>
          <rPr>
            <b/>
            <sz val="9"/>
            <color indexed="81"/>
            <rFont val="Tahoma"/>
            <family val="2"/>
          </rPr>
          <t>ANGELLO BRAVO:</t>
        </r>
        <r>
          <rPr>
            <sz val="9"/>
            <color indexed="81"/>
            <rFont val="Tahoma"/>
            <family val="2"/>
          </rPr>
          <t xml:space="preserve">
Columna(s) de la(s) tabla(s) origen</t>
        </r>
      </text>
    </comment>
    <comment ref="F1" authorId="0" shapeId="0" xr:uid="{BC3C6A16-BC66-492B-844E-9A9C01EC9C88}">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G1" authorId="0" shapeId="0" xr:uid="{94141D0F-2615-4B99-A81B-46A8377A7FBE}">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H1" authorId="0" shapeId="0" xr:uid="{BB874F3E-9B70-4F16-8A7A-1DDF127ECE5D}">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C572D5CC-E680-4374-84C1-8E8E9D48D26D}">
      <text>
        <r>
          <rPr>
            <b/>
            <sz val="9"/>
            <color indexed="81"/>
            <rFont val="Tahoma"/>
            <family val="2"/>
          </rPr>
          <t>ANGELLO BRAVO:</t>
        </r>
        <r>
          <rPr>
            <sz val="9"/>
            <color indexed="81"/>
            <rFont val="Tahoma"/>
            <family val="2"/>
          </rPr>
          <t xml:space="preserve">
Tabla destino</t>
        </r>
      </text>
    </comment>
    <comment ref="C1" authorId="0" shapeId="0" xr:uid="{D6582388-A32D-4A70-BADC-818377FD0AF0}">
      <text>
        <r>
          <rPr>
            <b/>
            <sz val="9"/>
            <color indexed="81"/>
            <rFont val="Tahoma"/>
            <family val="2"/>
          </rPr>
          <t>ANGELLO BRAVO:</t>
        </r>
        <r>
          <rPr>
            <sz val="9"/>
            <color indexed="81"/>
            <rFont val="Tahoma"/>
            <family val="2"/>
          </rPr>
          <t xml:space="preserve">
Columna de la tabla destino</t>
        </r>
      </text>
    </comment>
    <comment ref="D1" authorId="0" shapeId="0" xr:uid="{EBD3D32E-E0CC-4C62-B3FF-46DE10658C90}">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9089876-4C43-4F0E-BAF4-F7D56FA058AB}">
      <text>
        <r>
          <rPr>
            <b/>
            <sz val="9"/>
            <color indexed="81"/>
            <rFont val="Tahoma"/>
            <family val="2"/>
          </rPr>
          <t>ANGELLO BRAVO:</t>
        </r>
        <r>
          <rPr>
            <sz val="9"/>
            <color indexed="81"/>
            <rFont val="Tahoma"/>
            <family val="2"/>
          </rPr>
          <t xml:space="preserve">
Columna(s) de la(s) tabla(s) origen</t>
        </r>
      </text>
    </comment>
    <comment ref="F1" authorId="0" shapeId="0" xr:uid="{EA93CDE0-86AB-4E67-A296-DE5C099F204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G1" authorId="0" shapeId="0" xr:uid="{D9D5984D-F484-454D-9033-80A524C2A1BD}">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H1" authorId="0" shapeId="0" xr:uid="{7329150F-25AB-4682-9D96-DE5FB34B1655}">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<sst xmlns="http://schemas.openxmlformats.org/spreadsheetml/2006/main" count="5790" uniqueCount="1369">
  <si>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</si>
  <si>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</si>
  <si>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</si>
  <si>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</si>
  <si>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</si>
  <si>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</si>
  <si>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</si>
  <si>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</si>
  <si>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</si>
  <si>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</si>
  <si>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</si>
  <si>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</si>
  <si>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</si>
  <si>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</si>
  <si>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</si>
  <si>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</si>
  <si>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</si>
  <si>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</si>
  <si>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</si>
  <si>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</si>
  <si>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</si>
  <si>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</si>
  <si>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</si>
  <si>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</si>
  <si>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</si>
  <si>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</si>
  <si>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</si>
  <si>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</si>
  <si>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</si>
  <si>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</si>
  <si>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</si>
  <si>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</si>
  <si>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</si>
  <si>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</si>
  <si>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</si>
  <si>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</si>
  <si>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</si>
  <si>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</si>
  <si>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</si>
  <si>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</si>
  <si>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</si>
  <si>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</si>
  <si>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</si>
  <si>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</si>
  <si>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</si>
  <si>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</si>
  <si>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</si>
  <si>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</si>
  <si>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</si>
  <si>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</si>
  <si>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</si>
  <si>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</si>
  <si>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</si>
  <si>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</si>
  <si>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</si>
  <si>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</si>
  <si>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</si>
  <si>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</si>
  <si>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</si>
  <si>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</si>
  <si>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</si>
  <si>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</si>
  <si>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</si>
  <si>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</si>
  <si>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</si>
  <si>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</si>
  <si>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</si>
  <si>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</si>
  <si>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</si>
  <si>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</si>
  <si>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</si>
  <si>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</si>
  <si>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</si>
  <si>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</si>
  <si>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</si>
  <si>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</si>
  <si>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</si>
  <si>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</si>
  <si>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</si>
  <si>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</si>
  <si>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</si>
  <si>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</si>
  <si>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</si>
  <si>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</si>
  <si>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</si>
  <si>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</si>
  <si>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</si>
  <si>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</si>
  <si>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</si>
  <si>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</si>
  <si>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</si>
  <si>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</si>
  <si>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</si>
  <si>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</si>
  <si>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</si>
  <si>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</si>
  <si>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</si>
  <si>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</si>
  <si>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</si>
  <si>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</si>
  <si>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</si>
  <si>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</si>
  <si>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</si>
  <si>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</si>
  <si>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</si>
  <si>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</si>
  <si>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</si>
  <si>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</si>
  <si>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</si>
  <si>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</si>
  <si>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</si>
  <si>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</si>
  <si>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</si>
  <si>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</si>
  <si>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</si>
  <si>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</si>
  <si>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</si>
  <si>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</si>
  <si>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</si>
  <si>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</si>
  <si>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</si>
  <si>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</si>
  <si>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</si>
  <si>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</si>
  <si>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</si>
  <si>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</si>
  <si>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</si>
  <si>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</si>
  <si>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</si>
  <si>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</si>
  <si>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</si>
  <si>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</si>
  <si>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</si>
  <si>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</si>
  <si>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</si>
  <si>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</si>
  <si>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</si>
  <si>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</si>
  <si>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</si>
  <si>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</si>
  <si>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</si>
  <si>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</si>
  <si>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</si>
  <si>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</si>
  <si>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</si>
  <si>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</si>
  <si>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</si>
  <si>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</si>
  <si>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</si>
  <si>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</si>
  <si>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</si>
  <si>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</si>
  <si>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</si>
  <si>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</si>
  <si>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</si>
  <si>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</si>
  <si>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</si>
  <si>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</si>
  <si>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</si>
  <si>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</si>
  <si>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</si>
  <si>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</si>
  <si>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</si>
  <si>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</si>
  <si>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</si>
  <si>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</si>
  <si>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</si>
  <si>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</si>
  <si>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</si>
  <si>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</si>
  <si>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</si>
  <si>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</si>
  <si>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</si>
  <si>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</si>
  <si>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</si>
  <si>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</si>
  <si>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</si>
  <si>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</si>
  <si>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</si>
  <si>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</si>
  <si>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</si>
  <si>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</si>
  <si>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</si>
  <si>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</si>
  <si>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</si>
  <si>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</si>
  <si>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</si>
  <si>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</si>
  <si>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</si>
  <si>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</si>
  <si>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</si>
  <si>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</si>
  <si>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</si>
  <si>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</si>
  <si>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</si>
  <si>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</si>
  <si>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</si>
  <si>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</si>
  <si>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</si>
  <si>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</si>
  <si>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</si>
  <si>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</si>
  <si>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</si>
  <si>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</si>
  <si>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</si>
  <si>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</si>
  <si>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</si>
  <si>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</si>
  <si>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</si>
  <si>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</si>
  <si>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</si>
  <si>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</si>
  <si>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</si>
  <si>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</si>
  <si>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</si>
  <si>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</si>
  <si>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</si>
  <si>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</si>
  <si>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</si>
  <si>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</si>
  <si>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</si>
  <si>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</si>
  <si>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</si>
  <si>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</si>
  <si>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</si>
  <si>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</si>
  <si>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</si>
  <si>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</si>
  <si>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</si>
  <si>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</si>
  <si>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</si>
  <si>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</si>
  <si>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</si>
  <si>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</si>
  <si>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</si>
  <si>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Technical Domain</t>
  </si>
  <si>
    <t>Technical Sub Domain</t>
  </si>
  <si>
    <t>Table</t>
  </si>
  <si>
    <t>Priority</t>
  </si>
  <si>
    <t>Load Strategy</t>
  </si>
  <si>
    <t>Load Frequency</t>
  </si>
  <si>
    <t>Big query Structure</t>
  </si>
  <si>
    <t>Owner</t>
  </si>
  <si>
    <t>Public</t>
  </si>
  <si>
    <t>Environment</t>
  </si>
  <si>
    <t>Zone</t>
  </si>
  <si>
    <t>Area Data Steward</t>
  </si>
  <si>
    <t>Org. Data Steward</t>
  </si>
  <si>
    <t>Corp. Data Steward</t>
  </si>
  <si>
    <t>Dominio del modelo de datos al cual pertenece la tabla</t>
  </si>
  <si>
    <t>Subdominio del modelo de datos al cual la tabla</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</si>
  <si>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</si>
  <si>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</si>
  <si>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</si>
  <si>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</si>
  <si>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</si>
  <si>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</si>
  <si>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</si>
  <si>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</si>
  <si>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Master, BI)</t>
  </si>
  <si>
    <t>Es el responsable a nivel de Área de la información contenida en la tabla.</t>
  </si>
  <si>
    <t>Es el responsable a nivel de Organización de la información contenida en la tabla.</t>
  </si>
  <si>
    <t>Es el responsable a nivel de Corporativo de la información contenida en la tabla.</t>
  </si>
  <si>
    <t>RIESGOS</t>
  </si>
  <si>
    <t>CONTRACARGOS</t>
  </si>
  <si>
    <t>dv_consolidacion_contracargo</t>
  </si>
  <si>
    <t>Tabla consolidada con los contracargos ingresados de las marcas Visa y Mastercard, donde se adicionaron campos criterios del negocio para determinar la Linea reponsables (L1: División del equipo de Contracargos que atiende principalmente contracargos por Fraude y L3: División del equipo de Contracargos que atiende contracargos por Servicios y Autorización.) y si se enviará correo masivo al comercio. Caso contrario lo enviará el analista manualmente.</t>
  </si>
  <si>
    <t>Última foto</t>
  </si>
  <si>
    <t>Diario</t>
  </si>
  <si>
    <t>mc2103@izipay.pe</t>
  </si>
  <si>
    <t>prod</t>
  </si>
  <si>
    <t>BI</t>
  </si>
  <si>
    <t>v_reporte_cc_primera_linea</t>
  </si>
  <si>
    <t>Vista que contiene los contracargos repartidos para Linea 1 del equipo de Contracargos. Línea 1 es una división del equipo de Contracargos que atiende principalmente contracargos por Fraude.</t>
  </si>
  <si>
    <t>Incremental
(Vista para generar el csv que se debe almacenar en ADLS:
adls_reportes/Reportes/Contracargos/CC Primera Linea/&lt;año&gt;/&lt;mes&gt;/&lt;archivo&gt;
SFTP:
mc0016/DATAMART/Prd/Reportes/Contracargos/CC Primera Linea/&lt;año&gt;/&lt;mes&gt;/&lt;archivo&gt;
, una vez generado  el archivo se debe eliminar la vista)</t>
  </si>
  <si>
    <t>v_reporte_cc_tercera_linea</t>
  </si>
  <si>
    <t>Vista que contiene los contracargos repartidos para Linea 3 del equipo de Contracargos. Línea 3 es una división del equipo de Contracargos que atiende contracargos por Servicios y Autorización.</t>
  </si>
  <si>
    <t>Incremental
(Vista para generar el csv que se debe almacenar en ADLS:
adls_reportes/Reportes/Contracargos/CC Tercera Linea/&lt;año&gt;/&lt;mes&gt;/&lt;archivo&gt;
SFTP:
mc0016/DATAMART/Prd/Reportes/Contracargos/CC Terca Linea/&lt;año&gt;/&lt;mes&gt;/&lt;archivo&gt;
, una vez generado  el archivo se debe eliminar la vista)</t>
  </si>
  <si>
    <t>v_reporte_cc_crm</t>
  </si>
  <si>
    <t>Tabla que contiene los nuevos contracargos del día para cargarlos a Salesforce</t>
  </si>
  <si>
    <t>Incremental
(Vista para generar el csv que se debe almacenar en ADLS:
adls_reportes/Reportes/Operaciones/CC CRM/&lt;año&gt;/&lt;mes&gt;/&lt;archivo&gt;
SFTP:
mc0016/DATAMART/Prd/Reportes/Operaciones/CC CRM/&lt;año&gt;/&lt;mes&gt;/&lt;archivo&gt;
, una vez generado  el archivo se debe eliminar la vista)</t>
  </si>
  <si>
    <t>v_reporte_cc_cartas</t>
  </si>
  <si>
    <t>Tabla que contiene la información de las cartas que se enviarán de forma masiva agrupadas por RUC</t>
  </si>
  <si>
    <t>Incremental
(Vista para generar el csv que se debe almacenar en ADLS:
adls_reportes/Reportes/Operaciones/CC Cartas/&lt;año&gt;/&lt;mes&gt;/&lt;archivo&gt;
SFTP:
mc0016/DATAMART/Prd/Reportes/Operaciones/CC Cartas/&lt;año&gt;/&lt;mes&gt;/&lt;archivo&gt;
, una vez generado  el archivo se debe eliminar la vista)</t>
  </si>
  <si>
    <t>v_reporte_cc_cartas_x_comercio</t>
  </si>
  <si>
    <t>Tabla que contiene la información de las cartas que se enviarán de forma masiva agrupadas por Comercio (comercios Intercorp no se pueden agrupar por ruc porque el correo destino es distinto)</t>
  </si>
  <si>
    <t>Incremental
(Vista para generar el csv que se debe almacenar en ADLS:
adls_reportes/Reportes/Operaciones/CC Cartas por Comercio/&lt;año&gt;/&lt;mes&gt;/&lt;archivo&gt;
SFTP:
mc0016/DATAMART/Prd/Reportes/Operaciones/CC Cartas por Comercio/&lt;año&gt;/&lt;mes&gt;/&lt;archivo&gt;
, una vez generado  el archivo se debe eliminar la vista)</t>
  </si>
  <si>
    <t>dataset</t>
  </si>
  <si>
    <t>target</t>
  </si>
  <si>
    <t>target_column</t>
  </si>
  <si>
    <t>source</t>
  </si>
  <si>
    <t>source_column</t>
  </si>
  <si>
    <t>transformation</t>
  </si>
  <si>
    <t>Comentarios</t>
  </si>
  <si>
    <t>bi_riesgo</t>
  </si>
  <si>
    <t>current_date("America/Lima")-1</t>
  </si>
  <si>
    <t>marca_tarjeta</t>
  </si>
  <si>
    <t>bi_riesgo.dv_contracargo_mastercard
master_risk.t_contracargo_visa_rol500</t>
  </si>
  <si>
    <t>select
'MASTERCARD' as marca_tarjeta
from bi_riesgo.dv_contracargo_mastercard
where cod_funcion in ('450','453')
union all
select 
'VISA' as marca_tarjeta
from master_risk.t_contracargo_visa_rol500
where descripcion_estado = 'DISPUTE FINANCIAL'</t>
  </si>
  <si>
    <t>juridisccion_trx</t>
  </si>
  <si>
    <t>tipo_intercambio
jurisdiction</t>
  </si>
  <si>
    <t>select
tipo_intercambio
from bi_riesgo.dv_contracargo_mastercard
where cod_funcion in ('450','453')
union all
select 
jurisdiction
from master_risk.t_contracargo_visa_rol500
where descripcion_estado = 'DISPUTE FINANCIAL'</t>
  </si>
  <si>
    <t>bin</t>
  </si>
  <si>
    <t>bin
tarjeta_enmascarada_alternativo/bin</t>
  </si>
  <si>
    <t>select
bin
from bi_riesgo.dv_contracargo_mastercard
where cod_funcion in ('450','453')
union all
select 
coalesce(left(tarjeta_enmascarada_alternativo,9),bin)
from master_risk.t_contracargo_visa_rol500
where a.descripcion_estado = 'DISPUTE FINANCIAL'</t>
  </si>
  <si>
    <t>Se cambió nombre y lógica de columna bin_6 a bin</t>
  </si>
  <si>
    <t>cuarteto</t>
  </si>
  <si>
    <t>tarjeta_enmascarada/tarjeta_enmascarada_alternativo</t>
  </si>
  <si>
    <t>select
right(tarjeta_enmascarada,4)
from bi_riesgo.dv_contracargo_mastercard
where cod_funcion in ('450','453')
union all
select 
coalesce(right(tarjeta_enmascarada_alternativo,4),right(tarjeta_enmascarada,4))
from master_risk.t_contracargo_visa_rol500
where descripcion_estado = 'DISPUTE FINANCIAL'</t>
  </si>
  <si>
    <t>Se cambió lógica</t>
  </si>
  <si>
    <t>bancor_emisor</t>
  </si>
  <si>
    <t>raw_dataentry_ecommerce.rt_gd_dim_bines
bi_riesgo.dv_contracargo_mastercard
master_risk.t_contracargo_visa_rol500</t>
  </si>
  <si>
    <t>bancoemisor
bin
bin/tarjeta_enmascarada_alternativo</t>
  </si>
  <si>
    <t>select
coalesce(upper(trim(b.bancoemisor)),'FORÁNEO')
from bi_riesgo.dv_contracargo_mastercard a
left join raw_dataentry_ecommerce.rt_gd_dim_bines b
on (left(a.bin,6) = trim(b.bin))
where a.cod_funcion in ('450','453')
union all
select 
coalesce(upper(trim(d.bancoemisor)),'FORÁNEO')
from master_risk.t_contracargo_visa_rol500 a
left join raw_dataentry_ecommerce.rt_gd_dim_bines d 
on (coalesce(left(a.bin,6),left(a.tarjeta_enmascarada_alternativo,6)) = trim(d.bin))
where a.descripcion_estado = 'DISPUTE FINANCIAL'</t>
  </si>
  <si>
    <t>fecha_contracargo</t>
  </si>
  <si>
    <t>fecha_ingreso
fecha_liquidacion</t>
  </si>
  <si>
    <t>select
fecha_ingreso
from bi_riesgo.dv_contracargo_mastercard
where cod_funcion in ('450','453')
union all
select 
fecha_liquidacion
from master_risk.t_contracargo_visa_rol500
where descripcion_estado = 'DISPUTE FINANCIAL'</t>
  </si>
  <si>
    <t>cod_ica_emisor</t>
  </si>
  <si>
    <t>bi_riesgo.dv_contracargo_mastercard</t>
  </si>
  <si>
    <t>select
cod_ica_emisor
from bi_riesgo.dv_contracargo_mastercard
where cod_funcion in ('450','453')</t>
  </si>
  <si>
    <t>cod_ica_adq</t>
  </si>
  <si>
    <t>select
cod_ica_adq
from bi_riesgo.dv_contracargo_mastercard
where cod_funcion in ('450','453')</t>
  </si>
  <si>
    <t>cod_mti</t>
  </si>
  <si>
    <t>select
cod_mti
from bi_riesgo.dv_contracargo_mastercard
where cod_funcion in ('450','453')</t>
  </si>
  <si>
    <t>cod_funcion</t>
  </si>
  <si>
    <t>cod_funcion
cod_caso_vrol</t>
  </si>
  <si>
    <t>select
cod_funcion
from bi_riesgo.dv_contracargo_mastercard
where cod_funcion in ('450','453')
union all
select 
case
when cod_caso_vrol like '%M%' then 'RDR'
else null
end
from master_risk.t_contracargo_visa_rol500
where descripcion_estado = 'DISPUTE FINANCIAL'</t>
  </si>
  <si>
    <t>tarjeta_enmascarada</t>
  </si>
  <si>
    <t>tarjeta_enmascarada
tarjeta_enmascarada/tarjeta_enmascarada_alternativo</t>
  </si>
  <si>
    <t>select
tarjeta_enmascarada
from bi_riesgo.dv_contracargo_mastercard
where cod_funcion in ('450','453')
union all
select 
coalesce(tarjeta_enmascarada_alternativo,tarjeta_enmascarada)
from master_risk.t_contracargo_visa_rol500
where descripcion_estado = 'DISPUTE FINANCIAL'</t>
  </si>
  <si>
    <t>cod_tipo_contracargo</t>
  </si>
  <si>
    <t>select
cod_tipo_contracargo
from bi_riesgo.dv_contracargo_mastercard
where cod_funcion in ('450','453')</t>
  </si>
  <si>
    <t>moneda_contracargo</t>
  </si>
  <si>
    <t>cod_moneda
moneda</t>
  </si>
  <si>
    <t>select
case 
when cod_moneda = 'SOL PERUANO' then 'PEN'
when cod_moneda = 'DOLAR ESTADOUNIDENSE' then 'USD'
end
from bi_riesgo.dv_contracargo_mastercard
where cod_funcion in ('450','453')
union all
select
case 
when moneda = 'SOL PERUANO' then 'PEN'
when moneda = 'DOLAR ESTADOUNIDENSE' then 'USD'
end
from master_risk.t_contracargo_visa_rol500
where descripcion_estado = 'DISPUTE FINANCIAL'</t>
  </si>
  <si>
    <t>mto_contracargo</t>
  </si>
  <si>
    <t>mto_contracargo
mto_venta</t>
  </si>
  <si>
    <t>select
mto_contracargo
from bi_riesgo.dv_contracargo_mastercard
where cod_funcion in ('450','453')
union all
select
mto_venta
from master_risk.t_contracargo_visa_rol500
where descripcion_estado = 'DISPUTE FINANCIAL'</t>
  </si>
  <si>
    <t>cod_autorizacion</t>
  </si>
  <si>
    <t>bi_riesgo.dv_contracargo_mastercard
bi_riesgo.dv_contracargo_liquidacion</t>
  </si>
  <si>
    <t>cod_autorizacion_trx
cod_autorizacion</t>
  </si>
  <si>
    <t>select
coalesce(b.cod_autorizacion,a.cod_autorizacion_trx)
from bi_riesgo.dv_contracargo_mastercard a
left join bi_riesgo.dv_contracargo_liquidacion b
on (a.nro_referencia_acq = b.arn_ard and a.tarjeta_enmascarada = b.tarjeta_enmascarada and a.cod_comercio = b.cod_comercio and b.cod_tipo_transaccion in ('76','77','78') and b.metodo_ingreso is not null)
where a.cod_funcion in ('450','453')
union all
select
b.cod_autorizacion
from master_risk.t_contracargo_visa_rol500 a
left join bi_riesgo.dv_contracargo_liquidacion b
on (a.arn_transaccion = b.arn_ard and a.tarjeta_enmascarada = b.tarjeta_enmascarada and b.cod_tipo_transaccion in ('76','77','78') and b.metodo_ingreso is not null)
where a.descripcion_estado = 'DISPUTE FINANCIAL'</t>
  </si>
  <si>
    <t>arn_ard</t>
  </si>
  <si>
    <t>nro_referencia_acq
arn_transaccion</t>
  </si>
  <si>
    <t>select
nro_referencia_acq
from bi_riesgo.dv_contracargo_mastercard a
where cod_funcion in ('450','453')
union all
select
arn_transaccion
from master_risk.t_contracargo_visa_rol500
where descripcion_estado = 'DISPUTE FINANCIAL'</t>
  </si>
  <si>
    <t>cod_comercio</t>
  </si>
  <si>
    <t>cod_comercio
cod_comercio</t>
  </si>
  <si>
    <t>select
coalesce(b.cod_comercio,a.cod_comercio)
from bi_riesgo.dv_contracargo_mastercard a
left join bi_riesgo.dv_contracargo_liquidacion b
on (a.nro_referencia_acq = b.arn_ard and a.tarjeta_enmascarada = b.tarjeta_enmascarada and a.cod_comercio = b.cod_comercio and b.cod_tipo_transaccion in ('76','77','78') and b.metodo_ingreso is not null)
where a.cod_funcion in ('450','453')
union all
select
b.cod_comercio
from master_risk.t_contracargo_visa_rol500 a
left join bi_riesgo.dv_contracargo_liquidacion b
on (a.arn_transaccion = b.arn_ard and a.tarjeta_enmascarada = b.tarjeta_enmascarada and b.cod_tipo_transaccion in ('76','77','78') and b.metodo_ingreso is not null)
where a.descripcion_estado = 'DISPUTE FINANCIAL'</t>
  </si>
  <si>
    <t>nom_comercio</t>
  </si>
  <si>
    <t>nom_comercio
nom_comercio</t>
  </si>
  <si>
    <t>select
b.nom_comercio
from bi_riesgo.dv_contracargo_mastercard a
left join bi_riesgo.dv_contracargo_liquidacion b
on (a.nro_referencia_acq = b.arn_ard and a.tarjeta_enmascarada = b.tarjeta_enmascarada and a.cod_comercio = b.cod_comercio and b.cod_tipo_transaccion in ('76','77','78') and b.metodo_ingreso is not null)
where a.cod_funcion in ('450','453')
union all
select
b.nom_comercio
from master_risk.t_contracargo_visa_rol500 a
left join bi_riesgo.dv_contracargo_liquidacion b
on (a.arn_transaccion = b.arn_ard and a.tarjeta_enmascarada = b.tarjeta_enmascarada and b.cod_tipo_transaccion in ('76','77','78') and b.metodo_ingreso is not null)
where a.descripcion_estado = 'DISPUTE FINANCIAL'</t>
  </si>
  <si>
    <t>nro_control_contracargo</t>
  </si>
  <si>
    <t>nro_control
num_caso_vrol</t>
  </si>
  <si>
    <t>select
nro_control
from bi_riesgo.dv_contracargo_mastercard
where cod_funcion in ('450','453')
union all
select
num_caso_vrol
from master_risk.t_contracargo_visa_rol500
where descripcion_estado = 'DISPUTE FINANCIAL'</t>
  </si>
  <si>
    <t>cod_motivo_contracargo</t>
  </si>
  <si>
    <t>cod_razon
cod_caso_vrol</t>
  </si>
  <si>
    <t>so</t>
  </si>
  <si>
    <t>categoria_motivo_contracargo</t>
  </si>
  <si>
    <t>master_data.c_motivo_contracargo</t>
  </si>
  <si>
    <t>select
b.categoria_motivo_contracargo
from bi_riesgo.dv_contracargo_mastercard a
left join master_data.c_motivo_contracargo b
on (a.cod_razon = b.cod_contracargo)
where a.cod_funcion in ('450','453')
union all
select
b.categoria_motivo_contracargo
from master_risk.t_contracargo_visa_rol500 a
left join master_data.c_motivo_contracargo b
on (replace(left(a.cod_caso_vrol, length(a.cod_caso_vrol) - 5), 'M', '') = b.cod_contracargo)
where a.descripcion_estado = 'DISPUTE FINANCIAL'</t>
  </si>
  <si>
    <t>pais_emisor</t>
  </si>
  <si>
    <t>select
pais_emisor
from bi_riesgo.dv_contracargo_mastercard
where cod_funcion in ('450','453')</t>
  </si>
  <si>
    <t>mensaje_emisor</t>
  </si>
  <si>
    <t>select
mensaje_emisor
from bi_riesgo.dv_contracargo_mastercard
where cod_funcion in ('450','453')</t>
  </si>
  <si>
    <t>estado_contracargo</t>
  </si>
  <si>
    <t>select
estado_contracargo
from bi_riesgo.dv_contracargo_mastercard
where cod_funcion in ('450','453')</t>
  </si>
  <si>
    <t>fecha_estado_contracargo</t>
  </si>
  <si>
    <t>select
fecha_estado_contracargo
from bi_riesgo.dv_contracargo_mastercard
where cod_funcion in ('450','453')</t>
  </si>
  <si>
    <t>cod_gestor</t>
  </si>
  <si>
    <t>select
cod_gestor
from bi_riesgo.dv_contracargo_mastercard
where cod_funcion in ('450','453')</t>
  </si>
  <si>
    <t>obs_regularizacion</t>
  </si>
  <si>
    <t>select
obs_regularizacion
from bi_riesgo.dv_contracargo_mastercard
where cod_funcion in ('450','453')</t>
  </si>
  <si>
    <t>ind_unicidad_contracargo</t>
  </si>
  <si>
    <t>ind_unicidad_contracargo
tipo_contracargo</t>
  </si>
  <si>
    <t>select
ind_unicidad_contracargo
from bi_riesgo.dv_contracargo_mastercard
where cod_funcion in ('450','453')
union all
select
tipo_contracargo
from master_risk.t_contracargo_visa_rol500
where descripcion_estado = 'DISPUTE FINANCIAL'</t>
  </si>
  <si>
    <t>fecha_trx</t>
  </si>
  <si>
    <t>master_risk.m_contracargo_devolucion
bi_riesgo.dv_contracargo_liquidacion</t>
  </si>
  <si>
    <t>fecha_trx
fecha_transaccion</t>
  </si>
  <si>
    <t>select
coalesce(b.fecha_trx, c.fecha_transaccion)
from bi_riesgo.dv_contracargo_mastercard a
left join (
select
    tarjeta_enmascarada,
    cod_comercio,
    ard,
    moneda,
    metodo_ingreso,
    max(fecha_trx) as fecha_trx,
    max(fecha_proceso) as fecha_proceso,
    sum(mto_venta_bruto) as mto_venta_bruto
from master_risk.m_contracargo_devolucion
where left(cod_tipo_trx,1) = '8'
  and left(arn,1) = '7'
  and left(bin,1) in ('4','2','5','3')
  group by all
) b
on (a.nro_referencia_acq = b.ard and a.tarjeta_enmascarada = b.tarjeta_enmascarada and a.cod_comercio = b.cod_comercio)
left join bi_riesgo.dv_contracargo_liquidacion c
on (a.nro_referencia_acq = c.arn_ard and a.tarjeta_enmascarada = c.tarjeta_enmascarada and a.cod_comercio = c.cod_comercio and c.cod_tipo_transaccion in ('76','77','78') and c.metodo_ingreso is not null)
where a.cod_funcion in ('450','453')
union all
select
b.fecha_transaccion
from master_risk.t_contracargo_visa_rol500 a
left join bi_riesgo.dv_contracargo_liquidacion b
on (a.arn_transaccion = b.arn_ard and a.tarjeta_enmascarada = b.tarjeta_enmascarada and b.cod_tipo_transaccion in ('76','77','78') and b.metodo_ingreso is not null)
where a.descripcion_estado = 'DISPUTE FINANCIAL'</t>
  </si>
  <si>
    <t>Se cambió lógica de pvc_id por tarjeta_enmascarada y bin_6 por bin</t>
  </si>
  <si>
    <t>fecha_proceso</t>
  </si>
  <si>
    <t>fecha_proceso
process_date</t>
  </si>
  <si>
    <t>select
coalesce(b.fecha_proceso, c.process_date)
from bi_riesgo.dv_contracargo_mastercard a
left join (
select
    tarjeta_enmascarada,
    cod_comercio,
    ard,
    moneda,
    metodo_ingreso,
    max(fecha_trx) as fecha_trx,
    max(fecha_proceso) as fecha_proceso,
    sum(mto_venta_bruto) as mto_venta_bruto
from master_risk.m_contracargo_devolucion
where left(cod_tipo_trx,1) = '8'
  and left(arn,1) = '7'
  and left(bin,1) in ('4','2','5','3')
  group by all
) b
on (a.nro_referencia_acq = b.ard and a.tarjeta_enmascarada = b.tarjeta_enmascarada and a.cod_comercio = b.cod_comercio)
left join bi_riesgo.dv_contracargo_liquidacion c
on (a.nro_referencia_acq = c.arn_ard and a.tarjeta_enmascarada = c.tarjeta_enmascarada and a.cod_comercio = c.cod_comercio and c.cod_tipo_transaccion in ('76','77','78') and c.metodo_ingreso is not null)
where a.cod_funcion in ('450','453')
union all
select
b.process_date
from master_risk.t_contracargo_visa_rol500 a
left join bi_riesgo.dv_contracargo_liquidacion b
on (a.arn_transaccion = b.arn_ard and a.tarjeta_enmascarada = b.tarjeta_enmascarada and b.cod_tipo_transaccion in ('76','77','78') and b.metodo_ingreso is not null)
where a.descripcion_estado = 'DISPUTE FINANCIAL'</t>
  </si>
  <si>
    <t>moneda_trx</t>
  </si>
  <si>
    <t>moneda
moneda</t>
  </si>
  <si>
    <t>select
coalesce(b.moneda, c.moneda)
from bi_riesgo.dv_contracargo_mastercard a
left join (
select
    tarjeta_enmascarada,
    cod_comercio,
    ard,
    moneda,
    metodo_ingreso,
    max(fecha_trx) as fecha_trx,
    max(fecha_proceso) as fecha_proceso,
    sum(mto_venta_bruto) as mto_venta_bruto
from master_risk.m_contracargo_devolucion
where left(cod_tipo_trx,1) = '8'
  and left(arn,1) = '7'
  and left(bin,1) in ('4','2','5','3')
  group by all
) b
on (a.nro_referencia_acq = b.ard and a.tarjeta_enmascarada = b.tarjeta_enmascarada and a.cod_comercio = b.cod_comercio)
left join bi_riesgo.dv_contracargo_liquidacion c
on (a.nro_referencia_acq = c.arn_ard and a.tarjeta_enmascarada = c.tarjeta_enmascarada and a.cod_comercio = c.cod_comercio and c.cod_tipo_transaccion in ('76','77','78') and c.metodo_ingreso is not null)
where a.cod_funcion in ('450','453')
union all
select
b.moneda
from master_risk.t_contracargo_visa_rol500 a
left join bi_riesgo.dv_contracargo_liquidacion b
on (a.arn_transaccion = b.arn_ard and a.tarjeta_enmascarada = b.tarjeta_enmascarada and b.cod_tipo_transaccion in ('76','77','78') and b.metodo_ingreso is not null)
where a.descripcion_estado = 'DISPUTE FINANCIAL'</t>
  </si>
  <si>
    <t>mto_trx</t>
  </si>
  <si>
    <t>mto_venta_bruto
mto_venta</t>
  </si>
  <si>
    <t>select
coalesce(b.mto_venta_bruto, c.mto_venta)
from bi_riesgo.dv_contracargo_mastercard a
left join (
select
    tarjeta_enmascarada,
    cod_comercio,
    ard,
    moneda,
    metodo_ingreso,
    max(fecha_trx) as fecha_trx,
    max(fecha_proceso) as fecha_proceso,
    sum(mto_venta_bruto) as mto_venta_bruto
from master_risk.m_contracargo_devolucion
where left(cod_tipo_trx,1) = '8'
  and left(arn,1) = '7'
  and left(bin,1) in ('4','2','5','3')
  group by all
) b
on (a.nro_referencia_acq = b.ard and a.tarjeta_enmascarada = b.tarjeta_enmascarada and a.cod_comercio = b.cod_comercio)
left join bi_riesgo.dv_contracargo_liquidacion c
on (a.nro_referencia_acq = c.arn_ard and a.tarjeta_enmascarada = c.tarjeta_enmascarada and a.cod_comercio = c.cod_comercio and c.cod_tipo_transaccion in ('76','77','78') and c.metodo_ingreso is not null)
where a.cod_funcion in ('450','453')
union all
select
b.mto_venta
from master_risk.t_contracargo_visa_rol500 a
left join bi_riesgo.dv_contracargo_liquidacion b
on (a.arn_transaccion = b.arn_ard and a.tarjeta_enmascarada = b.tarjeta_enmascarada and b.cod_tipo_transaccion in ('76','77','78') and b.metodo_ingreso is not null)
where a.descripcion_estado = 'DISPUTE FINANCIAL'</t>
  </si>
  <si>
    <t>metodo_ingreso</t>
  </si>
  <si>
    <t>metodo_ingreso
metodo_ingreso</t>
  </si>
  <si>
    <t>select
coalesce(b.metodo_ingreso, c.metodo_ingreso)
from bi_riesgo.dv_contracargo_mastercard a
left join (
select
    tarjeta_enmascarada,
    cod_comercio,
    ard,
    moneda,
    metodo_ingreso,
    max(fecha_trx) as fecha_trx,
    max(fecha_proceso) as fecha_proceso,
    sum(mto_venta_bruto) as mto_venta_bruto
from master_risk.m_contracargo_devolucion
where left(cod_tipo_trx,1) = '8'
  and left(arn,1) = '7'
  and left(bin,1) in ('4','2','5','3')
  group by all
) b
on (a.nro_referencia_acq = b.ard and a.tarjeta_enmascarada = b.tarjeta_enmascarada and a.cod_comercio = b.cod_comercio)
left join bi_riesgo.dv_contracargo_liquidacion c
on (a.nro_referencia_acq = c.arn_ard and a.tarjeta_enmascarada = c.tarjeta_enmascarada and a.cod_comercio = c.cod_comercio and c.cod_tipo_transaccion in ('76','77','78') and c.metodo_ingreso is not null)
where a.cod_funcion in ('450','453')
union all
select
b.metodo_ingreso
from master_risk.t_contracargo_visa_rol500 a
left join bi_riesgo.dv_contracargo_liquidacion b
on (a.arn_transaccion = b.arn_ard and a.tarjeta_enmascarada = b.tarjeta_enmascarada and b.cod_tipo_transaccion in ('76','77','78') and b.metodo_ingreso is not null)
where a.descripcion_estado = 'DISPUTE FINANCIAL'</t>
  </si>
  <si>
    <t>cod_respuesta_ecommerce</t>
  </si>
  <si>
    <t>bi_riesgo.dv_contracargo_liquidacion</t>
  </si>
  <si>
    <t>select
c.cod_respuesta_ecommerce
from bi_riesgo.dv_contracargo_mastercard a
left join bi_riesgo.dv_contracargo_liquidacion c
on (a.nro_referencia_acq = c.arn_ard and a.tarjeta_enmascarada = c.tarjeta_enmascarada and a.cod_comercio = c.cod_comercio and c.cod_tipo_transaccion in ('76','77','78') and c.metodo_ingreso is not null)
where a.cod_funcion in ('450','453')
union all
select
b.cod_respuesta_ecommerce
from master_risk.t_contracargo_visa_rol500 a
left join bi_riesgo.dv_contracargo_liquidacion b
on (a.arn_transaccion = b.arn_ard and a.tarjeta_enmascarada = b.tarjeta_enmascarada and b.cod_tipo_transaccion in ('76','77','78') and b.metodo_ingreso is not null)
where a.descripcion_estado = 'DISPUTE FINANCIAL'</t>
  </si>
  <si>
    <t>Se cambió lógica de pvc_id por tarjeta_enmascarada</t>
  </si>
  <si>
    <t>voucher</t>
  </si>
  <si>
    <t>select
c.voucher
from bi_riesgo.dv_contracargo_mastercard a
left join bi_riesgo.dv_contracargo_liquidacion c
on (a.nro_referencia_acq = c.arn_ard and a.tarjeta_enmascarada = c.tarjeta_enmascarada and a.cod_comercio = c.cod_comercio and c.cod_tipo_transaccion in ('76','77','78') and c.metodo_ingreso is not null)
where a.cod_funcion in ('450','453')
union all
select
b.voucher
from master_risk.t_contracargo_visa_rol500 a
left join bi_riesgo.dv_contracargo_liquidacion b
on (a.arn_transaccion = b.arn_ard and a.tarjeta_enmascarada = b.tarjeta_enmascarada and b.cod_tipo_transaccion in ('76','77','78') and b.metodo_ingreso is not null)
where a.descripcion_estado = 'DISPUTE FINANCIAL'</t>
  </si>
  <si>
    <t>cod_terminal</t>
  </si>
  <si>
    <t>select
c.cod_terminal
from bi_riesgo.dv_contracargo_mastercard a
left join bi_riesgo.dv_contracargo_liquidacion c
on (a.nro_referencia_acq = c.arn_ard and a.tarjeta_enmascarada = c.tarjeta_enmascarada and a.cod_comercio = c.cod_comercio and c.cod_tipo_transaccion in ('76','77','78') and c.metodo_ingreso is not null)
where a.cod_funcion in ('450','453')
union all
select
b.cod_terminal
from master_risk.t_contracargo_visa_rol500 a
left join bi_riesgo.dv_contracargo_liquidacion b
on (a.arn_transaccion = b.arn_ard and a.tarjeta_enmascarada = b.tarjeta_enmascarada and b.cod_tipo_transaccion in ('76','77','78') and b.metodo_ingreso is not null)
where a.descripcion_estado = 'DISPUTE FINANCIAL'</t>
  </si>
  <si>
    <t>referencia</t>
  </si>
  <si>
    <t>select
c.referencia
from bi_riesgo.dv_contracargo_mastercard a
left join bi_riesgo.dv_contracargo_liquidacion c
on (a.nro_referencia_acq = c.arn_ard and a.tarjeta_enmascarada = c.tarjeta_enmascarada and a.cod_comercio = c.cod_comercio and c.cod_tipo_transaccion in ('76','77','78') and c.metodo_ingreso is not null)
where a.cod_funcion in ('450','453')
union all
select
b.referencia
from master_risk.t_contracargo_visa_rol500 a
left join bi_riesgo.dv_contracargo_liquidacion b
on (a.arn_transaccion = b.arn_ard and a.tarjeta_enmascarada = b.tarjeta_enmascarada and b.cod_tipo_transaccion in ('76','77','78') and b.metodo_ingreso is not null)
where a.descripcion_estado = 'DISPUTE FINANCIAL'</t>
  </si>
  <si>
    <t>fecha_retencion</t>
  </si>
  <si>
    <t>master_risk.m_contracargo_devolucion</t>
  </si>
  <si>
    <t>select
b.fecha_retencion
from bi_riesgo.dv_contracargo_mastercard a
left join (
select
    tarjeta_enmascarada,
    cod_comercio,
	case
        when cod_comercio = '8053722' and cod_autorizacion = '007478' then '74357044196003029300035'
        when cod_comercio = '5511724' and cod_autorizacion = '568256' then '75301504199001678800010'
        when cod_comercio = '8575202' and cod_autorizacion = '40673z' then '75301504026004971600011'
        when cod_comercio = '8740135' and cod_autorizacion = '015375' then '75301503170000119000011'
        when cod_comercio = '8327168' and cod_autorizacion = 'nvfsav' then '75301503317002570900030'
        when cod_comercio = '5521923' and cod_autorizacion = '456219' then '75301503348002376800015'
        when cod_comercio = '5511724' and cod_autorizacion = '983363' then '75301503301003287500012'
        when cod_comercio = '5511724' and cod_autorizacion = '593607' then '75301503301003287500020'
        when cod_comercio = '8905855' and cod_autorizacion = '476773' then '75301503145002633200012'
        when cod_comercio = '8810629' and cod_autorizacion = '056640' then '75301503193002803300023'
        when cod_comercio = '8810629' and cod_autorizacion = '407435' then '75301503192003220500014'
        when cod_comercio = '5487188' and cod_autorizacion = '039746' then '75301503192000527400013'
        when cod_comercio = '5078336' and cod_autorizacion = 'fzg5gb' then '75301502244006759400019'
        when cod_comercio = '5078336' and cod_autorizacion = 'bb1rn6' then '75301502244006759400027'
        when cod_comercio = '2103192' and cod_autorizacion = '462357' then '74357041361005169400108'
        when cod_comercio = '1782380' and cod_autorizacion = '098487' then '75301502145005542200033'
        when cod_comercio = '2518287' and cod_autorizacion = '673550' then '74357042234005718000055'
        when cod_comercio = '8455141' and cod_autorizacion = '049716' then '75301502012006716200205'
        else ard
    end as ard,
	cod_autorizacion,
    moneda,
    max(fecha_proceso) as fecha_retencion,
    sum(mto_venta_bruto) as importetotaltrx
from master_risk.m_contracargo_devolucion
where cod_tipo_trx = '34'
  and left(bin,1) in ('4','2','5','3')
group by all
) b
on (a.nro_referencia_acq = b.ard and a.tarjeta_enmascarada = b.tarjeta_enmascarada and a.cod_comercio = b.cod_comercio)
where a.cod_funcion in ('450','453')
union all
select
b.fecha_retencion
from master_risk.t_contracargo_visa_rol500 a
left join (
select
    tarjeta_enmascarada,
    cod_comercio,
	case
        when cod_comercio = '8053722' and cod_autorizacion = '007478' then '74357044196003029300035'
        when cod_comercio = '5511724' and cod_autorizacion = '568256' then '75301504199001678800010'
        when cod_comercio = '8575202' and cod_autorizacion = '40673z' then '75301504026004971600011'
        when cod_comercio = '8740135' and cod_autorizacion = '015375' then '75301503170000119000011'
        when cod_comercio = '8327168' and cod_autorizacion = 'nvfsav' then '75301503317002570900030'
        when cod_comercio = '5521923' and cod_autorizacion = '456219' then '75301503348002376800015'
        when cod_comercio = '5511724' and cod_autorizacion = '983363' then '75301503301003287500012'
        when cod_comercio = '5511724' and cod_autorizacion = '593607' then '75301503301003287500020'
        when cod_comercio = '8905855' and cod_autorizacion = '476773' then '75301503145002633200012'
        when cod_comercio = '8810629' and cod_autorizacion = '056640' then '75301503193002803300023'
        when cod_comercio = '8810629' and cod_autorizacion = '407435' then '75301503192003220500014'
        when cod_comercio = '5487188' and cod_autorizacion = '039746' then '75301503192000527400013'
        when cod_comercio = '5078336' and cod_autorizacion = 'fzg5gb' then '75301502244006759400019'
        when cod_comercio = '5078336' and cod_autorizacion = 'bb1rn6' then '75301502244006759400027'
        when cod_comercio = '2103192' and cod_autorizacion = '462357' then '74357041361005169400108'
        when cod_comercio = '1782380' and cod_autorizacion = '098487' then '75301502145005542200033'
        when cod_comercio = '2518287' and cod_autorizacion = '673550' then '74357042234005718000055'
        when cod_comercio = '8455141' and cod_autorizacion = '049716' then '75301502012006716200205'
        else ard
    end as ard,
	cod_autorizacion,
    moneda,
    max(fecha_proceso) as fecha_retencion,
    sum(mto_venta_bruto) as importetotaltrx
from master_risk.m_contracargo_devolucion
where cod_tipo_trx = '34'
  and left(bin,1) in ('4','2','5','3')
group by all
) b
on (a.arn_transaccion = b.ard and a.tarjeta_enmascarada = b.tarjeta_enmascarada)
where a.descripcion_estado = 'DISPUTE FINANCIAL'</t>
  </si>
  <si>
    <t>moneda_retencion</t>
  </si>
  <si>
    <t>moneda</t>
  </si>
  <si>
    <t>select
b.moneda
from bi_riesgo.dv_contracargo_mastercard a
left join (
select
    tarjeta_enmascarada,
    cod_comercio,
	case
        when cod_comercio = '8053722' and cod_autorizacion = '007478' then '74357044196003029300035'
        when cod_comercio = '5511724' and cod_autorizacion = '568256' then '75301504199001678800010'
        when cod_comercio = '8575202' and cod_autorizacion = '40673z' then '75301504026004971600011'
        when cod_comercio = '8740135' and cod_autorizacion = '015375' then '75301503170000119000011'
        when cod_comercio = '8327168' and cod_autorizacion = 'nvfsav' then '75301503317002570900030'
        when cod_comercio = '5521923' and cod_autorizacion = '456219' then '75301503348002376800015'
        when cod_comercio = '5511724' and cod_autorizacion = '983363' then '75301503301003287500012'
        when cod_comercio = '5511724' and cod_autorizacion = '593607' then '75301503301003287500020'
        when cod_comercio = '8905855' and cod_autorizacion = '476773' then '75301503145002633200012'
        when cod_comercio = '8810629' and cod_autorizacion = '056640' then '75301503193002803300023'
        when cod_comercio = '8810629' and cod_autorizacion = '407435' then '75301503192003220500014'
        when cod_comercio = '5487188' and cod_autorizacion = '039746' then '75301503192000527400013'
        when cod_comercio = '5078336' and cod_autorizacion = 'fzg5gb' then '75301502244006759400019'
        when cod_comercio = '5078336' and cod_autorizacion = 'bb1rn6' then '75301502244006759400027'
        when cod_comercio = '2103192' and cod_autorizacion = '462357' then '74357041361005169400108'
        when cod_comercio = '1782380' and cod_autorizacion = '098487' then '75301502145005542200033'
        when cod_comercio = '2518287' and cod_autorizacion = '673550' then '74357042234005718000055'
        when cod_comercio = '8455141' and cod_autorizacion = '049716' then '75301502012006716200205'
        else ard
    end as ard,
	cod_autorizacion,
    moneda,
    max(fecha_proceso) as fecha_retencion,
    sum(mto_venta_bruto) as importetotaltrx
from master_risk.m_contracargo_devolucion
where cod_tipo_trx = '34'
  and left(bin,1) in ('4','2','5','3')
group by all
) b
on (a.nro_referencia_acq = b.ard and a.tarjeta_enmascarada = b.tarjeta_enmascarada and a.cod_comercio = b.cod_comercio)
where a.cod_funcion in ('450','453')
union all
select
b.moneda
from master_risk.t_contracargo_visa_rol500 a
left join (
select
    tarjeta_enmascarada,
    cod_comercio,
	case
        when cod_comercio = '8053722' and cod_autorizacion = '007478' then '74357044196003029300035'
        when cod_comercio = '5511724' and cod_autorizacion = '568256' then '75301504199001678800010'
        when cod_comercio = '8575202' and cod_autorizacion = '40673z' then '75301504026004971600011'
        when cod_comercio = '8740135' and cod_autorizacion = '015375' then '75301503170000119000011'
        when cod_comercio = '8327168' and cod_autorizacion = 'nvfsav' then '75301503317002570900030'
        when cod_comercio = '5521923' and cod_autorizacion = '456219' then '75301503348002376800015'
        when cod_comercio = '5511724' and cod_autorizacion = '983363' then '75301503301003287500012'
        when cod_comercio = '5511724' and cod_autorizacion = '593607' then '75301503301003287500020'
        when cod_comercio = '8905855' and cod_autorizacion = '476773' then '75301503145002633200012'
        when cod_comercio = '8810629' and cod_autorizacion = '056640' then '75301503193002803300023'
        when cod_comercio = '8810629' and cod_autorizacion = '407435' then '75301503192003220500014'
        when cod_comercio = '5487188' and cod_autorizacion = '039746' then '75301503192000527400013'
        when cod_comercio = '5078336' and cod_autorizacion = 'fzg5gb' then '75301502244006759400019'
        when cod_comercio = '5078336' and cod_autorizacion = 'bb1rn6' then '75301502244006759400027'
        when cod_comercio = '2103192' and cod_autorizacion = '462357' then '74357041361005169400108'
        when cod_comercio = '1782380' and cod_autorizacion = '098487' then '75301502145005542200033'
        when cod_comercio = '2518287' and cod_autorizacion = '673550' then '74357042234005718000055'
        when cod_comercio = '8455141' and cod_autorizacion = '049716' then '75301502012006716200205'
        else ard
    end as ard,
	cod_autorizacion,
    moneda,
    max(fecha_proceso) as fecha_retencion,
    sum(mto_venta_bruto) as importetotaltrx
from master_risk.m_contracargo_devolucion
where cod_tipo_trx = '34'
  and left(bin,1) in ('4','2','5','3')
group by all
) b
on (a.arn_transaccion = b.ard and a.tarjeta_enmascarada = b.tarjeta_enmascarada)
where a.descripcion_estado = 'DISPUTE FINANCIAL'</t>
  </si>
  <si>
    <t>mto_retencion</t>
  </si>
  <si>
    <t>importetotaltrx</t>
  </si>
  <si>
    <t>select
b.importetotaltrx
from bi_riesgo.dv_contracargo_mastercard a
left join (
select
    tarjeta_enmascarada,
    cod_comercio,
	case
        when cod_comercio = '8053722' and cod_autorizacion = '007478' then '74357044196003029300035'
        when cod_comercio = '5511724' and cod_autorizacion = '568256' then '75301504199001678800010'
        when cod_comercio = '8575202' and cod_autorizacion = '40673z' then '75301504026004971600011'
        when cod_comercio = '8740135' and cod_autorizacion = '015375' then '75301503170000119000011'
        when cod_comercio = '8327168' and cod_autorizacion = 'nvfsav' then '75301503317002570900030'
        when cod_comercio = '5521923' and cod_autorizacion = '456219' then '75301503348002376800015'
        when cod_comercio = '5511724' and cod_autorizacion = '983363' then '75301503301003287500012'
        when cod_comercio = '5511724' and cod_autorizacion = '593607' then '75301503301003287500020'
        when cod_comercio = '8905855' and cod_autorizacion = '476773' then '75301503145002633200012'
        when cod_comercio = '8810629' and cod_autorizacion = '056640' then '75301503193002803300023'
        when cod_comercio = '8810629' and cod_autorizacion = '407435' then '75301503192003220500014'
        when cod_comercio = '5487188' and cod_autorizacion = '039746' then '75301503192000527400013'
        when cod_comercio = '5078336' and cod_autorizacion = 'fzg5gb' then '75301502244006759400019'
        when cod_comercio = '5078336' and cod_autorizacion = 'bb1rn6' then '75301502244006759400027'
        when cod_comercio = '2103192' and cod_autorizacion = '462357' then '74357041361005169400108'
        when cod_comercio = '1782380' and cod_autorizacion = '098487' then '75301502145005542200033'
        when cod_comercio = '2518287' and cod_autorizacion = '673550' then '74357042234005718000055'
        when cod_comercio = '8455141' and cod_autorizacion = '049716' then '75301502012006716200205'
        else ard
    end as ard,
	cod_autorizacion,
    moneda,
    max(fecha_proceso) as fecha_retencion,
    sum(mto_venta_bruto) as importetotaltrx
from master_risk.m_contracargo_devolucion
where cod_tipo_trx = '34'
  and left(bin,1) in ('4','2','5','3')
group by all
) b
on (a.nro_referencia_acq = b.ard and a.tarjeta_enmascarada = b.tarjeta_enmascarada and a.cod_comercio = b.cod_comercio)
where a.cod_funcion in ('450','453')
union all
select
b.importetotaltrx
from master_risk.t_contracargo_visa_rol500 a
left join (
select
    tarjeta_enmascarada,
    cod_comercio,
	case
        when cod_comercio = '8053722' and cod_autorizacion = '007478' then '74357044196003029300035'
        when cod_comercio = '5511724' and cod_autorizacion = '568256' then '75301504199001678800010'
        when cod_comercio = '8575202' and cod_autorizacion = '40673z' then '75301504026004971600011'
        when cod_comercio = '8740135' and cod_autorizacion = '015375' then '75301503170000119000011'
        when cod_comercio = '8327168' and cod_autorizacion = 'nvfsav' then '75301503317002570900030'
        when cod_comercio = '5521923' and cod_autorizacion = '456219' then '75301503348002376800015'
        when cod_comercio = '5511724' and cod_autorizacion = '983363' then '75301503301003287500012'
        when cod_comercio = '5511724' and cod_autorizacion = '593607' then '75301503301003287500020'
        when cod_comercio = '8905855' and cod_autorizacion = '476773' then '75301503145002633200012'
        when cod_comercio = '8810629' and cod_autorizacion = '056640' then '75301503193002803300023'
        when cod_comercio = '8810629' and cod_autorizacion = '407435' then '75301503192003220500014'
        when cod_comercio = '5487188' and cod_autorizacion = '039746' then '75301503192000527400013'
        when cod_comercio = '5078336' and cod_autorizacion = 'fzg5gb' then '75301502244006759400019'
        when cod_comercio = '5078336' and cod_autorizacion = 'bb1rn6' then '75301502244006759400027'
        when cod_comercio = '2103192' and cod_autorizacion = '462357' then '74357041361005169400108'
        when cod_comercio = '1782380' and cod_autorizacion = '098487' then '75301502145005542200033'
        when cod_comercio = '2518287' and cod_autorizacion = '673550' then '74357042234005718000055'
        when cod_comercio = '8455141' and cod_autorizacion = '049716' then '75301502012006716200205'
        else ard
    end as ard,
	cod_autorizacion,
    moneda,
    max(fecha_proceso) as fecha_retencion,
    sum(mto_venta_bruto) as importetotaltrx
from master_risk.m_contracargo_devolucion
where cod_tipo_trx = '34'
  and left(bin,1) in ('4','2','5','3')
group by all
) b
on (a.arn_transaccion = b.ard and a.tarjeta_enmascarada = b.tarjeta_enmascarada)
where a.descripcion_estado = 'DISPUTE FINANCIAL'</t>
  </si>
  <si>
    <t>fecha_devolucion</t>
  </si>
  <si>
    <t>select
b.fecha_proceso
from bi_riesgo.dv_contracargo_mastercard a
left join (
select
    tarjeta_enmascarada,
    cod_comercio,
    ard,
    moneda,
    metodo_ingreso,
    max(fecha_trx) as fecha_trx,
    max(fecha_proceso) as fecha_proceso,
    sum(mto_venta_bruto) as mto_venta_bruto
from master_risk.m_contracargo_devolucion
where left(cod_tipo_trx,1) = '8'
  and left(arn,1) = '7'
  and left(bin,1) in ('4','2','5','3')
  group by all
) b
on (a.nro_referencia_acq = b.ard and a.tarjeta_enmascarada = b.tarjeta_enmascarada and a.cod_comercio = b.cod_comercio)
where a.cod_funcion in ('450','453')
union all
select
b.fecha_proceso
from master_risk.t_contracargo_visa_rol500 a
left join (
select
    tarjeta_enmascarada,
    cod_comercio,
    ard,
    moneda,
    metodo_ingreso,
    max(fecha_trx) as fecha_trx,
    max(fecha_proceso) as fecha_proceso,
    sum(mto_venta_bruto) as mto_venta_bruto
from master_risk.m_contracargo_devolucion
where left(cod_tipo_trx,1) = '8'
  and left(arn,1) = '7'
  and left(bin,1) in ('4','2','5','3')
  group by all
) b
on (a.nro_referencia_acq = b.ard and a.tarjeta_enmascarada = b.tarjeta_enmascarada)
where a.descripcion_estado = 'DISPUTE FINANCIAL'</t>
  </si>
  <si>
    <t>moneda_devolucion</t>
  </si>
  <si>
    <t>select
b.moneda
from bi_riesgo.dv_contracargo_mastercard a
left join (
select
    tarjeta_enmascarada,
    cod_comercio,
    ard,
    moneda,
    metodo_ingreso,
    max(fecha_trx) as fecha_trx,
    max(fecha_proceso) as fecha_proceso,
    sum(mto_venta_bruto) as mto_venta_bruto
from master_risk.m_contracargo_devolucion
where left(cod_tipo_trx,1) = '8'
  and left(arn,1) = '7'
  and left(bin,1) in ('4','2','5','3')
  group by all
) b
on (a.nro_referencia_acq = b.ard and a.tarjeta_enmascarada = b.tarjeta_enmascarada and a.cod_comercio = b.cod_comercio)
where a.cod_funcion in ('450','453')
union all
select
b.moneda
from master_risk.t_contracargo_visa_rol500 a
left join (
select
    tarjeta_enmascarada,
    cod_comercio,
    ard,
    moneda,
    metodo_ingreso,
    max(fecha_trx) as fecha_trx,
    max(fecha_proceso) as fecha_proceso,
    sum(mto_venta_bruto) as mto_venta_bruto
from master_risk.m_contracargo_devolucion
where left(cod_tipo_trx,1) = '8'
  and left(arn,1) = '7'
  and left(bin,1) in ('4','2','5','3')
  group by all
) b
on (a.nro_referencia_acq = b.ard and a.tarjeta_enmascarada = b.tarjeta_enmascarada)
where a.descripcion_estado = 'DISPUTE FINANCIAL'</t>
  </si>
  <si>
    <t>mto_devolucion</t>
  </si>
  <si>
    <t>mto_venta_bruto</t>
  </si>
  <si>
    <t>select
b.mto_venta_bruto
from bi_riesgo.dv_contracargo_mastercard a
left join (
select
    tarjeta_enmascarada,
    cod_comercio,
    ard,
    moneda,
    metodo_ingreso,
    max(fecha_trx) as fecha_trx,
    max(fecha_proceso) as fecha_proceso,
    sum(mto_venta_bruto) as mto_venta_bruto
from master_risk.m_contracargo_devolucion
where left(cod_tipo_trx,1) = '8'
  and left(arn,1) = '7'
  and left(bin,1) in ('4','2','5','3')
  group by all
) b
on (a.nro_referencia_acq = b.ard and a.tarjeta_enmascarada = b.tarjeta_enmascarada and a.cod_comercio = b.cod_comercio)
where a.cod_funcion in ('450','453')
union all
select
b.mto_venta_bruto
from master_risk.t_contracargo_visa_rol500 a
left join (
select
    tarjeta_enmascarada,
    cod_comercio,
    ard,
    moneda,
    metodo_ingreso,
    max(fecha_trx) as fecha_trx,
    max(fecha_proceso) as fecha_proceso,
    sum(mto_venta_bruto) as mto_venta_bruto
from master_risk.m_contracargo_devolucion
where left(cod_tipo_trx,1) = '8'
  and left(arn,1) = '7'
  and left(bin,1) in ('4','2','5','3')
  group by all
) b
on (a.nro_referencia_acq = b.ard and a.tarjeta_enmascarada = b.tarjeta_enmascarada)
where a.descripcion_estado = 'DISPUTE FINANCIAL'</t>
  </si>
  <si>
    <t>party_id_izi</t>
  </si>
  <si>
    <t>master_party.m_comercio</t>
  </si>
  <si>
    <t>select
b.party_id_izi
from bi_riesgo.dv_contracargo_mastercard a
left join master_party.m_comercio b
on (a.cod_comercio = b.cod_comercio)
where a.cod_funcion in ('450','453')
union all
select
c.party_id_izi
from master_risk.t_contracargo_visa_rol500 a
left join bi_riesgo.dv_contracargo_liquidacion b
on (a.arn_transaccion = c.arn_ard and b.cod_tipo_transaccion in ('76','77','78') and b.metodo_ingreso is not null)
left join master_party.m_comercio c
on (b.cod_comercio = c.cod_comercio)
where a.descripcion_estado = 'DISPUTE FINANCIAL'</t>
  </si>
  <si>
    <t>razon_social</t>
  </si>
  <si>
    <t>select
b.razon_social
from bi_riesgo.dv_contracargo_mastercard a
left join master_party.m_comercio b
on (a.cod_comercio = b.cod_comercio)
where a.cod_funcion in ('450','453')
union all
select
c.razon_social
from master_risk.t_contracargo_visa_rol500 a
left join bi_riesgo.dv_contracargo_liquidacion b
on (a.arn_transaccion = c.arn_ard and b.cod_tipo_transaccion in ('76','77','78') and b.metodo_ingreso is not null)
left join master_party.m_comercio c
on (b.cod_comercio = c.cod_comercio)
where a.descripcion_estado = 'DISPUTE FINANCIAL'</t>
  </si>
  <si>
    <t>mto_contracargo_pen</t>
  </si>
  <si>
    <t>bi_riesgo.dv_contracargo_mastercard
master_risk.t_contracargo_visa_rol500
raw_as400.mcfv017</t>
  </si>
  <si>
    <t>mto_contracargo_sol
cod_moneda/mto_venta
ovven</t>
  </si>
  <si>
    <t>select
mto_contracargo_sol
from bi_riesgo.dv_contracargo_mastercard
where cod_funcion in ('450','453')
union all
select
case
  when a.cod_moneda = '840' then a.mto_venta * cast(c.ovven as float64)
  else a.mto_venta
end
from master_risk.t_contracargo_visa_rol500 a
left join bi_riesgo.dv_contracargo_liquidacion b
on (a.arn_transaccion = b.arn_ard and a.tarjeta_enmascarada = b.tarjeta_enmascarada)
left join raw_as400.mcfv017 c
on (b.fecha_transaccion = c.process_date and c.occia = '99' and c.ocsuc = '1' and c.ocmon ='2' and c.olcot = '2')
where a.descripcion_estado = 'DISPUTE FINANCIAL'</t>
  </si>
  <si>
    <t>nom_facilitador_pagos</t>
  </si>
  <si>
    <t>select
b.nom_facilitador_pagos
from bi_riesgo.dv_contracargo_mastercard a
left join master_party.m_comercio b
on (a.cod_comercio = b.cod_comercio)
where a.cod_funcion in ('450','453')
union all
select
c.nom_facilitador_pagos
from master_risk.t_contracargo_visa_rol500 a
left join bi_riesgo.dv_contracargo_liquidacion b
on (a.arn_transaccion = c.arn_ard and b.cod_tipo_transaccion in ('76','77','78') and b.metodo_ingreso is not null)
left join master_party.m_comercio c
on (b.cod_comercio = c.cod_comercio)
where a.descripcion_estado = 'DISPUTE FINANCIAL'</t>
  </si>
  <si>
    <t>cod_segmento</t>
  </si>
  <si>
    <t>select
b.cod_segmento
from bi_riesgo.dv_contracargo_mastercard a
left join master_party.m_comercio b
on (a.cod_comercio = b.cod_comercio)
where a.cod_funcion in ('450','453')
union all
select
c.cod_segmento
from master_risk.t_contracargo_visa_rol500 a
left join bi_riesgo.dv_contracargo_liquidacion b
on (a.arn_transaccion = c.arn_ard and b.cod_tipo_transaccion in ('76','77','78') and b.metodo_ingreso is not null)
left join master_party.m_comercio c
on (b.cod_comercio = c.cod_comercio)
where a.descripcion_estado = 'DISPUTE FINANCIAL'</t>
  </si>
  <si>
    <t>desc_situacion_comercio</t>
  </si>
  <si>
    <t>select
b.desc_situacion_comercio
from bi_riesgo.dv_contracargo_mastercard a
left join master_party.m_comercio b
on (a.cod_comercio = b.cod_comercio)
where a.cod_funcion in ('450','453')
union all
select
c.desc_situacion_comercio
from master_risk.t_contracargo_visa_rol500 a
left join bi_riesgo.dv_contracargo_liquidacion b
on (a.arn_transaccion = c.arn_ard and b.cod_tipo_transaccion in ('76','77','78') and b.metodo_ingreso is not null)
left join master_party.m_comercio c
on (b.cod_comercio = c.cod_comercio)
where a.descripcion_estado = 'DISPUTE FINANCIAL'</t>
  </si>
  <si>
    <t>desc_giro_comercio</t>
  </si>
  <si>
    <t>nom_giro_comercio</t>
  </si>
  <si>
    <t>select
b.nom_giro_comercio
from bi_riesgo.dv_contracargo_mastercard a
left join master_party.m_comercio b
on (a.cod_comercio = b.cod_comercio)
where a.cod_funcion in ('450','453')
union all
select
c.nom_giro_comercio
from master_risk.t_contracargo_visa_rol500 a
left join bi_riesgo.dv_contracargo_liquidacion b
on (a.arn_transaccion = c.arn_ard and b.cod_tipo_transaccion in ('76','77','78') and b.metodo_ingreso is not null)
left join master_party.m_comercio c
on (b.cod_comercio = c.cod_comercio)
where a.descripcion_estado = 'DISPUTE FINANCIAL'</t>
  </si>
  <si>
    <t>rango_mto_contracargo_pen</t>
  </si>
  <si>
    <t>select
case 
	when mto_contracargo_sol &lt; 100   then 'A.[0;100&gt;'
	when mto_contracargo_sol &lt; 350   then 'B.[100;350&gt;'
	when mto_contracargo_sol &lt; 500   then 'C.[350;500&gt;'
	when mto_contracargo_sol &lt; 1000  then 'D.[500;1k&gt;'
	when mto_contracargo_sol &lt; 2000  then 'E.[1k;2k&gt;'
	when mto_contracargo_sol &lt; 3000  then 'F.[2k;3k&gt;'
	when mto_contracargo_sol &gt;= 3000 then 'G.&gt;=3K'
end
from bi_riesgo.dv_contracargo_mastercard
where cod_funcion in ('450','453')
union all
select
case 
	when (case when a.cod_moneda = '840' then a.mto_venta * cast(c.ovven as float64) else a.mto_venta end) &lt; 100   then 'A.[0;100&gt;'
	when (case when a.cod_moneda = '840' then a.mto_venta * cast(c.ovven as float64) else a.mto_venta end) &lt; 350   then 'B.[100;350&gt;'
	when (case when a.cod_moneda = '840' then a.mto_venta * cast(c.ovven as float64) else a.mto_venta end) &lt; 500   then 'C.[350;500&gt;'
	when (case when a.cod_moneda = '840' then a.mto_venta * cast(c.ovven as float64) else a.mto_venta end) &lt; 1000  then 'D.[500;1k&gt;'
	when (case when a.cod_moneda = '840' then a.mto_venta * cast(c.ovven as float64) else a.mto_venta end) &lt; 2000  then 'E.[1k;2k&gt;'
	when (case when a.cod_moneda = '840' then a.mto_venta * cast(c.ovven as float64) else a.mto_venta end) &lt; 3000  then 'F.[2k;3k&gt;'
	when (case when a.cod_moneda = '840' then a.mto_venta * cast(c.ovven as float64) else a.mto_venta end) &gt;= 3000 then 'G.&gt;=3K'
end
from master_risk.t_contracargo_visa_rol500 a
left join bi_riesgo.dv_contracargo_liquidacion b
on (a.arn_transaccion = b.arn_ard and a.tarjeta_enmascarada = b.tarjeta_enmascarada)
left join raw_as400.mcfv017 c
on (b.fecha_transaccion = c.process_date and c.occia = '99' and c.ocsuc = '1' and c.ocmon ='2' and c.olcot = '2')
where a.descripcion_estado = 'DISPUTE FINANCIAL'</t>
  </si>
  <si>
    <t>motivo_cc</t>
  </si>
  <si>
    <t>master_data.c_motivo_contracargo
master_risk.t_contracargo_visa_rol1100</t>
  </si>
  <si>
    <t>descripcion_motivo_contracargo
estado_caso</t>
  </si>
  <si>
    <t>select
b.descripcion_motivo_contracargo
from bi_riesgo.dv_contracargo_mastercard a
left join master_data.c_motivo_contracargo b
on (a.cod_razon = b.cod_contracargo)
where a.cod_funcion in ('450','453')
union all
select
case 
	when left(a.cod_caso_vrol,1) &lt;&gt; 'M' then c.descripcion_motivo_contracargo 
	when left(a.cod_caso_vrol,1) = 'M' then concat('RDR ',b.estado_caso)
	else d.descripcion_motivo_contracargo
end
from master_risk.t_contracargo_visa_rol500 a
left join 
(
    select
        nro_caso,
        substring(arn_inicio, 1, 23) as arn_inicio,
        estado_caso
    from master_risk.t_contracargo_visa_rol1100
    qualify row_number() over (partition by nro_caso, arn_inicio) = 1
) b
on a.arn_transaccion = b.arn_inicio and a.num_caso_vrol = b.nro_caso
left join master_data.c_motivo_contracargo c
on (replace(left(a.cod_caso_vrol, length(a.cod_caso_vrol) - 5), 'M', '') = c.cod_contracargo)
where a.descripcion_estado = 'DISPUTE FINANCIAL'</t>
  </si>
  <si>
    <t>fecha_reversa</t>
  </si>
  <si>
    <t>select 
b.fecha_ingreso
from bi_riesgo.dv_contracargo_mastercard a
left join (
    select
        nro_referencia_acq,
        nro_control,
        fecha_ingreso
    from bi_riesgo.dv_contracargo_mastercard
    where cod_funcion in ('450R','453R')
    qualify row_number() over (partition by nro_referencia_acq, nro_control order by fecha_ingreso desc, mto_contracargo_sol desc) = 1
) b
on a.nro_referencia_acq = b.nro_referencia_acq and a.nro_control = b.nro_control
where a.cod_funcion in ('450','453')
union all
select 
b.fecha_reversa
from
(
    select
        *,
        row_number() over (partition by arn_transaccion, num_caso_vrol order by fecha_liquidacion desc, mto_venta desc) as orden
    from master_risk.t_contracargo_visa_rol500
    where descripcion_estado = 'DISPUTE FINANCIAL'
) a
left join
(
    select 
        fecha_liquidacion as fecha_reversa,
        arn_transaccion,
        num_caso_vrol,
        case
            when arn_transaccion = '74357045003001757523307' and num_caso_vrol = '5407262287' and cod_categoria_contracargo = '13' and cod_subcategoria_contracargo = '1' then 2
            when arn_transaccion = '74357044341007549900277' and num_caso_vrol = '5405590657' and cod_categoria_contracargo = '13' and cod_subcategoria_contracargo = '1' then 2
            when arn_transaccion = '74357045010004045201323' and num_caso_vrol = '5417808623' and cod_categoria_contracargo = '10' and cod_subcategoria_contracargo = '4' then 2
            when arn_transaccion = '74357045032003264219820' and num_caso_vrol = '5428843693' and cod_categoria_contracargo = '10' and cod_subcategoria_contracargo = '4' then 2
            when arn_transaccion = '74357045070001702321649' and num_caso_vrol = '5443953911' and cod_categoria_contracargo = '10' and cod_subcategoria_contracargo = '4' then 2
            when arn_transaccion = '74357044340002888015754' and num_caso_vrol = '2545543136' and cod_categoria_contracargo = '13' and cod_subcategoria_contracargo = '6' then 2
            when arn_transaccion = '74357045033001414000289' and num_caso_vrol = '2551397602' and cod_categoria_contracargo = '13' and cod_subcategoria_contracargo = '6' then 2
            else row_number() over (
                partition by arn_transaccion, num_caso_vrol
                order by fecha_liquidacion asc
            )
        end as orden
    from master_risk.t_contracargo_visa_rol500
    where descripcion_estado = 'DISPUTE REVERSAL - RECALL'
    qualify row_number() over (partition by arn_transaccion, num_caso_vrol order by fecha_liquidacion desc, mto_venta desc) = 1
) b
on  a.arn_transaccion = b.arn_transaccion
and a.num_caso_vrol = b.num_caso_vrol
and a.orden = b.orden</t>
  </si>
  <si>
    <t>orden_cc</t>
  </si>
  <si>
    <t>nro_referencia_acq/nro_control/fecha_ingreso
arn_transaccion/num_caso_vrol/fecha_liquidacion</t>
  </si>
  <si>
    <t>select
row_number() over (partition by nro_referencia_acq, nro_control order by fecha_ingreso asc)
from bi_riesgo.dv_contracargo_mastercard
where cod_funcion in ('450','453')
union all
select
row_number() over (partition by arn_transaccion, num_caso_vrol order by fecha_liquidacion asc)
from master_risk.t_contracargo_visa_rol500
where descripcion_estado = 'DISPUTE FINANCIAL'</t>
  </si>
  <si>
    <t>prioridad_cc</t>
  </si>
  <si>
    <t>master_data.c_motivo_contracargo
master_party.m_comercio</t>
  </si>
  <si>
    <t>categoria_motivo_contracargo
cod_segmento</t>
  </si>
  <si>
    <t>select
case 
when b.categoria_motivo_contracargo = 'ERRORES DE PROCESAMIENTO' then '3'
when c.cod_segmento = 'N' and b.categoria_motivo_contracargo in ('FRUADE' ,'SERVICIOS/MERCADERÍA - DISPUTAS DEL CONSUMIDOR') then '1'
when c.cod_segmento = 'E' and b.categoria_motivo_contracargo in ('FRUADE' ,'SERVICIOS/MERCADERÍA - DISPUTAS DEL CONSUMIDOR') then '2'
when c.cod_segmento in ('G','C') and b.categoria_motivo_contracargo = 'FRUADE' then '3'
when c.cod_segmento = 'N' and b.categoria_motivo_contracargo in ('ERRORES DE PROCESAMIENTO','AUTORIZACIÓN') then '4'
when c.cod_segmento = 'E' and b.categoria_motivo_contracargo in ('ERRORES DE PROCESAMIENTO','AUTORIZACIÓN') then '5'
when c.cod_segmento in ('G','C') and b.categoria_motivo_contracargo in ('ERRORES DE PROCESAMIENTO','AUTORIZACIÓN','SERVICIOS/MERCADERÍA - DISPUTAS DEL CONSUMIDOR') then '6'
end
from bi_riesgo.dv_contracargo_mastercard a
left join master_data.c_motivo_contracargo b on (a.cod_razon = b.cod_contracargo)
left join master_party.m_comercio c on (a.cod_comercio = c.cod_comercio)
where a.cod_funcion in ('450','453')
union all
select
case 
when d.categoria_motivo_contracargo = 'ERRORES DE PROCESAMIENTO' then '3'
when c.cod_segmento = 'N' and d.categoria_motivo_contracargo in ('FRUADE' ,'SERVICIOS/MERCADERÍA - DISPUTAS DEL CONSUMIDOR') then '1'
when c.cod_segmento = 'E' and d.categoria_motivo_contracargo in ('FRUADE' ,'SERVICIOS/MERCADERÍA - DISPUTAS DEL CONSUMIDOR') then '2'
when c.cod_segmento in ('G','C') and d.categoria_motivo_contracargo = 'FRUADE' then '3'
when c.cod_segmento = 'N' and d.categoria_motivo_contracargo in ('ERRORES DE PROCESAMIENTO','AUTORIZACIÓN') then '4'
when c.cod_segmento = 'E' and d.categoria_motivo_contracargo in ('ERRORES DE PROCESAMIENTO','AUTORIZACIÓN') then '5'
when c.cod_segmento in ('G','C') and d.categoria_motivo_contracargo in ('ERRORES DE PROCESAMIENTO','AUTORIZACIÓN','SERVICIOS/MERCADERÍA - DISPUTAS DEL CONSUMIDOR') then '6'
end
from master_risk.t_contracargo_visa_rol500 a
left join bi_riesgo.dv_contracargo_liquidacion b on (a.arn_transaccion = c.arn_ard and b.cod_tipo_transaccion in ('76','77','78') and b.metodo_ingreso is not null)
left join master_party.m_comercio c on (b.cod_comercio = c.cod_comercio)
left join master_data.c_motivo_contracargo d on (replace(left(a.cod_caso_vrol, length(a.cod_caso_vrol) - 5), 'M', '') = d.cod_contracargo)
where a.descripcion_estado = 'DISPUTE FINANCIAL'</t>
  </si>
  <si>
    <t>agrupacion_operaciones</t>
  </si>
  <si>
    <t>cod_comercio/flag_izipay_ya/cod_contrato/cod_facilitador</t>
  </si>
  <si>
    <t>select
case
    when c.cod_comercio like '3%' then 'CAJERO CORRESPONSAL'
    when c.flag_izipay_ya is true then 'IZIPAY_YA'
    when (
        case
            when c.cod_contrato in ('IO-APP','IO-PLINK','IO-PLLINK','CSIO-PLINK','IO-PWEB','IO-WEB','SCIO-APP','SCIO-PLINK','SCIO-PWEB') then 'INTEROPERABILIDAD'
            when c.cod_contrato = 'NIUBIZ-AX' then 'NIUBIZ'
            when c.cod_facilitador = '254287' then 'FISICO'
            when c.cod_facilitador in ('179381','253254') then 'MIXTO'
            when c.cod_facilitador in ('259170','240269','240268','246359','351330','260551','268562','262802','264504','260874','261870','226282','226283','237436') then 'VIRTUAL'
            when c.cod_facilitador = '0' then 'PMP'
            when c.cod_facilitador = '253357' then 'IZIPAY'
            else 'SIN CLASIFICAR'
        end
    ) = 'FISICO'
        then 'FACILITADOR FISICO'
    when (
        case
            when c.cod_contrato in ('IO-APP','IO-PLINK','IO-PLLINK','CSIO-PLINK','IO-PWEB','IO-WEB','SCIO-APP','SCIO-PLINK','SCIO-PWEB') then 'INTEROPERABILIDAD'
            when c.cod_contrato = 'NIUBIZ-AX' then 'NIUBIZ'
            when c.cod_facilitador = '254287' then 'FISICO'
            when c.cod_facilitador in ('179381','253254') then 'MIXTO'
            when c.cod_facilitador in ('259170','240269','240268','246359','351330','260551','268562','262802','264504','260874','261870','226282','226283','237436') then 'VIRTUAL'
            when c.cod_facilitador = '0' then 'PMP'
            when c.cod_facilitador = '253357' then 'IZIPAY'
            else 'SIN CLASIFICAR'
        end
    ) = 'VIRTUAL'
        then 'FACILITADOR VIRTUAL'
    when (
        case
            when c.cod_contrato in ('IO-APP','IO-PLINK','IO-PLLINK','CSIO-PLINK','IO-PWEB','IO-WEB','SCIO-APP','SCIO-PLINK','SCIO-PWEB') then 'INTEROPERABILIDAD'
            when c.cod_contrato = 'NIUBIZ-AX' then 'NIUBIZ'
            when c.cod_facilitador = '254287' then 'FISICO'
            when c.cod_facilitador in ('179381','253254') then 'MIXTO'
            when c.cod_facilitador in ('259170','240269','240268','246359','351330','260551','268562','262802','264504','260874','261870','226282','226283','237436') then 'VIRTUAL'
            when c.cod_facilitador = '0' then 'PMP'
            when c.cod_facilitador = '253357' then 'IZIPAY'
            else 'SIN CLASIFICAR'
        end
    ) = 'MIXTO'
        then 'FACILITADOR MIXTO'
    when c.segmento_parque = 'MERCHANT' then 'RETAIL'
    when c.segmento_parque = 'NEG' then 'NEGOCIO'
    when c.segmento_parque = 'CORP' then 'CORPORACIÓN'
    when c.segmento_parque is null and c.cod_segmento = 'E' then 'NEGOCIO'
    when c.segmento_parque is null and c.cod_segmento in ('C','G') then 'CORPORACIÓN'
    when c.segmento_parque is null then 'RETAIL'
    when c.segmento_parque = 'SIN SEGMENTO' then 'SIN SEGMENTO'
    else 'SIN_CLASIFICAR'
end
from bi_riesgo.dv_contracargo_mastercard a
left join bi_riesgo.dv_contracargo_liquidacion b on (a.nro_referencia_acq = b.arn_ard and a.tarjeta_enmascarada = b.tarjeta_enmascarada and a.cod_comercio = b.cod_comercio and b.cod_tipo_transaccion in ('76','77','78') and b.metodo_ingreso is not null)
left join master_party.m_commerce c on (coalesce(b.cod_comercio,a.cod_comercio) = c.cod_comercio)
where a.cod_funcion in ('450','453')
union all
select
case
    when c.cod_comercio like '3%' then 'CAJERO CORRESPONSAL'
    when c.flag_izipay_ya is true then 'IZIPAY_YA'
    when (
        case
            when c.cod_contrato in ('IO-APP','IO-PLINK','IO-PLLINK','CSIO-PLINK','IO-PWEB','IO-WEB','SCIO-APP','SCIO-PLINK','SCIO-PWEB') then 'INTEROPERABILIDAD'
            when c.cod_contrato = 'NIUBIZ-AX' then 'NIUBIZ'
            when c.cod_facilitador = '254287' then 'FISICO'
            when c.cod_facilitador in ('179381','253254') then 'MIXTO'
            when c.cod_facilitador in ('259170','240269','240268','246359','351330','260551','268562','262802','264504','260874','261870','226282','226283','237436') then 'VIRTUAL'
            when c.cod_facilitador = '0' then 'PMP'
            when c.cod_facilitador = '253357' then 'IZIPAY'
            else 'SIN CLASIFICAR'
        end
    ) = 'FISICO'
        then 'FACILITADOR FISICO'
    when (
        case
            when c.cod_contrato in ('IO-APP','IO-PLINK','IO-PLLINK','CSIO-PLINK','IO-PWEB','IO-WEB','SCIO-APP','SCIO-PLINK','SCIO-PWEB') then 'INTEROPERABILIDAD'
            when c.cod_contrato = 'NIUBIZ-AX' then 'NIUBIZ'
            when c.cod_facilitador = '254287' then 'FISICO'
            when c.cod_facilitador in ('179381','253254') then 'MIXTO'
            when c.cod_facilitador in ('259170','240269','240268','246359','351330','260551','268562','262802','264504','260874','261870','226282','226283','237436') then 'VIRTUAL'
            when c.cod_facilitador = '0' then 'PMP'
            when c.cod_facilitador = '253357' then 'IZIPAY'
            else 'SIN CLASIFICAR'
        end
    ) = 'VIRTUAL'
        then 'FACILITADOR VIRTUAL'
    when (
        case
            when c.cod_contrato in ('IO-APP','IO-PLINK','IO-PLLINK','CSIO-PLINK','IO-PWEB','IO-WEB','SCIO-APP','SCIO-PLINK','SCIO-PWEB') then 'INTEROPERABILIDAD'
            when c.cod_contrato = 'NIUBIZ-AX' then 'NIUBIZ'
            when c.cod_facilitador = '254287' then 'FISICO'
            when c.cod_facilitador in ('179381','253254') then 'MIXTO'
            when c.cod_facilitador in ('259170','240269','240268','246359','351330','260551','268562','262802','264504','260874','261870','226282','226283','237436') then 'VIRTUAL'
            when c.cod_facilitador = '0' then 'PMP'
            when c.cod_facilitador = '253357' then 'IZIPAY'
            else 'SIN CLASIFICAR'
        end
    ) = 'MIXTO'
        then 'FACILITADOR MIXTO'
    when c.segmento_parque = 'MERCHANT' then 'RETAIL'
    when c.segmento_parque = 'NEG' then 'NEGOCIO'
    when c.segmento_parque = 'CORP' then 'CORPORACIÓN'
    when c.segmento_parque is null and c.cod_segmento = 'E' then 'NEGOCIO'
    when c.segmento_parque is null and c.cod_segmento in ('C','G') then 'CORPORACIÓN'
    when c.segmento_parque is null then 'RETAIL'
    when c.segmento_parque = 'SIN SEGMENTO' then 'SIN SEGMENTO'
    else 'SIN_CLASIFICAR'
end
from master_risk.t_contracargo_visa_rol500 a
left join bi_riesgo.dv_contracargo_liquidacion b on (a.arn_transaccion = b.arn_ard and a.tarjeta_enmascarada = b.tarjeta_enmascarada and b.cod_tipo_transaccion in ('76','77','78') and b.metodo_ingreso is not null)
left join master_party.m_commerce c on (b.cod_comercio = c.cod_comercio)
where a.descripcion_estado = 'DISPUTE FINANCIAL'</t>
  </si>
  <si>
    <t>tica</t>
  </si>
  <si>
    <t>bi_riesgo.dv_contracargo_mastercard
master_risk.m_contracargo_devolucion
bi_riesgo.dv_contracargo_liquidacion
master_risk.t_contracargo_visa_rol500</t>
  </si>
  <si>
    <t>cod_moneda/mto_contracargo
moneda/mto_venta_bruto
moneda/mto_venta
moneda/mto_venta</t>
  </si>
  <si>
    <t>select
case
when (case when a.cod_moneda = 'SOL PERUANO' then 'PEN' when a.cod_moneda = 'DOLAR ESTADOUNIDENSE' then 'USD' end) = coalesce(b.moneda, c.moneda) then abs(a.mto_contracargo - coalesce(b.mto_venta_bruto, c.mto_venta))
when a.cod_moneda = 'SOL PERUANO' then a.mto_contracargo / coalesce(b.mto_venta_bruto, c.mto_venta)
when a.cod_moneda = 'DOLAR ESTADOUNIDENSE' then coalesce(b.mto_venta_bruto, c.mto_venta) / a.mto_contracargo
end
from bi_riesgo.dv_contracargo_mastercard a
left join (
select
    tarjeta_enmascarada,
    cod_comercio,
    ard,
    moneda,
    metodo_ingreso,
    max(fecha_trx) as fecha_trx,
    max(fecha_proceso) as fecha_proceso,
    sum(mto_venta_bruto) as mto_venta_bruto
from master_risk.m_contracargo_devolucion
where left(cod_tipo_trx,1) = '8'
  and left(arn,1) = '7'
  and left(bin,1) in ('4','2','5','3')
  group by all
) b
on (a.nro_referencia_acq = b.ard and a.tarjeta_enmascarada = b.tarjeta_enmascarada and a.cod_comercio = b.cod_comercio)
left join bi_riesgo.dv_contracargo_liquidacion c
on (a.nro_referencia_acq = c.arn_ard and a.tarjeta_enmascarada = c.tarjeta_enmascarada and a.cod_comercio = c.cod_comercio and c.cod_tipo_transaccion in ('76','77','78') and c.metodo_ingreso is not null)
where a.cod_funcion in ('450','453')
union all
select
case
when (case when a.moneda = 'SOL PERUANO' then 'PEN' when a.moneda = 'DOLAR ESTADOUNIDENSE' then 'USD' end) = b.moneda then abs(a.mto_venta - b.mto_venta)
when a.moneda = 'SOL PERUANO' then a.mto_venta / b.mto_venta
when a.moneda = 'DOLAR ESTADOUNIDENSE' then b.mto_venta / a.mto_venta
end
from master_risk.t_contracargo_visa_rol500 a
left join bi_riesgo.dv_contracargo_liquidacion b
on (a.arn_transaccion = b.arn_ard and a.tarjeta_enmascarada = b.tarjeta_enmascarada and b.cod_tipo_transaccion in ('76','77','78') and b.metodo_ingreso is not null)
where a.descripcion_estado = 'DISPUTE FINANCIAL'</t>
  </si>
  <si>
    <t>linea_atencion</t>
  </si>
  <si>
    <t>*Varias</t>
  </si>
  <si>
    <t>select
case
when c.party_id_izi is not null then 'L3'
when d.party_id_izi is not null then 'L3'
when e.party_id_izi is not null then 'L3'
when a.ind_unicidad_contracargo &lt;&gt; 'CC UNICO' or a.ind_unicidad_contracargo is null then 'L3'
when a.cod_tipo_contracargo = '20' then 'L3'
when date_diff(a.fecha_ingreso, coalesce(f.fecha_proceso, g.process_date), day) &gt;= 121 then 'L3'
when (b.cod_segmento = 'N' and h.categoria_motivo_contracargo in ('FRUADE' ,'SERVICIOS/MERCADERÍA - DISPUTAS DEL CONSUMIDOR') or 
(b.cod_segmento = 'E' and h.categoria_motivo_contracargo in ('FRUADE' ,'SERVICIOS/MERCADERÍA - DISPUTAS DEL CONSUMIDOR') or
(b.cod_segmento = 'N' and h.categoria_motivo_contracargo in ('ERRORES DE PROCESAMIENTO','AUTORIZACIÓN') or
(b.cod_segmento = 'E' and h.categoria_motivo_contracargo in ('ERRORES DE PROCESAMIENTO','AUTORIZACIÓN') or
(b.cod_segmento in ('G','C') and h.categoria_motivo_contracargo in ('ERRORES DE PROCESAMIENTO','AUTORIZACIÓN','SERVICIOS/MERCADERÍA - DISPUTAS DEL CONSUMIDOR')  then 'L3'
when (h.categoria_motivo_contracargo = 'ERRORES DE PROCESAMIENTO') or (b.cod_segmento in ('G','C') and h.categoria_motivo_contracargo = 'FRUADE') and f.fecha_proceso is not null and h.categoria_motivo_contracargo = 'FRAUDE' then 'L3'
when b.cod_giro_comercio in ('4511','3030','4722','5592','7512','3502','3533','7011','3548','7542','3509','3642','3519','3649','3503','3591','4722','3513','6012') then 'L3'
when i.party_id_izi is not null then 'L3'
when a.cod_funcion = 'RDR' then 'L3'
when concat(coalesce(f.metodo_ingreso, g.metodo_ingreso),h.categoria_motivo_contracargo) = 'PQFRAUDE' then 'L3'
when concat(left(h.categoria_motivo_contracargo,1),left(g.cod_respuesta_ecommerce,3)) = 'F211' then 'L3'
when concat(left(h.categoria_motivo_contracargo,1),left(g.cod_respuesta_ecommerce,3)) = 'F212' then 'L3'
when concat(left(h.categoria_motivo_contracargo,1),left(g.cod_respuesta_ecommerce,3)) = 'F212' then 'L3'
when g.cod_terminal in ('00000007','00000006') then 'L3'
when j.cod_comercio is not null then 'L3'
else 'L1'
end
from bi_riesgo.dv_contracargo_mastercard a
left join master_party.m_comercio b on (a.cod_comercio = b.cod_comercio)
left join master_pii.iden_party_data_control c on (b.party_id_izi = c.party_id_izi and c.hash_id_izi = upper(to_hex(sha256(upper(to_hex(sha256('03000020602985971')))))))
left join master_pii.iden_party_data_control d on (b.party_id_izi = d.party_id_izi and d.hash_id_izi = upper(to_hex(sha256(upper(to_hex(sha256('03000020337101276')))))))
left join master_pii.iden_party_data_control e on (b.party_id_izi = e.party_id_izi and e.hash_id_izi = upper(to_hex(sha256(upper(to_hex(sha256('03000020505377142')))))))
left join (
select
    tarjeta_enmascarada,
    cod_comercio,
    ard,
    moneda,
    metodo_ingreso,
    max(fecha_trx) as fecha_trx,
    max(fecha_proceso) as fecha_proceso,
    sum(mto_venta_bruto) as mto_venta_bruto
from master_risk.m_contracargo_devolucion
where left(cod_tipo_trx,1) = '8' and left(arn,1) = '7' and left(bin,1) in ('4','2','5','3') group by all
) f on (a.nro_referencia_acq = f.ard and a.tarjeta_enmascarada = f.tarjeta_enmascarada and a.cod_comercio = f.cod_comercio)
left join bi_riesgo.dv_contracargo_liquidacion g on (a.nro_referencia_acq = g.arn_ard and a.tarjeta_enmascarada = g.tarjeta_enmascarada and a.cod_comercio = g.cod_comercio and g.cod_tipo_transaccion in ('76','77','78') and g.metodo_ingreso is not null)
left join master_data.c_motivo_contracargo h on (a.cod_razon = h.cod_contracargo)
left join master_pii.iden_party_data_control i on (b.party_id_izi = i.party_id_izi and i.hash_id_izi = upper(to_hex(sha256(upper(to_hex(sha256('03000020523621212')))))))
left join (select distinct cod_comercio from master_party.m_autenticacion_ecommerce where autenticacion = 'AUTENTICACION 3DS') j on (a.cod_comercio = j.cod_comercio)
where a.cod_funcion in ('450','453')
union all
select
case
when d.party_id_izi is not null then 'L3'
when e.party_id_izi is not null then 'L3'
when f.party_id_izi is not null then 'L3'
when a.tipo_contracargo &lt;&gt; 'CC UNICO' or a.tipo_contracargo is null then 'L3'
when date_diff(a.fecha_liquidacion, b.process_date, day) &gt;= 121 then 'L3'
when (c.cod_segmento = 'N' and g.categoria_motivo_contracargo in ('FRUADE' ,'SERVICIOS/MERCADERÍA - DISPUTAS DEL CONSUMIDOR') or 
(c.cod_segmento = 'E' and g.categoria_motivo_contracargo in ('FRUADE' ,'SERVICIOS/MERCADERÍA - DISPUTAS DEL CONSUMIDOR') or
(c.cod_segmento = 'N' and g.categoria_motivo_contracargo in ('ERRORES DE PROCESAMIENTO','AUTORIZACIÓN') or
(c.cod_segmento = 'E' and g.categoria_motivo_contracargo in ('ERRORES DE PROCESAMIENTO','AUTORIZACIÓN') or
(c.cod_segmento in ('G','C') and g.categoria_motivo_contracargo in ('ERRORES DE PROCESAMIENTO','AUTORIZACIÓN','SERVICIOS/MERCADERÍA - DISPUTAS DEL CONSUMIDOR')  then 'L3'
when (g.categoria_motivo_contracargo = 'ERRORES DE PROCESAMIENTO') or (c.cod_segmento in ('G','C') and g.categoria_motivo_contracargo = 'FRUADE') and h.fecha_proceso is not null and g.categoria_motivo_contracargo = 'FRAUDE' then 'L3'
when c.cod_giro_comercio in ('4511','3030','4722','5592','7512','3502','3533','7011','3548','7542','3509','3642','3519','3649','3503','3591','4722','3513','6012') then 'L3'
when a.cod_caso_vrol like '%M%' then 'L3'
when concat(b.metodo_ingreso,g.categoria_motivo_contracargo) = 'PQFRAUDE' then 'L3'
when concat(left(g.categoria_motivo_contracargo,1),left(b.cod_respuesta_ecommerce,3)) = 'VF5' then 'L3'
when concat(left(g.categoria_motivo_contracargo,1),left(b.cod_respuesta_ecommerce,3)) = 'VF6' then 'L3'
when b.cod_terminal in ('00000007','00000006') then 'L3'
when j.cod_comercio is not null then 'L3'
else 'L1'
end
from master_risk.t_contracargo_visa_rol500 a
left join bi_riesgo.dv_contracargo_liquidacion b on (a.arn_transaccion = c.arn_ard and b.cod_tipo_transaccion in ('76','77','78') and b.metodo_ingreso is not null)
left join master_party.m_comercio c on (b.cod_comercio = c.cod_comercio)
left join master_pii.iden_party_data_control d on (c.party_id_izi = d.party_id_izi and d.hash_id_izi = upper(to_hex(sha256(upper(to_hex(sha256('03000020602985971')))))))
left join master_pii.iden_party_data_control e on (c.party_id_izi = e.party_id_izi and e.hash_id_izi = upper(to_hex(sha256(upper(to_hex(sha256('03000020337101276')))))))
left join master_pii.iden_party_data_control f on (c.party_id_izi = f.party_id_izi and f.hash_id_izi = upper(to_hex(sha256(upper(to_hex(sha256('03000020505377142')))))))
left join master_data.c_motivo_contracargo g on (replace(left(a.cod_caso_vrol, length(a.cod_caso_vrol) - 5), 'M', '') = g.cod_contracargo)
left join (
select
    tarjeta_enmascarada,
    cod_comercio,
    ard,
    moneda,
    metodo_ingreso,
    max(fecha_trx) as fecha_trx,
    max(fecha_proceso) as fecha_proceso,
    sum(mto_venta_bruto) as mto_venta_bruto
from master_risk.m_contracargo_devolucion
where left(cod_tipo_trx,1) = '8'
  and left(arn,1) = '7'
  and left(bin,1) in ('4','2','5','3')
  group by all
) h
on (a.nro_referencia_acq = h.ard and a.tarjeta_enmascarada = h.tarjeta_enmascarada)
left join master_pii.iden_party_data_control i on (b.party_id_izi = i.party_id_izi and i.hash_id_izi = upper(to_hex(sha256(upper(to_hex(sha256('03000020523621212')))))))
left join (select distinct cod_comercio from master_party.m_autenticacion_ecommerce where autenticacion = 'AUTENTICACION 3DS') j on (b.cod_comercio = j.cod_comercio)
where a.descripcion_estado = 'DISPUTE FINANCIAL'</t>
  </si>
  <si>
    <t>atencion_tica</t>
  </si>
  <si>
    <t>select
case 
when (case when a.cod_moneda = 'SOL PERUANO' then 'PEN' when a.cod_moneda = 'DOLAR ESTADOUNIDENSE' then 'USD' end) = coalesce(b.moneda, c.moneda)  and
(case when (case when a.cod_moneda = 'SOL PERUANO' then 'PEN' when a.cod_moneda = 'DOLAR ESTADOUNIDENSE' then 'USD' end) = coalesce(b.moneda, c.moneda) then abs(a.mto_contracargo - coalesce(b.mto_venta_bruto, c.mto_venta))
when a.cod_moneda = 'SOL PERUANO' then a.mto_contracargo / coalesce(b.mto_venta_bruto, c.mto_venta)
when a.cod_moneda = 'DOLAR ESTADOUNIDENSE' then coalesce(b.mto_venta_bruto, c.mto_venta) / a.mto_contracargo
end) * 10 &lt;= coalesce(b.mto_venta_bruto, c.mto_venta) then 'ATENCIÓN GD'
when (case when a.cod_moneda = 'SOL PERUANO' then 'PEN' when a.cod_moneda = 'DOLAR ESTADOUNIDENSE' then 'USD' end) &lt;&gt; coalesce(b.moneda, c.moneda)  and
(case when (case when a.cod_moneda = 'SOL PERUANO' then 'PEN' when a.cod_moneda = 'DOLAR ESTADOUNIDENSE' then 'USD' end) = coalesce(b.moneda, c.moneda) then abs(a.mto_contracargo - coalesce(b.mto_venta_bruto, c.mto_venta))
when a.cod_moneda = 'SOL PERUANO' then a.mto_contracargo / coalesce(b.mto_venta_bruto, c.mto_venta)
when a.cod_moneda = 'DOLAR ESTADOUNIDENSE' then coalesce(b.mto_venta_bruto, c.mto_venta) / a.mto_contracargo
end) between 3.5 and 4.2 then 'ATENCIÓN GD' 
else 'FLUJO REGULAR'
end
from bi_riesgo.dv_contracargo_mastercard a
left join (
select
    tarjeta_enmascarada,
    cod_comercio,
    ard,
    moneda,
    metodo_ingreso,
    max(fecha_trx) as fecha_trx,
    max(fecha_proceso) as fecha_proceso,
    sum(mto_venta_bruto) as mto_venta_bruto
from master_risk.m_contracargo_devolucion
where left(cod_tipo_trx,1) = '8'
  and left(arn,1) = '7'
  and left(bin,1) in ('4','2','5','3')
  group by all
) b
on (a.nro_referencia_acq = b.ard and a.tarjeta_enmascarada = b.tarjeta_enmascarada and a.cod_comercio = b.cod_comercio)
left join bi_riesgo.dv_contracargo_liquidacion c
on (a.nro_referencia_acq = c.arn_ard and a.tarjeta_enmascarada = c.tarjeta_enmascarada and a.cod_comercio = c.cod_comercio and c.cod_tipo_transaccion in ('76','77','78') and c.metodo_ingreso is not null)
where cod_funcion in ('450','453')
union all
select
case
when ((case when a.moneda = 'SOL PERUANO' then 'PEN' when a.moneda = 'DOLAR ESTADOUNIDENSE' then 'USD' end) = b.moneda) and (case
when (case when a.moneda = 'SOL PERUANO' then 'PEN' when a.moneda = 'DOLAR ESTADOUNIDENSE' then 'USD' end) = b.moneda then abs(a.mto_venta - b.mto_venta)
when a.moneda = 'SOL PERUANO' then a.mto_venta / b.mto_venta
when a.moneda = 'DOLAR ESTADOUNIDENSE' then b.mto_venta / a.mto_venta
end) * 10 &lt;= b.mto_venta then 'ATENCIÓN GD'
case
when ((case when a.moneda = 'SOL PERUANO' then 'PEN' when a.moneda = 'DOLAR ESTADOUNIDENSE' then 'USD' end) &lt;&gt; b.moneda) and (case
when (case when a.moneda = 'SOL PERUANO' then 'PEN' when a.moneda = 'DOLAR ESTADOUNIDENSE' then 'USD' end) = b.moneda then abs(a.mto_venta - b.mto_venta)
when a.moneda = 'SOL PERUANO' then a.mto_venta / b.mto_venta
when a.moneda = 'DOLAR ESTADOUNIDENSE' then b.mto_venta / a.mto_venta
end) between 3.5 and 4.2 then 'ATENCIÓN GD'
else 'FLUJO REGULAR'
end
from master_risk.t_contracargo_visa_rol500 a
left join bi_riesgo.dv_contracargo_liquidacion b
on (a.arn_transaccion = b.arn_ard and a.tarjeta_enmascarada = b.tarjeta_enmascarada and b.cod_tipo_transaccion in ('76','77','78') and b.metodo_ingreso is not null)
where descripcion_estado = 'DISPUTE FINANCIAL'</t>
  </si>
  <si>
    <t>atencion_importe</t>
  </si>
  <si>
    <t>select
case
when c.cod_facilitador in ('259170','240269','240268','246359','351330','260551','268562','262802','264504','260874','261870','226282','226283','237436') and a.ind_unicidad_contracargo = 'CC UNICO' then 'ATENCIÓN GD'
when a.mto_contracargo_sol &lt;= 1500 and a.ind_unicidad_contracargo = 'CC UNICO'  then 'ATENCIÓN GD'
else 'FLUJO REGULAR'
end
from bi_riesgo.dv_contracargo_mastercard a
left join bi_riesgo.dv_contracargo_liquidacion b on (a.nro_referencia_acq = b.arn_ard and a.tarjeta_enmascarada = b.tarjeta_enmascarada and a.cod_comercio = b.cod_comercio and b.cod_tipo_transaccion in ('76','77','78') and b.metodo_ingreso is not null)
left join master_party.m_commerce c on (coalesce(b.cod_comercio,a.cod_comercio) = c.cod_comercio)
where a.cod_funcion in ('450','453')
union all
select
case
when c.cod_facilitador in ('259170','240269','240268','246359','351330','260551','268562','262802','264504','260874','261870','226282','226283','237436') and a.tipo_contracargo = 'CC UNICO' then 'ATENCIÓN GD'
when (case
  when a.cod_moneda = '840' then a.mto_venta * cast(c.ovven as float64)
  else a.mto_venta
end) &lt;= 1500 and a.tipo_contracargo = 'CC UNICO'  then 'ATENCIÓN GD'
else 'FLUJO REGULAR'
end
from master_risk.t_contracargo_visa_rol500 a
left join bi_riesgo.dv_contracargo_liquidacion b on (a.arn_transaccion = b.arn_ard and a.tarjeta_enmascarada = b.tarjeta_enmascarada and b.cod_tipo_transaccion in ('76','77','78') and b.metodo_ingreso is not null)
left join master_party.m_commerce c on (b.cod_comercio = c.cod_comercio)
left join raw_as400.mcfv017 d on (b.fecha_transaccion = d.process_date and d.occia = '99' and d.ocsuc = '1' and d.ocmon ='2' and d.olcot = '2')
where a.descripcion_estado = 'DISPUTE FINANCIAL'</t>
  </si>
  <si>
    <t>correo_contacto</t>
  </si>
  <si>
    <t>correo_operador_proceso/correo_fact_elect/correo_representante_legal</t>
  </si>
  <si>
    <t>select
case 
	when a.cod_comercio = '4074946' THEN AEAD.ENCRYPT(d.key,'GESTION.CONTROVERSIAS@PROMART.PE', d.constant)
	when c.document_number in ('20101087647','20505897812','20545699126','20101869947','20545699550','20144215649') THEN AEAD.ENCRYPT(d.key,'creditosycobranzas@ngr.com.pe', d.constant)
	when c.document_number = '20334461875' THEN AEAD.ENCRYPT(d.key,'teresa.delalamo@teleticket.com.pe', d.constant)
	when c.document_number = '20101951872' THEN AEAD.ENCRYPT(d.key,'isabel.salazar@bata.com;luis.collantes@bata.com;katherine.carlos@bata.com', d.constant)
	when c.document_number = '20609101416' THEN AEAD.ENCRYPT(d.key,'antifraude@efe-lc.com.pe;mruizco@juntoz.com;jbellido@juntoz.com', d.constant)
	when c.document_number = '20601020719' THEN AEAD.ENCRYPT(d.key,'estefania.rojas@ehiglobal.pe', d.constant)
	when c.document_number = '20608280333' THEN AEAD.ENCRYPT(d.key,'controversias.spsa@spsa.pe;FELIX.CARTAGENA@SPSA.PE;JUAN.BENITEZ@SPSA.PE;dte_20608280333@paperless.pe', d.constant)
	when c.document_number = '20520929658' THEN AEAD.ENCRYPT(d.key,'carlos.ramirez@aunor.pe;daniel.vilcherres@aunor.pe;victor.tiradom@aunor.pe', d.constant)
	when c.document_number = '20100176964' THEN AEAD.ENCRYPT(d.key,'ncaceres@clinicasanfelipe.com;marilu.gutierrez@sanna.pe;rafael.farina@sanna.pe', d.constant)
	when c.document_number = '20605977406' THEN AEAD.ENCRYPT(d.key,'recaudacion@wowperu.pe', d.constant)
	when c.document_number = '20218245189' THEN AEAD.ENCRYPT(d.key,'RONNYDONNY100@GMAIL.COM;RONNYDONNYPERU@GMAIL.COM', d.constant)
	when c.document_number = '20527599602' THEN AEAD.ENCRYPT(d.key,'WLEOREPRESENTACIONES@hotmail.com', d.constant)
	when c.document_number = '20607773883' THEN AEAD.ENCRYPT(d.key,'Wilfredo@pagsmile.com ;Luis@pagsmile.com', d.constant)
	when c.document_number = '20101039910' THEN AEAD.ENCRYPT(d.key,'contactos@oncosalud.pe;tsaldivar@auna.pe;VSALAS@AUNA.PE', d.constant)
	when c.document_number = '20510931514' THEN AEAD.ENCRYPT(d.key,'tesoreria.lima@aranwahotels.com;msaldana@aranwahotels.com;cobranzas.tesoreria@aranwahotels.com', d.constant)
	when c.document_number IN ('20553617627','20605391738','20137254205') THEN AEAD.ENCRYPT(d.key,'wcontreras@inlearning.pe;klam@inlearning.pe;caliaga@inlearning.pe', d.constant)
	when c.document_number = '20552536259' THEN AEAD.ENCRYPT(d.key,'tesoreria@mesa247.pe', d.constant)
	when c.document_number = '20602386024' THEN AEAD.ENCRYPT(d.key,'GMEDINA.SOTELO@GMAIL.COM;GIANNIALVARADO27@GMAIL.COM', d.constant)
	when c.document_number = '20604068178' then AEAD.ENCRYPT(d.key, 'dispute@dlocal.com', d.constant)
	when c.document_number = '20451770501' then AEAD.ENCRYPT(d.key, 'disputas@payulatam.com;camila.caballero@payu.com;claims@payu.com;juan.colorado@payu.com', d.constant)
	when c.document_number = '20563525461' then AEAD.ENCRYPT(d.key, 'shield@ebanx.com; bruno.lopes@ebanx.com; BRUNO.ROSSETTO@EBANX.COM', d.constant)
	when c.document_number = '20333372216' then AEAD.ENCRYPT(d.key, 'prevencion@alignet.com; carlos.flores@alignet.com', d.constant)
	when c.document_number = '20462540745' then AEAD.ENCRYPT(d.key, 'recuperos@mercadopago.com.ar;chargebacks@mercadopago.com;notificaciones@mercadopago.com;iniciacion_contracargos@mercadolibre.com', d.constant)
	when c.document_number = '20100017491' then AEAD.ENCRYPT(d.key, 'susana.silvera@telefonica.com; Pilar.solorzano@telefonica.com', d.constant)
	when c.document_number = '20551348041' then AEAD.ENCRYPT(d.key, 'contracargos@pedidosya.com; pedidosya@simetrik.com; gonzalo.montiel@pedidosya.com; yinohet.cegarra@pedidosya.com; daiana.lopez@pedidosya.com', d.constant)
	when c.document_number = '20603543581' then AEAD.ENCRYPT(d.key, 'controversias@kushkipagos.com; erika@kushkipagos.com; soporte@kushki.zendesk.com', d.constant)
	when length(AEAD.DECRYPT_STRING(e.key, b.correo_operador_proceso, e.constant))&gt;8 then b.correo_operador_proceso
	when length(AEAD.DECRYPT_STRING(e.key, b.correo_fact_elect, e.constant))&gt;8 then b.correo_fact_elect
	when length(AEAD.DECRYPT_STRING(e.key, b.correo_representante_legal, e.constant))&gt;8 then b.correo_representante_legal
	else null
	end
from bi_riesgo.dv_contracargo_mastercard a
left join master_party.m_comercio b on (a.cod_comercio = b.cod_comercio)
left join master_pii.iden_party_data_control c on (b.party_id_izi = c.party_id_izi)
left join secure_secrets.config_protected_data d on d.code = 'C_EMAIL'
left join secure_secrets.config_protected_data e on 1=1 and e.code='C_EMAIL'
where a.cod_funcion in ('450','453')
union all
select
case 
	when b.cod_comercio = '4074946' THEN AEAD.ENCRYPT(e.key,'GESTION.CONTROVERSIAS@PROMART.PE', e.constant)
	when d.document_number in ('20101087647','20505897812','20545699126','20101869947','20545699550','20144215649') THEN AEAD.ENCRYPT(e.key,'creditosycobranzas@ngr.com.pe', e.constant)
	when d.document_number = '20334461875' THEN AEAD.ENCRYPT(e.key,'teresa.delalamo@teleticket.com.pe', e.constant)
	when d.document_number = '20101951872' THEN AEAD.ENCRYPT(e.key,'isabel.salazar@bata.com;luis.collantes@bata.com;katherine.carlos@bata.com', e.constant)
	when d.document_number = '20609101416' THEN AEAD.ENCRYPT(e.key,'antifraude@efe-lc.com.pe;mruizco@juntoz.com;jbellido@juntoz.com', e.constant)
	when d.document_number = '20601020719' THEN AEAD.ENCRYPT(e.key,'estefania.rojas@ehiglobal.pe', e.constant)
	when d.document_number = '20608280333' THEN AEAD.ENCRYPT(e.key,'controversias.spsa@spsa.pe;FELIX.CARTAGENA@SPSA.PE;JUAN.BENITEZ@SPSA.PE;dte_20608280333@paperless.pe', e.constant)
	when d.document_number = '20520929658' THEN AEAD.ENCRYPT(e.key,'carlos.ramirez@aunor.pe;daniel.vilcherres@aunor.pe;victor.tiradom@aunor.pe', e.constant)
	when d.document_number = '20100176964' THEN AEAD.ENCRYPT(e.key,'ncaceres@clinicasanfelipe.com;marilu.gutierrez@sanna.pe;rafael.farina@sanna.pe', e.constant)
	when d.document_number = '20605977406' THEN AEAD.ENCRYPT(e.key,'recaudacion@wowperu.pe', e.constant)
	when d.document_number = '20218245189' THEN AEAD.ENCRYPT(e.key,'RONNYDONNY100@GMAIL.COM;RONNYDONNYPERU@GMAIL.COM', e.constant)
	when d.document_number = '20527599602' THEN AEAD.ENCRYPT(e.key,'WLEOREPRESENTACIONES@hotmail.com', e.constant)
	when d.document_number = '20607773883' THEN AEAD.ENCRYPT(e.key,'Wilfredo@pagsmile.com ;Luis@pagsmile.com', e.constant)
	when d.document_number = '20101039910' THEN AEAD.ENCRYPT(e.key,'contactos@oncosalud.pe;tsaldivar@auna.pe;VSALAS@AUNA.PE', e.constant)
	when d.document_number = '20510931514' THEN AEAD.ENCRYPT(e.key,'tesoreria.lima@aranwahotels.com;msaldana@aranwahotels.com;cobranzas.tesoreria@aranwahotels.com', e.constant)
	when d.document_number IN ('20553617627','20605391738','20137254205') THEN AEAD.ENCRYPT(e.key,'wcontreras@inlearning.pe;klam@inlearning.pe;caliaga@inlearning.pe', e.constant)
	when d.document_number = '20552536259' THEN AEAD.ENCRYPT(e.key,'tesoreria@mesa247.pe', e.constant)
	when d.document_number = '20602386024' THEN AEAD.ENCRYPT(e.key,'GMEDINA.SOTELO@GMAIL.COM;GIANNIALVARADO27@GMAIL.COM', e.constant)
	when d.document_number = '20604068178' then AEAD.ENCRYPT(e.key, 'dispute@dlocal.com', e.constant)
	when d.document_number = '20451770501' then AEAD.ENCRYPT(e.key, 'disputas@payulatam.com;camila.caballero@payu.com;claims@payu.com;juan.colorado@payu.com', e.constant)
	when d.document_number = '20563525461' then AEAD.ENCRYPT(e.key, 'shield@ebanx.com; bruno.lopes@ebanx.com; BRUNO.ROSSETTO@EBANX.COM', e.constant)
	when d.document_number = '20333372216' then AEAD.ENCRYPT(e.key, 'prevencion@alignet.com; carlos.flores@alignet.com', e.constant)
	when d.document_number = '20462540745' then AEAD.ENCRYPT(e.key, 'recuperos@mercadopago.com.ar;chargebacks@mercadopago.com;notificaciones@mercadopago.com;iniciacion_contracargos@mercadolibre.com', e.constant)
	when d.document_number = '20100017491' then AEAD.ENCRYPT(e.key, 'susana.silvera@telefonica.com; Pilar.solorzano@telefonica.com', e.constant)
	when d.document_number = '20551348041' then AEAD.ENCRYPT(e.key, 'contracargos@pedidosya.com; pedidosya@simetrik.com; gonzalo.montiel@pedidosya.com; yinohet.cegarra@pedidosya.com; daiana.lopez@pedidosya.com', e.constant)
	when d.document_number = '20603543581' then AEAD.ENCRYPT(e.key, 'controversias@kushkipagos.com; erika@kushkipagos.com; soporte@kushki.zendesk.com', e.constant)
	when length(AEAD.DECRYPT_STRING(f.key, c.correo_operador_proceso, f.constant))&gt;8 then c.correo_operador_proceso
	when length(AEAD.DECRYPT_STRING(f.key, c.correo_fact_elect, f.constant))&gt;8 then c.correo_fact_elect
	when length(AEAD.DECRYPT_STRING(f.key, c.correo_representante_legal, f.constant))&gt;8 then c.correo_representante_legal
	else null
	end
from master_risk.t_contracargo_visa_rol500 a
left join bi_riesgo.dv_contracargo_liquidacion b on (a.arn_transaccion = c.arn_ard and b.cod_tipo_transaccion in ('76','77','78') and b.metodo_ingreso is not null)
left join master_party.m_comercio c on (b.cod_comercio = c.cod_comercio)
left join master_pii.iden_party_data_control d on (c.party_id_izi = d.party_id_izi)
left join secure_secrets.config_protected_data e on e.code = 'C_EMAIL'
left join secure_secrets.config_protected_data f on 1=1 and f.code='C_EMAIL'
where a.descripcion_estado = 'DISPUTE FINANCIAL'</t>
  </si>
  <si>
    <t>flag_retencion</t>
  </si>
  <si>
    <t>bi_riesgo.dv_contracargo_mastercard
master_risk.m_contracargo_devolucion
master_risk.t_contracargo_visa_rol500</t>
  </si>
  <si>
    <t>nro_referencia_acq/tarjeta_enmascarada/cod_comercio
fecha_proceso/ard/tarjeta_enmascarada/cod_comercio
nro_referencia_acq/tarjeta_enmascarada</t>
  </si>
  <si>
    <t>select
case
when b.fecha_retencion is not null then true
else false
end
from bi_riesgo.dv_contracargo_mastercard a
left join (
select
    tarjeta_enmascarada,
    cod_comercio,
	case
        when cod_comercio = '8053722' and cod_autorizacion = '007478' then '74357044196003029300035'
        when cod_comercio = '5511724' and cod_autorizacion = '568256' then '75301504199001678800010'
        when cod_comercio = '8575202' and cod_autorizacion = '40673z' then '75301504026004971600011'
        when cod_comercio = '8740135' and cod_autorizacion = '015375' then '75301503170000119000011'
        when cod_comercio = '8327168' and cod_autorizacion = 'nvfsav' then '75301503317002570900030'
        when cod_comercio = '5521923' and cod_autorizacion = '456219' then '75301503348002376800015'
        when cod_comercio = '5511724' and cod_autorizacion = '983363' then '75301503301003287500012'
        when cod_comercio = '5511724' and cod_autorizacion = '593607' then '75301503301003287500020'
        when cod_comercio = '8905855' and cod_autorizacion = '476773' then '75301503145002633200012'
        when cod_comercio = '8810629' and cod_autorizacion = '056640' then '75301503193002803300023'
        when cod_comercio = '8810629' and cod_autorizacion = '407435' then '75301503192003220500014'
        when cod_comercio = '5487188' and cod_autorizacion = '039746' then '75301503192000527400013'
        when cod_comercio = '5078336' and cod_autorizacion = 'fzg5gb' then '75301502244006759400019'
        when cod_comercio = '5078336' and cod_autorizacion = 'bb1rn6' then '75301502244006759400027'
        when cod_comercio = '2103192' and cod_autorizacion = '462357' then '74357041361005169400108'
        when cod_comercio = '1782380' and cod_autorizacion = '098487' then '75301502145005542200033'
        when cod_comercio = '2518287' and cod_autorizacion = '673550' then '74357042234005718000055'
        when cod_comercio = '8455141' and cod_autorizacion = '049716' then '75301502012006716200205'
        else ard
    end as ard,
    cod_autorizacion,
    moneda,
    max(fecha_proceso) as fecha_retencion,
    sum(mto_venta_bruto) as importetotaltrx
from master_risk.m_contracargo_devolucion
where cod_tipo_trx = '34'
  and left(bin,1) in ('4','2','5','3')
group by all
) b on (a.nro_referencia_acq = b.ard and a.tarjeta_enmascarada = b.tarjeta_enmascarada and a.cod_comercio = b.cod_comercio)
where a.cod_funcion in ('450','453')
union all
select
case
when b.fecha_retencion is not null then true
else false
end
from master_risk.t_contracargo_visa_rol500 a
left join (
select
    tarjeta_enmascarada,
    cod_comercio,
	case
        when cod_comercio = '8053722' and cod_autorizacion = '007478' then '74357044196003029300035'
        when cod_comercio = '5511724' and cod_autorizacion = '568256' then '75301504199001678800010'
        when cod_comercio = '8575202' and cod_autorizacion = '40673z' then '75301504026004971600011'
        when cod_comercio = '8740135' and cod_autorizacion = '015375' then '75301503170000119000011'
        when cod_comercio = '8327168' and cod_autorizacion = 'nvfsav' then '75301503317002570900030'
        when cod_comercio = '5521923' and cod_autorizacion = '456219' then '75301503348002376800015'
        when cod_comercio = '5511724' and cod_autorizacion = '983363' then '75301503301003287500012'
        when cod_comercio = '5511724' and cod_autorizacion = '593607' then '75301503301003287500020'
        when cod_comercio = '8905855' and cod_autorizacion = '476773' then '75301503145002633200012'
        when cod_comercio = '8810629' and cod_autorizacion = '056640' then '75301503193002803300023'
        when cod_comercio = '8810629' and cod_autorizacion = '407435' then '75301503192003220500014'
        when cod_comercio = '5487188' and cod_autorizacion = '039746' then '75301503192000527400013'
        when cod_comercio = '5078336' and cod_autorizacion = 'fzg5gb' then '75301502244006759400019'
        when cod_comercio = '5078336' and cod_autorizacion = 'bb1rn6' then '75301502244006759400027'
        when cod_comercio = '2103192' and cod_autorizacion = '462357' then '74357041361005169400108'
        when cod_comercio = '1782380' and cod_autorizacion = '098487' then '75301502145005542200033'
        when cod_comercio = '2518287' and cod_autorizacion = '673550' then '74357042234005718000055'
        when cod_comercio = '8455141' and cod_autorizacion = '049716' then '75301502012006716200205'
        else ard
    end as ard,
	cod_autorizacion,
    moneda,
    max(fecha_proceso) as fecha_retencion,
    sum(mto_venta_bruto) as importetotaltrx
from master_risk.m_contracargo_devolucion
where cod_tipo_trx = '34'
  and left(bin,1) in ('4','2','5','3')
group by all
) b
on (a.arn_transaccion = b.ard and a.tarjeta_enmascarada = b.tarjeta_enmascarada)
where a.descripcion_estado = 'DISPUTE FINANCIAL'</t>
  </si>
  <si>
    <t>flag_devolucion</t>
  </si>
  <si>
    <t>select
case
when b.fecha_proceso is not null then true
else false
end
from bi_riesgo.dv_contracargo_mastercard a
left join (
select
    tarjeta_enmascarada,
    cod_comercio,
    ard,
    moneda,
    metodo_ingreso,
    max(fecha_trx) as fecha_trx,
    max(fecha_proceso) as fecha_proceso,
    sum(mto_venta_bruto) as mto_venta_bruto
from master_risk.m_contracargo_devolucion
where left(cod_tipo_trx,1) = '8'
  and left(arn,1) = '7'
  and left(bin,1) in ('4','2','5','3')
  group by all
) b
on (a.nro_referencia_acq = b.ard and a.tarjeta_enmascarada = b.tarjeta_enmascarada and a.cod_comercio = b.cod_comercio)
where a.cod_funcion in ('450','453')
union all
select
case
when b.fecha_proceso is not null then true
else false
end
from master_risk.t_contracargo_visa_rol500 a
left join (
select
    tarjeta_enmascarada,
    cod_comercio,
    ard,
    moneda,
    metodo_ingreso,
    max(fecha_trx) as fecha_trx,
    max(fecha_proceso) as fecha_proceso,
    sum(mto_venta_bruto) as mto_venta_bruto
from master_risk.m_contracargo_devolucion
where left(cod_tipo_trx,1) = '8'
  and left(arn,1) = '7'
  and left(bin,1) in ('4','2','5','3')
  group by all
) b
on (a.nro_referencia_acq = b.ard and a.tarjeta_enmascarada = b.tarjeta_enmascarada)
where a.descripcion_estado = 'DISPUTE FINANCIAL'</t>
  </si>
  <si>
    <t>flag_pptr</t>
  </si>
  <si>
    <t>bi_riesgo.dv_contracargo_mastercard
master_party.m_comercio
master_risk.t_contracargo_visa_rol500
bi_riesgo.dv_contracargo_liquidacion</t>
  </si>
  <si>
    <t>cod_comercio
cod_comercio/flag_pptr
arn_transaccion
cod_comercio/cod_tipo_transaccion/metodo_ingreso</t>
  </si>
  <si>
    <t>select
b.flag_pptr
from bi_riesgo.dv_contracargo_mastercard a
left join master_party.m_comercio b
on (a.cod_comercio = b.cod_comercio)
where a.cod_funcion in ('450','453')
union all
select
c.flag_pptr
from master_risk.t_contracargo_visa_rol500 a
left join bi_riesgo.dv_contracargo_liquidacion b
on (a.arn_transaccion = c.arn_ard and b.cod_tipo_transaccion in ('76','77','78') and b.metodo_ingreso is not null)
left join master_party.m_comercio c
on (b.cod_comercio = c.cod_comercio)
where a.descripcion_estado = 'DISPUTE FINANCIAL'</t>
  </si>
  <si>
    <t>flag_reversa</t>
  </si>
  <si>
    <t>cod_razon/nro_referencia_acq/nro_control
num_caso_vrol/arn_transaccion/num_caso_vrol</t>
  </si>
  <si>
    <t>select 
case
when b.cod_razon is not null then true
else false
end
from bi_riesgo.dv_contracargo_mastercard a
left join (
    select
        nro_referencia_acq,
        nro_control,
        cod_razon,
        fecha_ingreso
    from bi_riesgo.dv_contracargo_mastercard
    where cod_funcion in ('450R','453R')
    qualify row_number() over (partition by nro_referencia_acq, nro_control order by fecha_ingreso desc, mto_contracargo_sol desc) = 1
) b
on a.nro_referencia_acq = b.nro_referencia_acq and a.nro_control = b.nro_control
where a.cod_funcion in ('450','453')
union all
select 
case
when b.num_caso_vrol is not null then true
else false
end
from
(
    select
        *,
        row_number() over (partition by arn_transaccion, num_caso_vrol order by fecha_liquidacion desc, mto_venta desc) as orden
    from master_risk.t_contracargo_visa_rol500
    where descripcion_estado = 'DISPUTE FINANCIAL'
) a
left join
(
    select 
        fecha_liquidacion as fecha_reversa,
        arn_transaccion,
        num_caso_vrol,
        case
            when arn_transaccion = '74357045003001757523307' and num_caso_vrol = '5407262287' and cod_categoria_contracargo = '13' and cod_subcategoria_contracargo = '1' then 2
            when arn_transaccion = '74357044341007549900277' and num_caso_vrol = '5405590657' and cod_categoria_contracargo = '13' and cod_subcategoria_contracargo = '1' then 2
            when arn_transaccion = '74357045010004045201323' and num_caso_vrol = '5417808623' and cod_categoria_contracargo = '10' and cod_subcategoria_contracargo = '4' then 2
            when arn_transaccion = '74357045032003264219820' and num_caso_vrol = '5428843693' and cod_categoria_contracargo = '10' and cod_subcategoria_contracargo = '4' then 2
            when arn_transaccion = '74357045070001702321649' and num_caso_vrol = '5443953911' and cod_categoria_contracargo = '10' and cod_subcategoria_contracargo = '4' then 2
            when arn_transaccion = '74357044340002888015754' and num_caso_vrol = '2545543136' and cod_categoria_contracargo = '13' and cod_subcategoria_contracargo = '6' then 2
            when arn_transaccion = '74357045033001414000289' and num_caso_vrol = '2551397602' and cod_categoria_contracargo = '13' and cod_subcategoria_contracargo = '6' then 2
            else row_number() over (
                partition by arn_transaccion, num_caso_vrol
                order by fecha_liquidacion asc
            )
        end as orden
    from master_risk.t_contracargo_visa_rol500
    where descripcion_estado = 'DISPUTE REVERSAL - RECALL'
    qualify row_number() over (partition by arn_transaccion, num_caso_vrol order by fecha_liquidacion desc, mto_venta desc) = 1
) b
on  a.arn_transaccion = b.arn_transaccion and a.num_caso_vrol = b.num_caso_vrol and a.orden = b.orden</t>
  </si>
  <si>
    <t>flag_moneda_trx_cc</t>
  </si>
  <si>
    <t>cod_moneda
moneda
moneda
moneda</t>
  </si>
  <si>
    <t>select
case 
when (case when a.cod_moneda = 'SOL PERUANO' then 'PEN' when a.cod_moneda = 'DOLAR ESTADOUNIDENSE' then 'USD' end) = coalesce(b.moneda, c.moneda) then true 
else false
end
from bi_riesgo.dv_contracargo_mastercard a
left join (
select
    tarjeta_enmascarada,
    cod_comercio,
    ard,
    moneda,
    metodo_ingreso,
    max(fecha_trx) as fecha_trx,
    max(fecha_proceso) as fecha_proceso,
    sum(mto_venta_bruto) as mto_venta_bruto
from master_risk.m_contracargo_devolucion
where left(cod_tipo_trx,1) = '8'
  and left(arn,1) = '7'
  and left(bin,1) in ('4','2','5','3')
  group by all
) b
on (a.nro_referencia_acq = b.ard and a.tarjeta_enmascarada = b.tarjeta_enmascarada and a.cod_comercio = b.cod_comercio)
left join bi_riesgo.dv_contracargo_liquidacion c
on (a.nro_referencia_acq = c.arn_ard and a.tarjeta_enmascarada = c.tarjeta_enmascarada and a.cod_comercio = c.cod_comercio and c.cod_tipo_transaccion in ('76','77','78') and c.metodo_ingreso is not null)
where cod_funcion in ('450','453')
union all
select
case
when (case when a.moneda = 'SOL PERUANO' then 'PEN' when a.moneda = 'DOLAR ESTADOUNIDENSE' then 'USD' end) = b.moneda then true 
else false
from master_risk.t_contracargo_visa_rol500 a
left join bi_riesgo.dv_contracargo_liquidacion b
on (a.arn_transaccion = b.arn_ard and a.tarjeta_enmascarada = b.tarjeta_enmascarada and b.cod_tipo_transaccion in ('76','77','78') and b.metodo_ingreso is not null)
where descripcion_estado = 'DISPUTE FINANCIAL'</t>
  </si>
  <si>
    <t>flag_correo</t>
  </si>
  <si>
    <t>*Varios</t>
  </si>
  <si>
    <t>select
case
when a.ind_unicidad_contracargo &lt;&gt; 'CC UNICO' or a.ind_unicidad_contracargo is null then false
when a.cod_tipo_contracargo = '20' then false
when k.fecha_ingreso is not null then false
when date_diff(a.fecha_ingreso, coalesce(f.fecha_proceso, g.process_date), day) &gt;= 121 then false
when c.party_id_izi is not null then false
else true
end
from bi_riesgo.dv_contracargo_mastercard a
left join master_party.m_comercio b on (a.cod_comercio = b.cod_comercio)
left join master_pii.iden_party_data_control c on (b.party_id_izi = c.party_id_izi and c.hash_id_izi = upper(to_hex(sha256(upper(to_hex(sha256('03000020505377142')))))))
left join master_pii.iden_party_data_control d on (b.party_id_izi = d.party_id_izi and d.hash_id_izi = upper(to_hex(sha256(upper(to_hex(sha256('03000020337101276')))))))
left join master_pii.iden_party_data_control e on (b.party_id_izi = e.party_id_izi and e.hash_id_izi = upper(to_hex(sha256(upper(to_hex(sha256('03000020505377142')))))))
left join (
select
    tarjeta_enmascarada,
    cod_comercio,
    ard,
    moneda,
    metodo_ingreso,
    max(fecha_trx) as fecha_trx,
    max(fecha_proceso) as fecha_proceso,
    sum(mto_venta_bruto) as mto_venta_bruto
from master_risk.m_contracargo_devolucion
where left(cod_tipo_trx,1) = '8' and left(arn,1) = '7' and left(bin,1) in ('4','2','5','3') group by all
) f on (a.nro_referencia_acq = f.ard and a.tarjeta_enmascarada = f.tarjeta_enmascarada and a.cod_comercio = f.cod_comercio)
left join bi_riesgo.dv_contracargo_liquidacion g on (a.nro_referencia_acq = g.arn_ard and a.tarjeta_enmascarada = g.tarjeta_enmascarada and a.cod_comercio = g.cod_comercio and g.cod_tipo_transaccion in ('76','77','78') and g.metodo_ingreso is not null)
left join master_data.c_motivo_contracargo h on (a.cod_razon = h.cod_contracargo)
left join master_pii.iden_party_data_control i on (b.party_id_izi = i.party_id_izi and i.hash_id_izi = upper(to_hex(sha256(upper(to_hex(sha256('03000020523621212')))))))
left join (select distinct cod_comercio from master_party.m_autenticacion_ecommerce where autenticacion = 'AUTENTICACION 3DS') j on (a.cod_comercio = j.cod_comercio)
left join (
    select
        nro_referencia_acq,
        nro_control,
        fecha_ingreso
    from bi_riesgo.dv_contracargo_mastercard
    where cod_funcion in ('450R','453R')
    qualify row_number() over (partition by nro_referencia_acq, nro_control order by fecha_ingreso desc, mto_contracargo_sol desc) = 1
) k
on a.nro_referencia_acq = k.nro_referencia_acq and a.nro_control = k.nro_control
where a.cod_funcion in ('450','453')
union all
select
case
when a.tipo_contracargo &lt;&gt; 'CC UNICO' or a.tipo_contracargo is null then false
else true
end
from master_risk.t_contracargo_visa_rol500 a
where a.descripcion_estado = 'DISPUTE FINANCIAL'</t>
  </si>
  <si>
    <t>flag_atencion_gestion_datos</t>
  </si>
  <si>
    <t>*Todo lo anterior</t>
  </si>
  <si>
    <t>case 
when linea_atencion = 'L1'
and flag_correo is true
and atencion_tica = 'ATENCIÓN GD'
and atencion_importe = 'ATENCIÓN GD'
and categoria_motivo_contracargo = 'FRAUDE'
and (left(motivo_cc,4) &lt;&gt; '10.3' or motivo_cc is null)
and (cod_comercio &lt;&gt; '4077524' or cod_comercio is null) then true
else false</t>
  </si>
  <si>
    <t>record_source</t>
  </si>
  <si>
    <t>CONTRACARGOS VISA &amp; MASTERCARD</t>
  </si>
  <si>
    <t>current_datetime("America/Lima")</t>
  </si>
  <si>
    <t>creation_user</t>
  </si>
  <si>
    <t>session_user()</t>
  </si>
  <si>
    <t>current_date("America/Lima")</t>
  </si>
  <si>
    <t>Para fecha inicio y fecha final se debe considerar esta lógica de acuerdo a la fecha de ejecución:
Si es lunes, solo considera fecha_contracargo del último viernes
Si es martes, consideras fecha_contracargo de sábado al martes
Si es otro día, consideras fecha_contracargo del día anterior
Se debe generar 1 archivo por fecha con el siguiente nombre: "reporte_cc_primera_linea_yyyymmdd.csv" donde yyyymmdd corresponde a la fecha de contracargo</t>
  </si>
  <si>
    <t>bi_riesgo.dv_consolidacion_contracargo</t>
  </si>
  <si>
    <t>select 
a.cod_comercio 
from bi_riesgo.dv_consolidacion_contracargo a
left join master_pii.iden_party_data_control b
on (a.party_id_izi = b.party_id_izi)
where a.linea_atencion = 'L1' and b.document_number &lt;&gt; '20523621212' and a.fecha_contracargo &gt;= &lt;fecha_inicio&gt; and b.fecha_contracargo &lt;= &lt;fecha_fin&gt;</t>
  </si>
  <si>
    <t>select 
tarjeta_enmascarada
from bi_riesgo.dv_consolidacion_contracargo a
left join master_pii.iden_party_data_control b
on (a.party_id_izi = b.party_id_izi)
where a.linea_atencion = 'L1' and b.document_number &lt;&gt; '20523621212' and a.fecha_contracargo &gt;= &lt;fecha_inicio&gt; and b.fecha_contracargo &lt;= &lt;fecha_fin&gt;</t>
  </si>
  <si>
    <t>select 
a.nom_comercio 
from bi_riesgo.dv_consolidacion_contracargo a
left join master_pii.iden_party_data_control b
on (a.party_id_izi = b.party_id_izi)
where a.linea_atencion = 'L1' and b.document_number &lt;&gt; '20523621212' and a.fecha_contracargo &gt;= &lt;fecha_inicio&gt; and b.fecha_contracargo &lt;= &lt;fecha_fin&gt;</t>
  </si>
  <si>
    <t>select 
a.moneda_trx 
from bi_riesgo.dv_consolidacion_contracargo a
left join master_pii.iden_party_data_control b
on (a.party_id_izi = b.party_id_izi)
where a.linea_atencion = 'L1' and b.document_number &lt;&gt; '20523621212' and a.fecha_contracargo &gt;= &lt;fecha_inicio&gt; and b.fecha_contracargo &lt;= &lt;fecha_fin&gt;</t>
  </si>
  <si>
    <t>select 
a.mto_trx 
from bi_riesgo.dv_consolidacion_contracargo a
left join master_pii.iden_party_data_control b
on (a.party_id_izi = b.party_id_izi)
where a.linea_atencion = 'L1' and b.document_number &lt;&gt; '20523621212' and a.fecha_contracargo &gt;= &lt;fecha_inicio&gt; and b.fecha_contracargo &lt;= &lt;fecha_fin&gt;</t>
  </si>
  <si>
    <t>select 
a.fecha_trx 
from bi_riesgo.dv_consolidacion_contracargo a
left join master_pii.iden_party_data_control b
on (a.party_id_izi = b.party_id_izi)
where a.linea_atencion = 'L1' and b.document_number &lt;&gt; '20523621212' and a.fecha_contracargo &gt;= &lt;fecha_inicio&gt; and b.fecha_contracargo &lt;= &lt;fecha_fin&gt;</t>
  </si>
  <si>
    <t>select 
a.cod_autorizacion 
from bi_riesgo.dv_consolidacion_contracargo a
left join master_pii.iden_party_data_control b
on (a.party_id_izi = b.party_id_izi)
where a.linea_atencion = 'L1' and b.document_number &lt;&gt; '20523621212' and a.fecha_contracargo &gt;= &lt;fecha_inicio&gt; and b.fecha_contracargo &lt;= &lt;fecha_fin&gt;</t>
  </si>
  <si>
    <t>select 
a.motivo_cc 
from bi_riesgo.dv_consolidacion_contracargo a
left join master_pii.iden_party_data_control b
on (a.party_id_izi = b.party_id_izi)
where a.linea_atencion = 'L1' and b.document_number &lt;&gt; '20523621212' and a.fecha_contracargo &gt;= &lt;fecha_inicio&gt; and b.fecha_contracargo &lt;= &lt;fecha_fin&gt;</t>
  </si>
  <si>
    <t>select 
a.voucher 
from bi_riesgo.dv_consolidacion_contracargo a
left join master_pii.iden_party_data_control b
on (a.party_id_izi = b.party_id_izi)
where a.linea_atencion = 'L1' and b.document_number &lt;&gt; '20523621212' and a.fecha_contracargo &gt;= &lt;fecha_inicio&gt; and b.fecha_contracargo &lt;= &lt;fecha_fin&gt;</t>
  </si>
  <si>
    <t>select 
a.referencia 
from bi_riesgo.dv_consolidacion_contracargo a
left join master_pii.iden_party_data_control b
on (a.party_id_izi = b.party_id_izi)
where a.linea_atencion = 'L1' and b.document_number &lt;&gt; '20523621212' and a.fecha_contracargo &gt;= &lt;fecha_inicio&gt; and b.fecha_contracargo &lt;= &lt;fecha_fin&gt;</t>
  </si>
  <si>
    <t>select 
a.fecha_devolucion 
from bi_riesgo.dv_consolidacion_contracargo a
left join master_pii.iden_party_data_control b
on (a.party_id_izi = b.party_id_izi)
where a.linea_atencion = 'L1' and b.document_number &lt;&gt; '20523621212' and a.fecha_contracargo &gt;= &lt;fecha_inicio&gt; and b.fecha_contracargo &lt;= &lt;fecha_fin&gt;</t>
  </si>
  <si>
    <t>bi_riesgo.dv_consolidacion_contracargo
secure_secrets.config_protected_data</t>
  </si>
  <si>
    <t>select
nullif(upper(trim(AEAD.DECRYPT_STRING(b.key, a.razon_social,b.constant))),'')
from bi_riesgo.dv_consolidacion_contracargo a
left join secure_secrets.config_protected_data b on b.code = 'C_FULL_NAME' 
where a.linea_atencion = 'L1' and b.document_number &lt;&gt; '20523621212' and a.fecha_contracargo &gt;= &lt;fecha_inicio&gt; and b.fecha_contracargo &lt;= &lt;fecha_fin&gt;</t>
  </si>
  <si>
    <t>select 
a.nro_control_contracargo 
from bi_riesgo.dv_consolidacion_contracargo a
left join master_pii.iden_party_data_control b
on (a.party_id_izi = b.party_id_izi)
where a.linea_atencion = 'L1' and b.document_number &lt;&gt; '20523621212' and a.fecha_contracargo &gt;= &lt;fecha_inicio&gt; and b.fecha_contracargo &lt;= &lt;fecha_fin&gt;</t>
  </si>
  <si>
    <t>select 
a.moneda_contracargo 
from bi_riesgo.dv_consolidacion_contracargo a
left join master_pii.iden_party_data_control b
on (a.party_id_izi = b.party_id_izi)
where a.linea_atencion = 'L1' and b.document_number &lt;&gt; '20523621212' and a.fecha_contracargo &gt;= &lt;fecha_inicio&gt; and b.fecha_contracargo &lt;= &lt;fecha_fin&gt;</t>
  </si>
  <si>
    <t>select 
a.mto_contracargo 
from bi_riesgo.dv_consolidacion_contracargo a
left join master_pii.iden_party_data_control b
on (a.party_id_izi = b.party_id_izi)
where a.linea_atencion = 'L1' and b.document_number &lt;&gt; '20523621212' and a.fecha_contracargo &gt;= &lt;fecha_inicio&gt; and b.fecha_contracargo &lt;= &lt;fecha_fin&gt;</t>
  </si>
  <si>
    <t>select 
a.arn_ard 
from bi_riesgo.dv_consolidacion_contracargo a
left join master_pii.iden_party_data_control b
on (a.party_id_izi = b.party_id_izi)
where a.linea_atencion = 'L1' and b.document_number &lt;&gt; '20523621212' and a.fecha_contracargo &gt;= &lt;fecha_inicio&gt; and b.fecha_contracargo &lt;= &lt;fecha_fin&gt;</t>
  </si>
  <si>
    <t>select 
a.fecha_contracargo 
from bi_riesgo.dv_consolidacion_contracargo a
left join master_pii.iden_party_data_control b
on (a.party_id_izi = b.party_id_izi)
where a.linea_atencion = 'L1' and b.document_number &lt;&gt; '20523621212' and a.fecha_contracargo &gt;= &lt;fecha_inicio&gt; and b.fecha_contracargo &lt;= &lt;fecha_fin&gt;</t>
  </si>
  <si>
    <t>select 
a.cod_respuesta_ecommerce 
from bi_riesgo.dv_consolidacion_contracargo a
left join master_pii.iden_party_data_control b
on (a.party_id_izi = b.party_id_izi)
where a.linea_atencion = 'L1' and b.document_number &lt;&gt; '20523621212' and a.fecha_contracargo &gt;= &lt;fecha_inicio&gt; and b.fecha_contracargo &lt;= &lt;fecha_fin&gt;</t>
  </si>
  <si>
    <t>select 
a.ind_unicidad_contracargo 
from bi_riesgo.dv_consolidacion_contracargo a
left join master_pii.iden_party_data_control b
on (a.party_id_izi = b.party_id_izi)
where a.linea_atencion = 'L1' and b.document_number &lt;&gt; '20523621212' and a.fecha_contracargo &gt;= &lt;fecha_inicio&gt; and b.fecha_contracargo &lt;= &lt;fecha_fin&gt;</t>
  </si>
  <si>
    <t>select 
a.orden_cc 
from bi_riesgo.dv_consolidacion_contracargo a
left join master_pii.iden_party_data_control b
on (a.party_id_izi = b.party_id_izi)
where a.linea_atencion = 'L1' and b.document_number &lt;&gt; '20523621212' and a.fecha_contracargo &gt;= &lt;fecha_inicio&gt; and b.fecha_contracargo &lt;= &lt;fecha_fin&gt;</t>
  </si>
  <si>
    <t>select 
a.cod_terminal 
from bi_riesgo.dv_consolidacion_contracargo a
left join master_pii.iden_party_data_control b
on (a.party_id_izi = b.party_id_izi)
where a.linea_atencion = 'L1' and b.document_number &lt;&gt; '20523621212' and a.fecha_contracargo &gt;= &lt;fecha_inicio&gt; and b.fecha_contracargo &lt;= &lt;fecha_fin&gt;</t>
  </si>
  <si>
    <t>select 
a.metodo_ingreso 
from bi_riesgo.dv_consolidacion_contracargo a
left join master_pii.iden_party_data_control b
on (a.party_id_izi = b.party_id_izi)
where a.linea_atencion = 'L1' and b.document_number &lt;&gt; '20523621212' and a.fecha_contracargo &gt;= &lt;fecha_inicio&gt; and b.fecha_contracargo &lt;= &lt;fecha_fin&gt;</t>
  </si>
  <si>
    <t>select
nullif(upper(trim(AEAD.DECRYPT_STRING(b.key, a.correo_contacto,b.constant))),'')
from bi_riesgo.dv_consolidacion_contracargo a
left join secure_secrets.config_protected_data b on b.code = 'C_FULL_NAME' 
where a.linea_atencion = 'L1' and b.document_number &lt;&gt; '20523621212' and a.fecha_contracargo &gt;= &lt;fecha_inicio&gt; and b.fecha_contracargo &lt;= &lt;fecha_fin&gt;</t>
  </si>
  <si>
    <t>select 
a.linea_atencion 
from bi_riesgo.dv_consolidacion_contracargo a
left join master_pii.iden_party_data_control b
on (a.party_id_izi = b.party_id_izi)
where a.linea_atencion = 'L1' and b.document_number &lt;&gt; '20523621212' and a.fecha_contracargo &gt;= &lt;fecha_inicio&gt; and b.fecha_contracargo &lt;= &lt;fecha_fin&gt;</t>
  </si>
  <si>
    <t>select 
a.flag_retencion 
from bi_riesgo.dv_consolidacion_contracargo a
left join master_pii.iden_party_data_control b
on (a.party_id_izi = b.party_id_izi)
where a.linea_atencion = 'L1' and b.document_number &lt;&gt; '20523621212' and a.fecha_contracargo &gt;= &lt;fecha_inicio&gt; and b.fecha_contracargo &lt;= &lt;fecha_fin&gt;</t>
  </si>
  <si>
    <t>select 
a.flag_devolucion 
from bi_riesgo.dv_consolidacion_contracargo a
left join master_pii.iden_party_data_control b
on (a.party_id_izi = b.party_id_izi)
where a.linea_atencion = 'L1' and b.document_number &lt;&gt; '20523621212' and a.fecha_contracargo &gt;= &lt;fecha_inicio&gt; and b.fecha_contracargo &lt;= &lt;fecha_fin&gt;</t>
  </si>
  <si>
    <t>dv_consolidacion_contracargo - CONTRACARGOS VISA &amp; MASTERCARD</t>
  </si>
  <si>
    <t>Para fecha inicio y fecha final se debe considerar esta lógica de acuerdo a la fecha de ejecución:
Si es lunes, solo considera fecha_contracargo del último viernes
Si es martes, consideras fecha_contracargo de sábado al martes
Si es otro día, consideras fecha_contracargo del día anterior
Se debe generar 1 archivo por fecha con el siguiente nombre: "reporte_cc_tercera_linea_yyyymmdd.csv" donde yyyymmdd corresponde a la fecha de contracargo</t>
  </si>
  <si>
    <t>select 
a.cod_comercio 
from bi_riesgo.dv_consolidacion_contracargo a
left join master_pii.iden_party_data_control b
on (a.party_id_izi = b.party_id_izi)
where a.linea_atencion = 'L3' and b.document_number &lt;&gt; '20523621212' and a.fecha_contracargo &gt;= &lt;fecha_inicio&gt; and b.fecha_contracargo &lt;= &lt;fecha_fin&gt;</t>
  </si>
  <si>
    <t>select 
tarjeta_enmascarada
from bi_riesgo.dv_consolidacion_contracargo a
left join master_pii.iden_party_data_control b
on (a.party_id_izi = b.party_id_izi)
where a.linea_atencion = 'L3' and b.document_number &lt;&gt; '20523621212' and a.fecha_contracargo &gt;= &lt;fecha_inicio&gt; and b.fecha_contracargo &lt;= &lt;fecha_fin&gt;</t>
  </si>
  <si>
    <t>select 
a.nom_comercio 
from bi_riesgo.dv_consolidacion_contracargo a
left join master_pii.iden_party_data_control b
on (a.party_id_izi = b.party_id_izi)
where a.linea_atencion = 'L3' and b.document_number &lt;&gt; '20523621212' and a.fecha_contracargo &gt;= &lt;fecha_inicio&gt; and b.fecha_contracargo &lt;= &lt;fecha_fin&gt;</t>
  </si>
  <si>
    <t>select 
a.moneda_trx 
from bi_riesgo.dv_consolidacion_contracargo a
left join master_pii.iden_party_data_control b
on (a.party_id_izi = b.party_id_izi)
where a.linea_atencion = 'L3' and b.document_number &lt;&gt; '20523621212' and a.fecha_contracargo &gt;= &lt;fecha_inicio&gt; and b.fecha_contracargo &lt;= &lt;fecha_fin&gt;</t>
  </si>
  <si>
    <t>select 
a.mto_trx 
from bi_riesgo.dv_consolidacion_contracargo a
left join master_pii.iden_party_data_control b
on (a.party_id_izi = b.party_id_izi)
where a.linea_atencion = 'L3' and b.document_number &lt;&gt; '20523621212' and a.fecha_contracargo &gt;= &lt;fecha_inicio&gt; and b.fecha_contracargo &lt;= &lt;fecha_fin&gt;</t>
  </si>
  <si>
    <t>select 
a.fecha_trx 
from bi_riesgo.dv_consolidacion_contracargo a
left join master_pii.iden_party_data_control b
on (a.party_id_izi = b.party_id_izi)
where a.linea_atencion = 'L3' and b.document_number &lt;&gt; '20523621212' and a.fecha_contracargo &gt;= &lt;fecha_inicio&gt; and b.fecha_contracargo &lt;= &lt;fecha_fin&gt;</t>
  </si>
  <si>
    <t>select 
a.cod_autorizacion 
from bi_riesgo.dv_consolidacion_contracargo a
left join master_pii.iden_party_data_control b
on (a.party_id_izi = b.party_id_izi)
where a.linea_atencion = 'L3' and b.document_number &lt;&gt; '20523621212' and a.fecha_contracargo &gt;= &lt;fecha_inicio&gt; and b.fecha_contracargo &lt;= &lt;fecha_fin&gt;</t>
  </si>
  <si>
    <t>select 
a.motivo_cc 
from bi_riesgo.dv_consolidacion_contracargo a
left join master_pii.iden_party_data_control b
on (a.party_id_izi = b.party_id_izi)
where a.linea_atencion = 'L3' and b.document_number &lt;&gt; '20523621212' and a.fecha_contracargo &gt;= &lt;fecha_inicio&gt; and b.fecha_contracargo &lt;= &lt;fecha_fin&gt;</t>
  </si>
  <si>
    <t>select 
a.voucher 
from bi_riesgo.dv_consolidacion_contracargo a
left join master_pii.iden_party_data_control b
on (a.party_id_izi = b.party_id_izi)
where a.linea_atencion = 'L3' and b.document_number &lt;&gt; '20523621212' and a.fecha_contracargo &gt;= &lt;fecha_inicio&gt; and b.fecha_contracargo &lt;= &lt;fecha_fin&gt;</t>
  </si>
  <si>
    <t>select 
a.referencia 
from bi_riesgo.dv_consolidacion_contracargo a
left join master_pii.iden_party_data_control b
on (a.party_id_izi = b.party_id_izi)
where a.linea_atencion = 'L3' and b.document_number &lt;&gt; '20523621212' and a.fecha_contracargo &gt;= &lt;fecha_inicio&gt; and b.fecha_contracargo &lt;= &lt;fecha_fin&gt;</t>
  </si>
  <si>
    <t>select 
a.fecha_devolucion 
from bi_riesgo.dv_consolidacion_contracargo a
left join master_pii.iden_party_data_control b
on (a.party_id_izi = b.party_id_izi)
where a.linea_atencion = 'L3' and b.document_number &lt;&gt; '20523621212' and a.fecha_contracargo &gt;= &lt;fecha_inicio&gt; and b.fecha_contracargo &lt;= &lt;fecha_fin&gt;</t>
  </si>
  <si>
    <t>select
nullif(upper(trim(AEAD.DECRYPT_STRING(b.key, a.razon_social,b.constant))),'')
from bi_riesgo.dv_consolidacion_contracargo a
left join secure_secrets.config_protected_data b on b.code = 'C_FULL_NAME' 
where a.linea_atencion = 'L3' and b.document_number &lt;&gt; '20523621212' and a.fecha_contracargo &gt;= &lt;fecha_inicio&gt; and b.fecha_contracargo &lt;= &lt;fecha_fin&gt;</t>
  </si>
  <si>
    <t>select 
a.nro_control_contracargo 
from bi_riesgo.dv_consolidacion_contracargo a
left join master_pii.iden_party_data_control b
on (a.party_id_izi = b.party_id_izi)
where a.linea_atencion = 'L3' and b.document_number &lt;&gt; '20523621212' and a.fecha_contracargo &gt;= &lt;fecha_inicio&gt; and b.fecha_contracargo &lt;= &lt;fecha_fin&gt;</t>
  </si>
  <si>
    <t>select 
a.moneda_contracargo 
from bi_riesgo.dv_consolidacion_contracargo a
left join master_pii.iden_party_data_control b
on (a.party_id_izi = b.party_id_izi)
where a.linea_atencion = 'L3' and b.document_number &lt;&gt; '20523621212' and a.fecha_contracargo &gt;= &lt;fecha_inicio&gt; and b.fecha_contracargo &lt;= &lt;fecha_fin&gt;</t>
  </si>
  <si>
    <t>select 
a.mto_contracargo 
from bi_riesgo.dv_consolidacion_contracargo a
left join master_pii.iden_party_data_control b
on (a.party_id_izi = b.party_id_izi)
where a.linea_atencion = 'L3' and b.document_number &lt;&gt; '20523621212' and a.fecha_contracargo &gt;= &lt;fecha_inicio&gt; and b.fecha_contracargo &lt;= &lt;fecha_fin&gt;</t>
  </si>
  <si>
    <t>select 
a.arn_ard 
from bi_riesgo.dv_consolidacion_contracargo a
left join master_pii.iden_party_data_control b
on (a.party_id_izi = b.party_id_izi)
where a.linea_atencion = 'L3' and b.document_number &lt;&gt; '20523621212' and a.fecha_contracargo &gt;= &lt;fecha_inicio&gt; and b.fecha_contracargo &lt;= &lt;fecha_fin&gt;</t>
  </si>
  <si>
    <t>select 
a.fecha_contracargo 
from bi_riesgo.dv_consolidacion_contracargo a
left join master_pii.iden_party_data_control b
on (a.party_id_izi = b.party_id_izi)
where a.linea_atencion = 'L3' and b.document_number &lt;&gt; '20523621212' and a.fecha_contracargo &gt;= &lt;fecha_inicio&gt; and b.fecha_contracargo &lt;= &lt;fecha_fin&gt;</t>
  </si>
  <si>
    <t>select 
a.cod_respuesta_ecommerce 
from bi_riesgo.dv_consolidacion_contracargo a
left join master_pii.iden_party_data_control b
on (a.party_id_izi = b.party_id_izi)
where a.linea_atencion = 'L3' and b.document_number &lt;&gt; '20523621212' and a.fecha_contracargo &gt;= &lt;fecha_inicio&gt; and b.fecha_contracargo &lt;= &lt;fecha_fin&gt;</t>
  </si>
  <si>
    <t>select 
a.ind_unicidad_contracargo 
from bi_riesgo.dv_consolidacion_contracargo a
left join master_pii.iden_party_data_control b
on (a.party_id_izi = b.party_id_izi)
where a.linea_atencion = 'L3' and b.document_number &lt;&gt; '20523621212' and a.fecha_contracargo &gt;= &lt;fecha_inicio&gt; and b.fecha_contracargo &lt;= &lt;fecha_fin&gt;</t>
  </si>
  <si>
    <t>select 
a.orden_cc 
from bi_riesgo.dv_consolidacion_contracargo a
left join master_pii.iden_party_data_control b
on (a.party_id_izi = b.party_id_izi)
where a.linea_atencion = 'L3' and b.document_number &lt;&gt; '20523621212' and a.fecha_contracargo &gt;= &lt;fecha_inicio&gt; and b.fecha_contracargo &lt;= &lt;fecha_fin&gt;</t>
  </si>
  <si>
    <t>select 
a.cod_terminal 
from bi_riesgo.dv_consolidacion_contracargo a
left join master_pii.iden_party_data_control b
on (a.party_id_izi = b.party_id_izi)
where a.linea_atencion = 'L3' and b.document_number &lt;&gt; '20523621212' and a.fecha_contracargo &gt;= &lt;fecha_inicio&gt; and b.fecha_contracargo &lt;= &lt;fecha_fin&gt;</t>
  </si>
  <si>
    <t>select 
a.metodo_ingreso 
from bi_riesgo.dv_consolidacion_contracargo a
left join master_pii.iden_party_data_control b
on (a.party_id_izi = b.party_id_izi)
where a.linea_atencion = 'L3' and b.document_number &lt;&gt; '20523621212' and a.fecha_contracargo &gt;= &lt;fecha_inicio&gt; and b.fecha_contracargo &lt;= &lt;fecha_fin&gt;</t>
  </si>
  <si>
    <t>select
nullif(upper(trim(AEAD.DECRYPT_STRING(b.key, a.correo_contacto,b.constant))),'')
from bi_riesgo.dv_consolidacion_contracargo a
left join secure_secrets.config_protected_data b on b.code = 'C_EMAIL' 
where a.linea_atencion = 'L3' and b.document_number &lt;&gt; '20523621212' and a.fecha_contracargo &gt;= &lt;fecha_inicio&gt; and b.fecha_contracargo &lt;= &lt;fecha_fin&gt;</t>
  </si>
  <si>
    <t>select 
a.linea_atencion 
from bi_riesgo.dv_consolidacion_contracargo a
left join master_pii.iden_party_data_control b
on (a.party_id_izi = b.party_id_izi)
where a.linea_atencion = 'L3' and b.document_number &lt;&gt; '20523621212' and a.fecha_contracargo &gt;= &lt;fecha_inicio&gt; and b.fecha_contracargo &lt;= &lt;fecha_fin&gt;</t>
  </si>
  <si>
    <t>select 
a.flag_retencion 
from bi_riesgo.dv_consolidacion_contracargo a
left join master_pii.iden_party_data_control b
on (a.party_id_izi = b.party_id_izi)
where a.linea_atencion = 'L3' and b.document_number &lt;&gt; '20523621212' and a.fecha_contracargo &gt;= &lt;fecha_inicio&gt; and b.fecha_contracargo &lt;= &lt;fecha_fin&gt;</t>
  </si>
  <si>
    <t>select 
a.flag_devolucion 
from bi_riesgo.dv_consolidacion_contracargo a
left join master_pii.iden_party_data_control b
on (a.party_id_izi = b.party_id_izi)
where a.linea_atencion = 'L3' and b.document_number &lt;&gt; '20523621212' and a.fecha_contracargo &gt;= &lt;fecha_inicio&gt; and b.fecha_contracargo &lt;= &lt;fecha_fin&gt;</t>
  </si>
  <si>
    <t>table</t>
  </si>
  <si>
    <t>Para fecha inicio y fecha final se debe considerar esta lógica de acuerdo a la fecha de ejecución:
Si es lunes, solo considera fecha_contracargo del último viernes
Si es martes, consideras fecha_contracargo de sábado al martes
Si es otro día, consideras fecha_contracargo del día anterior
Se debe generar 1 archivo por fecha con el siguiente nombre: "reporte_cc_crm_yyyymmdd.csv" donde yyyymmdd corresponde a la fecha de contracargo</t>
  </si>
  <si>
    <t>Código de Comercio</t>
  </si>
  <si>
    <t>select
concat('00',cod_comercio)
from bi_riesgo.dv_consolidacion_contracargo
where fecha_contracargo &gt;= &lt;fecha_inicio&gt; and fecha_contracargo &lt;= &lt;fecha_fin&gt;</t>
  </si>
  <si>
    <t>Proceso</t>
  </si>
  <si>
    <t>"GESTIÓN DE CONTRACARGOS"</t>
  </si>
  <si>
    <t>Asunto</t>
  </si>
  <si>
    <t>"CONTRACARGO ADQUIRENTE"</t>
  </si>
  <si>
    <t>Título del Caso</t>
  </si>
  <si>
    <t>select
case
when ind_unicidad_contracargo = 'CC UNICO' then nro_control_contracargo
else concat(nro_control_contracargo,' - ', left(ind_unidad_contracargo,4),' - ',orden_cc,' - ',row_number() over (partition by ard_arn order by ard_arn desc))
end
from bi_riesgo.dv_consolidacion_contracargo
where fecha_contracargo &gt;= &lt;fecha_inicio&gt; and fecha_contracargo &lt;= &lt;fecha_fin&gt;</t>
  </si>
  <si>
    <t>Nivel de Atención</t>
  </si>
  <si>
    <t>"PRIMER NIVEL"</t>
  </si>
  <si>
    <t>Origin</t>
  </si>
  <si>
    <t>"CARGA MASIVA"</t>
  </si>
  <si>
    <t>Tipo de caso</t>
  </si>
  <si>
    <t>"SOLICITUD"</t>
  </si>
  <si>
    <t>Prioridad</t>
  </si>
  <si>
    <t>"MEDIUM"</t>
  </si>
  <si>
    <t>Descripcion</t>
  </si>
  <si>
    <t>"CONTRACARGO"</t>
  </si>
  <si>
    <t>Marca de tarjeta</t>
  </si>
  <si>
    <t>Categoria de Controversia</t>
  </si>
  <si>
    <t>select
case
when marca_tarjeta = 'MASTERCARD' then cod_motivo_contracargo
else left(cod_motivo_contracargo,2)
end
from bi_riesgo.dv_consolidacion_contracargo
where fecha_contracargo &gt;= &lt;fecha_inicio&gt; and fecha_contracargo &lt;= &lt;fecha_fin&gt;</t>
  </si>
  <si>
    <t>Rol case/control</t>
  </si>
  <si>
    <t>select
nro_control_contracargo
from bi_riesgo.dv_consolidacion_contracargo
where fecha_contracargo &gt;= &lt;fecha_inicio&gt; and fecha_contracargo &lt;= &lt;fecha_fin&gt;</t>
  </si>
  <si>
    <t>Completar Automatico</t>
  </si>
  <si>
    <t>"NO"</t>
  </si>
  <si>
    <t>Fecha de Controversia</t>
  </si>
  <si>
    <t>select
fecha_contracargo
from bi_riesgo.dv_consolidacion_contracargo
where fecha_contracargo &gt;= &lt;fecha_inicio&gt; and fecha_contracargo &lt;= &lt;fecha_fin&gt;</t>
  </si>
  <si>
    <t>Importe CC</t>
  </si>
  <si>
    <t>select
mto_contracargo
from bi_riesgo.dv_consolidacion_contracargo
where fecha_contracargo &gt;= &lt;fecha_inicio&gt; and fecha_contracargo &lt;= &lt;fecha_fin&gt;</t>
  </si>
  <si>
    <t>Moneda CC</t>
  </si>
  <si>
    <t>select
moneda_contracargo
from bi_riesgo.dv_consolidacion_contracargo
where fecha_contracargo &gt;= &lt;fecha_inicio&gt; and fecha_contracargo &lt;= &lt;fecha_fin&gt;</t>
  </si>
  <si>
    <t>Importe trx</t>
  </si>
  <si>
    <t>select
mto_trx
from bi_riesgo.dv_consolidacion_contracargo
where fecha_contracargo &gt;= &lt;fecha_inicio&gt; and fecha_contracargo &lt;= &lt;fecha_fin&gt;</t>
  </si>
  <si>
    <t>Moneda trx</t>
  </si>
  <si>
    <t>select
moneda_trx
from bi_riesgo.dv_consolidacion_contracargo
where fecha_contracargo &gt;= &lt;fecha_inicio&gt; and fecha_contracargo &lt;= &lt;fecha_fin&gt;</t>
  </si>
  <si>
    <t>Tarjeta Enmascarada</t>
  </si>
  <si>
    <t>case
when left(nom_comercio,13) = 'ECM*AMZ VIDEO' then '************'
else tarjeta_enmascarada
end</t>
  </si>
  <si>
    <t>Lógica cambiada</t>
  </si>
  <si>
    <t>Fecha trx(Venta)</t>
  </si>
  <si>
    <t>select
fecha_trx
from bi_riesgo.dv_consolidacion_contracargo
where fecha_contracargo &gt;= &lt;fecha_inicio&gt; and fecha_contracargo &lt;= &lt;fecha_fin&gt;</t>
  </si>
  <si>
    <t>Fecha de proceso(outgoing)</t>
  </si>
  <si>
    <t>select
fecha_proceso
from bi_riesgo.dv_consolidacion_contracargo
where fecha_contracargo &gt;= &lt;fecha_inicio&gt; and fecha_contracargo &lt;= &lt;fecha_fin&gt;</t>
  </si>
  <si>
    <t>Fecha de retención</t>
  </si>
  <si>
    <t>select
fecha_retencion
from bi_riesgo.dv_consolidacion_contracargo
where fecha_contracargo &gt;= &lt;fecha_inicio&gt; and fecha_contracargo &lt;= &lt;fecha_fin&gt;</t>
  </si>
  <si>
    <t>Fecha de devolución</t>
  </si>
  <si>
    <t>select
fecha_devolucion
from bi_riesgo.dv_consolidacion_contracargo
where fecha_contracargo &gt;= &lt;fecha_inicio&gt; and fecha_contracargo &lt;= &lt;fecha_fin&gt;</t>
  </si>
  <si>
    <t>Ica Banco Emisor(MC)</t>
  </si>
  <si>
    <t>cod_ica_emisor/bin</t>
  </si>
  <si>
    <t>select
case
when marca_tarjeta =  'MASTERCARD' then cod_ica_emisor
else bin
end
from bi_riesgo.dv_consolidacion_contracargo
where fecha_contracargo &gt;= &lt;fecha_inicio&gt; and fecha_contracargo &lt;= &lt;fecha_fin&gt;</t>
  </si>
  <si>
    <t>Se cambió bin_6 por bin</t>
  </si>
  <si>
    <t>Tipo trx</t>
  </si>
  <si>
    <t>select
metodo_ingreso
from bi_riesgo.dv_consolidacion_contracargo
where fecha_contracargo &gt;= &lt;fecha_inicio&gt; and fecha_contracargo &lt;= &lt;fecha_fin&gt;</t>
  </si>
  <si>
    <t>Autoriza</t>
  </si>
  <si>
    <t>select
cod_autorizacion
from bi_riesgo.dv_consolidacion_contracargo
where fecha_contracargo &gt;= &lt;fecha_inicio&gt; and fecha_contracargo &lt;= &lt;fecha_fin&gt;</t>
  </si>
  <si>
    <t>Banco Emisor</t>
  </si>
  <si>
    <t>select
bancor_emisor
from bi_riesgo.dv_consolidacion_contracargo
where fecha_contracargo &gt;= &lt;fecha_inicio&gt; and fecha_contracargo &lt;= &lt;fecha_fin&gt;</t>
  </si>
  <si>
    <t>Motivo de la controversia</t>
  </si>
  <si>
    <t>select
motivo_cc
from bi_riesgo.dv_consolidacion_contracargo
where fecha_contracargo &gt;= &lt;fecha_inicio&gt; and fecha_contracargo &lt;= &lt;fecha_fin&gt;</t>
  </si>
  <si>
    <t>Categoría General</t>
  </si>
  <si>
    <t>select
categoria_motivo_contracargo
from bi_riesgo.dv_consolidacion_contracargo
where fecha_contracargo &gt;= &lt;fecha_inicio&gt; and fecha_contracargo &lt;= &lt;fecha_fin&gt;</t>
  </si>
  <si>
    <t>Voucher</t>
  </si>
  <si>
    <t>select
voucher
from bi_riesgo.dv_consolidacion_contracargo
where fecha_contracargo &gt;= &lt;fecha_inicio&gt; and fecha_contracargo &lt;= &lt;fecha_fin&gt;</t>
  </si>
  <si>
    <t>Ecom</t>
  </si>
  <si>
    <t>select
cod_respuesta_ecommerce
from bi_riesgo.dv_consolidacion_contracargo
where fecha_contracargo &gt;= &lt;fecha_inicio&gt; and fecha_contracargo &lt;= &lt;fecha_fin&gt;</t>
  </si>
  <si>
    <t>Status Contracargos</t>
  </si>
  <si>
    <t>"EN ANÁLISIS"</t>
  </si>
  <si>
    <t>Motivo-Resultado Final</t>
  </si>
  <si>
    <t>Jurisdiccion-Solo Visa</t>
  </si>
  <si>
    <t>juridisccion/cod_funcion</t>
  </si>
  <si>
    <t>conct('CC_ADQ',' - ',juridisccion_trx,' - ', cod_funcion)</t>
  </si>
  <si>
    <t>ARN/ARD</t>
  </si>
  <si>
    <t>arn_ard/ind_unidad_contracargo/orden_cc</t>
  </si>
  <si>
    <t>select
case
when ind_unidad_contracargo = 'CC UNICO' then arn_ard
else concat(arn_ard,' - ',left(ind_unidad_contracargo,4),' - ',orden_cc,' - ',ow_number() over (partition by ard_arn order by ard_arn desc))
end
from bi_riesgo.dv_consolidacion_contracargo
where fecha_contracargo &gt;= &lt;fecha_inicio&gt; and fecha_contracargo &lt;= &lt;fecha_fin&gt;</t>
  </si>
  <si>
    <t>Terminal</t>
  </si>
  <si>
    <t>Referencia</t>
  </si>
  <si>
    <t>RUC</t>
  </si>
  <si>
    <t>bi_riesgo.dv_consolidacion_contracargo
master_pii.iden_party_data_control</t>
  </si>
  <si>
    <t>party_id_izi
document_number</t>
  </si>
  <si>
    <t>select
b.document_number
from bi_riesgo.dv_consolidacion_contracargo a
left join master_pii.iden_party_data_control b
on (a.party_id_izi = b.party_id_izi)
where a.fecha_contracargo &gt;= &lt;fecha_inicio&gt; and a.fecha_contracargo &lt;= &lt;fecha_fin&gt;</t>
  </si>
  <si>
    <t>Fun</t>
  </si>
  <si>
    <t>Tipo_Linea</t>
  </si>
  <si>
    <t>Flag_correo</t>
  </si>
  <si>
    <t>Atencion_TICA</t>
  </si>
  <si>
    <t>Atencion_Importe</t>
  </si>
  <si>
    <t>Atencion_GD</t>
  </si>
  <si>
    <t>Orden</t>
  </si>
  <si>
    <t>Correo técnico del comercio</t>
  </si>
  <si>
    <t>select
nullif(upper(trim(AEAD.DECRYPT_STRING(b.key, a.correo_contacto,b.constant))),'')
FROM bi_riesgo.dv_consolidacion_contracargo a
LEFT JOIN secure_secrets.config_protected_data b on 1=1 and b.code='C_EMAIL'</t>
  </si>
  <si>
    <t>Para fecha inicio y fecha final se debe considerar esta lógica de acuerdo a la fecha de ejecución:
Si es lunes, solo considera fecha_contracargo del último viernes
Si es martes, consideras fecha_contracargo de sábado al martes
Si es otro día, consideras fecha_contracargo del día anterior
Se debe generar 1 archivo por fecha con el siguiente nombre: "reporte_cc_cartas_yyyymmdd.csv" donde yyyymmdd corresponde a la fecha de contracargo</t>
  </si>
  <si>
    <t>CodComercio</t>
  </si>
  <si>
    <t>select cod_comercio from bi_riesgo.dv_consolidacion_contracargo where fecha_contracargo &gt;= &lt;fecha_inicio&gt; and fecha_contracargo &lt;= &lt;fecha_fin&gt;
and flag_correo is true</t>
  </si>
  <si>
    <t>Tarjeta_Encriptada</t>
  </si>
  <si>
    <t>select
case when left(nom_comercio,13)='ECM*AMZ VIDEO' then '************' 
else tarjeta_enmascarada
end
from bi_riesgo.dv_consolidacion_contracargo where fecha_contracargo &gt;= &lt;fecha_inicio&gt; and fecha_contracargo &lt;= &lt;fecha_fin&gt;
and flag_correo is true</t>
  </si>
  <si>
    <t>NomComercio</t>
  </si>
  <si>
    <t>select nom_comercio from bi_riesgo.dv_consolidacion_contracargo where fecha_contracargo between &lt;fecha_inicio&gt; and &lt;fecha_fin&gt;
and flag_correo is true</t>
  </si>
  <si>
    <t>MonedaTrx</t>
  </si>
  <si>
    <t>select moneda_trx from bi_riesgo.dv_consolidacion_contracargo where fecha_contracargo between &lt;fecha_inicio&gt; and &lt;fecha_fin&gt;
and flag_correo is true</t>
  </si>
  <si>
    <t>ImporteTrx</t>
  </si>
  <si>
    <t>select mto_trx from bi_riesgo.dv_consolidacion_contracargo where fecha_contracargo between &lt;fecha_inicio&gt; and &lt;fecha_fin&gt;
and flag_correo is true</t>
  </si>
  <si>
    <t>FechaTrx</t>
  </si>
  <si>
    <t>select fecha_trx from bi_riesgo.dv_consolidacion_contracargo where fecha_contracargo between &lt;fecha_inicio&gt; and &lt;fecha_fin&gt;
and flag_correo is true</t>
  </si>
  <si>
    <t>CodAutorizacion</t>
  </si>
  <si>
    <t>select cod_autorizacion from bi_riesgo.dv_consolidacion_contracargo where fecha_contracargo between &lt;fecha_inicio&gt; and &lt;fecha_fin&gt;
and flag_correo is true</t>
  </si>
  <si>
    <t>MotivoCC</t>
  </si>
  <si>
    <t>select motivo_cc from bi_riesgo.dv_consolidacion_contracargo where fecha_contracargo between &lt;fecha_inicio&gt; and &lt;fecha_fin&gt;
and flag_correo is true</t>
  </si>
  <si>
    <t>select voucher from bi_riesgo.dv_consolidacion_contracargo where fecha_contracargo between &lt;fecha_inicio&gt; and &lt;fecha_fin&gt;
and flag_correo is true</t>
  </si>
  <si>
    <t>select referencia from bi_riesgo.dv_consolidacion_contracargo where fecha_contracargo between &lt;fecha_inicio&gt; and &lt;fecha_fin&gt;
and flag_correo is true</t>
  </si>
  <si>
    <t>FechaDev</t>
  </si>
  <si>
    <t>select fecha_devolucion from bi_riesgo.dv_consolidacion_contracargo where fecha_contracargo between &lt;fecha_inicio&gt; and &lt;fecha_fin&gt;
and flag_correo is true</t>
  </si>
  <si>
    <t>RazonSocial</t>
  </si>
  <si>
    <t>select
nullif(upper(trim(AEAD.DECRYPT_STRING(b.key, a.razon_social,b.constant))),'')
from bi_riesgo.dv_consolidacion_contracargo a
left join secure_secrets.config_protected_data b on b.code = 'C_FULL_NAME' 
where a.fecha_contracargo between &lt;fecha_inicio&gt; and &lt;fecha_fin&gt;
and flag_correo is true</t>
  </si>
  <si>
    <t>NroControl_ROLCase</t>
  </si>
  <si>
    <t>nro_control</t>
  </si>
  <si>
    <t>select nro_control_contracargo from bi_riesgo.dv_consolidacion_contracargo where fecha_contracargo between &lt;fecha_inicio&gt; and &lt;fecha_fin&gt;
and flag_correo is true</t>
  </si>
  <si>
    <t>MonedaCC</t>
  </si>
  <si>
    <t>select moneda_contracargo from bi_riesgo.dv_consolidacion_contracargo where fecha_contracargo between &lt;fecha_inicio&gt; and &lt;fecha_fin&gt;
and flag_correo is true</t>
  </si>
  <si>
    <t>ImporteCC</t>
  </si>
  <si>
    <t>select mto_contracargo from bi_riesgo.dv_consolidacion_contracargo where fecha_contracargo between &lt;fecha_inicio&gt; and &lt;fecha_fin&gt;
and flag_correo is true</t>
  </si>
  <si>
    <t>ARD_ARN</t>
  </si>
  <si>
    <t>select arn_ard from bi_riesgo.dv_consolidacion_contracargo where fecha_contracargo between &lt;fecha_inicio&gt; and &lt;fecha_fin&gt;
and flag_correo is true</t>
  </si>
  <si>
    <t>FechaCC</t>
  </si>
  <si>
    <t>select fecha_contracargo from bi_riesgo.dv_consolidacion_contracargo where fecha_contracargo between &lt;fecha_inicio&gt; and &lt;fecha_fin&gt;
and flag_correo is true</t>
  </si>
  <si>
    <t>select cod_respuesta_ecommerce from bi_riesgo.dv_consolidacion_contracargo where fecha_contracargo between &lt;fecha_inicio&gt; and &lt;fecha_fin&gt;
and flag_correo is true</t>
  </si>
  <si>
    <t>Contracargo</t>
  </si>
  <si>
    <t>ind_unidad_contracargo</t>
  </si>
  <si>
    <t>select ind_unidad_contracargo from bi_riesgo.dv_consolidacion_contracargo where fecha_contracargo between &lt;fecha_inicio&gt; and &lt;fecha_fin&gt;
and flag_correo is true</t>
  </si>
  <si>
    <t>select orden_cc from bi_riesgo.dv_consolidacion_contracargo where fecha_contracargo between &lt;fecha_inicio&gt; and &lt;fecha_fin&gt;
and flag_correo is true</t>
  </si>
  <si>
    <t>select cod_terminal from bi_riesgo.dv_consolidacion_contracargo where fecha_contracargo between &lt;fecha_inicio&gt; and &lt;fecha_fin&gt;
and flag_correo is true</t>
  </si>
  <si>
    <t>Reten_Dev</t>
  </si>
  <si>
    <t>flag_retencion/flag_retencion</t>
  </si>
  <si>
    <t>select
case
when flag_retencion is true and flad_devolucion is true then 'RET Y DEV'
when flag_retencion is true then 'RETENCION'
when flag_devolucion is true then 'DEVOLUCION'
end
 from bi_riesgo.dv_consolidacion_contracargo where fecha_contracargo between &lt;fecha_inicio&gt; and &lt;fecha_fin&gt;
and flag_correo is true</t>
  </si>
  <si>
    <t>Entrymode</t>
  </si>
  <si>
    <t>select metodo_ingreso from bi_riesgo.dv_consolidacion_contracargo where fecha_contracargo between &lt;fecha_inicio&gt; and &lt;fecha_fin&gt;
and flag_correo is true</t>
  </si>
  <si>
    <t>Contacto_Opera</t>
  </si>
  <si>
    <t>select 
nullif(upper(trim(AEAD.DECRYPT_STRING(b.key, a.correo_contacto,b.constant))),'')
FROM bi_riesgo.dv_consolidacion_contracargo a
LEFT JOIN secure_secrets.config_protected_data b on 1=1 and b.code='C_EMAIL'
where a.fecha_contracargo between &lt;fecha_inicio&gt; and &lt;fecha_fin&gt;
and flag_correo is true</t>
  </si>
  <si>
    <t>select linea_atencion from bi_riesgo.dv_consolidacion_contracargo where fecha_contracargo between &lt;fecha_inicio&gt; and &lt;fecha_fin&gt;
and flag_correo is true</t>
  </si>
  <si>
    <t>Correo_Responsable</t>
  </si>
  <si>
    <t>select
nullif(upper(trim(AEAD.DECRYPT_STRING(b.key, a.correo_contacto,b.constant))),'')
from bi_riesgo.dv_consolidacion_contracargo a 
left join secure_secrets.config_protected_data b on 1=1 and b.code='C_EMAIL'
where a.fecha_contracargo between &lt;fecha_inicio&gt; and &lt;fecha_fin&gt;
and flag_correo is true</t>
  </si>
  <si>
    <t>select flag_correo from bi_riesgo.dv_consolidacion_contracargo where fecha_contracargo between &lt;fecha_inicio&gt; and &lt;fecha_fin&gt;
and flag_correo is true</t>
  </si>
  <si>
    <t>document_number</t>
  </si>
  <si>
    <t>select b.document_number from bi_riesgo.dv_consolidacion_contracargo a left join master_pii.iden_party_data_control b on a.party_id_izi=b.party_id_izi where a.fecha_contracargo between &lt;fecha_inicio&gt; and &lt;fecha_fin&gt;
and flag_correo is true</t>
  </si>
  <si>
    <t>Para fecha inicio y fecha final se debe considerar esta lógica de acuerdo a la fecha de ejecución:
Si es lunes, solo considera fecha_contracargo del último viernes
Si es martes, consideras fecha_contracargo de sábado al martes
Si es otro día, consideras fecha_contracargo del día anterior
Se debe generar 1 archivo por fecha con el siguiente nombre: "reporte_cc_cartas_comercio_yyyymmdd.csv" donde yyyymmdd corresponde a la fecha de contracargo</t>
  </si>
  <si>
    <t xml:space="preserve">select a.cod_comercio
from bi_riesgo.dv_consolidacion_contracargo a
left join iden_party_data_control b on (a.party_id_izi = b.party_id_izi)
left join secure_secrets.config_protected_data c on c.code = 'C_EMAIL' 
where a.fecha_contracargo &gt;= &lt;fecha_inicio&gt; and a.fecha_contracargo &lt;= &lt;fecha_fin&gt; 
and a.flag_correo is false 
and b.document_number in ('20100070970','20331066703','20394077101','20493020618','20506035121','20511315922','20512002090','20536557858','20556246743','20600414276','20601233488','20603150954','20607607061','20608300393','20608430301')
and a.fecha_devolucion is null
  and not (a.categoria_motivo_contracargo = 'FRAUDE' and a.metodo_ingreso like '%CHIP%')
  and not (a.categoria_motivo_contracargo = 'FRAUDE' and a.metodo_ingreso= 'PQ')
  and a.motivo_cc not in ('12.1 PROCESSING ERROR - LATE PRESENTMENT','PRESENTACIÓN TARDÍA')
  and length(AEAD.DECRYPT_STRING(c.key, a.correo_contacto,c.constant)) &gt; 6
  and concat(substr(a.marca_tarjeta,1,1), substr(a.categoria_motivo_contracargo,1,1), substr(a.cod_respuesta_ecommerce,1,3)) not in ('MF211','MF212')
  and concat(substr(a.marca_tarjeta,1,1), substr(a.categoria_motivo_contracargo,1,1), substr(a.cod_respuesta_ecommerce,1,1)) not in ('VF5','VF6')
</t>
  </si>
  <si>
    <t>select
case when left(nom_comercio,13)='ECM*AMZ VIDEO' then '************' 
else tarjeta_enmascarada
end
from bi_riesgo.dv_consolidacion_contracargo a
left join iden_party_data_control b on (a.party_id_izi = b.party_id_izi)
left join secure_secrets.config_protected_data c on c.code = 'C_EMAIL' 
where a.fecha_contracargo &gt;= &lt;fecha_inicio&gt; and a.fecha_contracargo &lt;= &lt;fecha_fin&gt; 
and a.flag_correo is false 
and b.document_number in ('20100070970','20331066703','20394077101','20493020618','20506035121','20511315922','20512002090','20536557858','20556246743','20600414276','20601233488','20603150954','20607607061','20608300393','20608430301')
and a.fecha_devolucion is null
  and not (a.categoria_motivo_contracargo = 'FRAUDE' and a.metodo_ingreso like '%CHIP%')
  and not (a.categoria_motivo_contracargo = 'FRAUDE' and a.metodo_ingreso= 'PQ')
  and a.motivo_cc not in ('12.1 PROCESSING ERROR - LATE PRESENTMENT','PRESENTACIÓN TARDÍA')
  and length(AEAD.DECRYPT_STRING(c.key, a.correo_contacto,c.constant)) &gt; 6
  and concat(substr(a.marca_tarjeta,1,1), substr(a.categoria_motivo_contracargo,1,1), substr(a.cod_respuesta_ecommerce,1,3)) not in ('MF211','MF212')
  and concat(substr(a.marca_tarjeta,1,1), substr(a.categoria_motivo_contracargo,1,1), substr(a.cod_respuesta_ecommerce,1,1)) not in ('VF5','VF6')</t>
  </si>
  <si>
    <t>select nom_comercio 
from bi_riesgo.dv_consolidacion_contracargo a
left join iden_party_data_control b on (a.party_id_izi = b.party_id_izi)
left join secure_secrets.config_protected_data c on c.code = 'C_EMAIL' 
where a.fecha_contracargo &gt;= &lt;fecha_inicio&gt; and a.fecha_contracargo &lt;= &lt;fecha_fin&gt; 
and a.flag_correo is false 
and b.document_number in ('20100070970','20331066703','20394077101','20493020618','20506035121','20511315922','20512002090','20536557858','20556246743','20600414276','20601233488','20603150954','20607607061','20608300393','20608430301')
and a.fecha_devolucion is null
  and not (a.categoria_motivo_contracargo = 'FRAUDE' and a.metodo_ingreso like '%CHIP%')
  and not (a.categoria_motivo_contracargo = 'FRAUDE' and a.metodo_ingreso= 'PQ')
  and a.motivo_cc not in ('12.1 PROCESSING ERROR - LATE PRESENTMENT','PRESENTACIÓN TARDÍA')
  and length(AEAD.DECRYPT_STRING(c.key, a.correo_contacto,c.constant)) &gt; 6
  and concat(substr(a.marca_tarjeta,1,1), substr(a.categoria_motivo_contracargo,1,1), substr(a.cod_respuesta_ecommerce,1,3)) not in ('MF211','MF212')
  and concat(substr(a.marca_tarjeta,1,1), substr(a.categoria_motivo_contracargo,1,1), substr(a.cod_respuesta_ecommerce,1,1)) not in ('VF5','VF6')</t>
  </si>
  <si>
    <t>select moneda_trx 
from bi_riesgo.dv_consolidacion_contracargo a
left join iden_party_data_control b on (a.party_id_izi = b.party_id_izi)
left join secure_secrets.config_protected_data c on c.code = 'C_EMAIL' 
where a.fecha_contracargo &gt;= &lt;fecha_inicio&gt; and a.fecha_contracargo &lt;= &lt;fecha_fin&gt; 
and a.flag_correo is false 
and b.document_number in ('20100070970','20331066703','20394077101','20493020618','20506035121','20511315922','20512002090','20536557858','20556246743','20600414276','20601233488','20603150954','20607607061','20608300393','20608430301')
and a.fecha_devolucion is null
  and not (a.categoria_motivo_contracargo = 'FRAUDE' and a.metodo_ingreso like '%CHIP%')
  and not (a.categoria_motivo_contracargo = 'FRAUDE' and a.metodo_ingreso= 'PQ')
  and a.motivo_cc not in ('12.1 PROCESSING ERROR - LATE PRESENTMENT','PRESENTACIÓN TARDÍA')
  and length(AEAD.DECRYPT_STRING(c.key, a.correo_contacto,c.constant)) &gt; 6
  and concat(substr(a.marca_tarjeta,1,1), substr(a.categoria_motivo_contracargo,1,1), substr(a.cod_respuesta_ecommerce,1,3)) not in ('MF211','MF212')
  and concat(substr(a.marca_tarjeta,1,1), substr(a.categoria_motivo_contracargo,1,1), substr(a.cod_respuesta_ecommerce,1,1)) not in ('VF5','VF6')</t>
  </si>
  <si>
    <t>select mto_trx 
from bi_riesgo.dv_consolidacion_contracargo a
left join iden_party_data_control b on (a.party_id_izi = b.party_id_izi)
left join secure_secrets.config_protected_data c on c.code = 'C_EMAIL' 
where a.fecha_contracargo &gt;= &lt;fecha_inicio&gt; and a.fecha_contracargo &lt;= &lt;fecha_fin&gt; 
and a.flag_correo is false 
and b.document_number in ('20100070970','20331066703','20394077101','20493020618','20506035121','20511315922','20512002090','20536557858','20556246743','20600414276','20601233488','20603150954','20607607061','20608300393','20608430301')
and a.fecha_devolucion is null
  and not (a.categoria_motivo_contracargo = 'FRAUDE' and a.metodo_ingreso like '%CHIP%')
  and not (a.categoria_motivo_contracargo = 'FRAUDE' and a.metodo_ingreso= 'PQ')
  and a.motivo_cc not in ('12.1 PROCESSING ERROR - LATE PRESENTMENT','PRESENTACIÓN TARDÍA')
  and length(AEAD.DECRYPT_STRING(c.key, a.correo_contacto,c.constant)) &gt; 6
  and concat(substr(a.marca_tarjeta,1,1), substr(a.categoria_motivo_contracargo,1,1), substr(a.cod_respuesta_ecommerce,1,3)) not in ('MF211','MF212')
  and concat(substr(a.marca_tarjeta,1,1), substr(a.categoria_motivo_contracargo,1,1), substr(a.cod_respuesta_ecommerce,1,1)) not in ('VF5','VF6')</t>
  </si>
  <si>
    <t>select fecha_trx 
from bi_riesgo.dv_consolidacion_contracargo a
left join iden_party_data_control b on (a.party_id_izi = b.party_id_izi)
left join secure_secrets.config_protected_data c on c.code = 'C_EMAIL' 
where a.fecha_contracargo &gt;= &lt;fecha_inicio&gt; and a.fecha_contracargo &lt;= &lt;fecha_fin&gt; 
and a.flag_correo is false 
and b.document_number in ('20100070970','20331066703','20394077101','20493020618','20506035121','20511315922','20512002090','20536557858','20556246743','20600414276','20601233488','20603150954','20607607061','20608300393','20608430301')
and a.fecha_devolucion is null
  and not (a.categoria_motivo_contracargo = 'FRAUDE' and a.metodo_ingreso like '%CHIP%')
  and not (a.categoria_motivo_contracargo = 'FRAUDE' and a.metodo_ingreso= 'PQ')
  and a.motivo_cc not in ('12.1 PROCESSING ERROR - LATE PRESENTMENT','PRESENTACIÓN TARDÍA')
  and length(AEAD.DECRYPT_STRING(c.key, a.correo_contacto,c.constant)) &gt; 6
  and concat(substr(a.marca_tarjeta,1,1), substr(a.categoria_motivo_contracargo,1,1), substr(a.cod_respuesta_ecommerce,1,3)) not in ('MF211','MF212')
  and concat(substr(a.marca_tarjeta,1,1), substr(a.categoria_motivo_contracargo,1,1), substr(a.cod_respuesta_ecommerce,1,1)) not in ('VF5','VF6')</t>
  </si>
  <si>
    <t>select cod_autorizacion 
from bi_riesgo.dv_consolidacion_contracargo a
left join iden_party_data_control b on (a.party_id_izi = b.party_id_izi)
left join secure_secrets.config_protected_data c on c.code = 'C_EMAIL' 
where a.fecha_contracargo &gt;= &lt;fecha_inicio&gt; and a.fecha_contracargo &lt;= &lt;fecha_fin&gt; 
and a.flag_correo is false 
and b.document_number in ('20100070970','20331066703','20394077101','20493020618','20506035121','20511315922','20512002090','20536557858','20556246743','20600414276','20601233488','20603150954','20607607061','20608300393','20608430301')
and a.fecha_devolucion is null
  and not (a.categoria_motivo_contracargo = 'FRAUDE' and a.metodo_ingreso like '%CHIP%')
  and not (a.categoria_motivo_contracargo = 'FRAUDE' and a.metodo_ingreso= 'PQ')
  and a.motivo_cc not in ('12.1 PROCESSING ERROR - LATE PRESENTMENT','PRESENTACIÓN TARDÍA')
  and length(AEAD.DECRYPT_STRING(c.key, a.correo_contacto,c.constant)) &gt; 6
  and concat(substr(a.marca_tarjeta,1,1), substr(a.categoria_motivo_contracargo,1,1), substr(a.cod_respuesta_ecommerce,1,3)) not in ('MF211','MF212')
  and concat(substr(a.marca_tarjeta,1,1), substr(a.categoria_motivo_contracargo,1,1), substr(a.cod_respuesta_ecommerce,1,1)) not in ('VF5','VF6')</t>
  </si>
  <si>
    <t>select motivo_cc
from bi_riesgo.dv_consolidacion_contracargo a
left join iden_party_data_control b on (a.party_id_izi = b.party_id_izi)
left join secure_secrets.config_protected_data c on c.code = 'C_EMAIL' 
where a.fecha_contracargo &gt;= &lt;fecha_inicio&gt; and a.fecha_contracargo &lt;= &lt;fecha_fin&gt; 
and a.flag_correo is false 
and b.document_number in ('20100070970','20331066703','20394077101','20493020618','20506035121','20511315922','20512002090','20536557858','20556246743','20600414276','20601233488','20603150954','20607607061','20608300393','20608430301')
and a.fecha_devolucion is null
  and not (a.categoria_motivo_contracargo = 'FRAUDE' and a.metodo_ingreso like '%CHIP%')
  and not (a.categoria_motivo_contracargo = 'FRAUDE' and a.metodo_ingreso= 'PQ')
  and a.motivo_cc not in ('12.1 PROCESSING ERROR - LATE PRESENTMENT','PRESENTACIÓN TARDÍA')
  and length(AEAD.DECRYPT_STRING(c.key, a.correo_contacto,c.constant)) &gt; 6
  and concat(substr(a.marca_tarjeta,1,1), substr(a.categoria_motivo_contracargo,1,1), substr(a.cod_respuesta_ecommerce,1,3)) not in ('MF211','MF212')
  and concat(substr(a.marca_tarjeta,1,1), substr(a.categoria_motivo_contracargo,1,1), substr(a.cod_respuesta_ecommerce,1,1)) not in ('VF5','VF6')</t>
  </si>
  <si>
    <t>select voucher 
from bi_riesgo.dv_consolidacion_contracargo a
left join iden_party_data_control b on (a.party_id_izi = b.party_id_izi)
left join secure_secrets.config_protected_data c on c.code = 'C_EMAIL' 
where a.fecha_contracargo &gt;= &lt;fecha_inicio&gt; and a.fecha_contracargo &lt;= &lt;fecha_fin&gt; 
and a.flag_correo is false 
and b.document_number in ('20100070970','20331066703','20394077101','20493020618','20506035121','20511315922','20512002090','20536557858','20556246743','20600414276','20601233488','20603150954','20607607061','20608300393','20608430301')
and a.fecha_devolucion is null
  and not (a.categoria_motivo_contracargo = 'FRAUDE' and a.metodo_ingreso like '%CHIP%')
  and not (a.categoria_motivo_contracargo = 'FRAUDE' and a.metodo_ingreso= 'PQ')
  and a.motivo_cc not in ('12.1 PROCESSING ERROR - LATE PRESENTMENT','PRESENTACIÓN TARDÍA')
  and length(AEAD.DECRYPT_STRING(c.key, a.correo_contacto,c.constant)) &gt; 6
  and concat(substr(a.marca_tarjeta,1,1), substr(a.categoria_motivo_contracargo,1,1), substr(a.cod_respuesta_ecommerce,1,3)) not in ('MF211','MF212')
  and concat(substr(a.marca_tarjeta,1,1), substr(a.categoria_motivo_contracargo,1,1), substr(a.cod_respuesta_ecommerce,1,1)) not in ('VF5','VF6')</t>
  </si>
  <si>
    <t>select referencia 
from bi_riesgo.dv_consolidacion_contracargo a
left join iden_party_data_control b on (a.party_id_izi = b.party_id_izi)
left join secure_secrets.config_protected_data c on c.code = 'C_EMAIL' 
where a.fecha_contracargo &gt;= &lt;fecha_inicio&gt; and a.fecha_contracargo &lt;= &lt;fecha_fin&gt; 
and a.flag_correo is false 
and b.document_number in ('20100070970','20331066703','20394077101','20493020618','20506035121','20511315922','20512002090','20536557858','20556246743','20600414276','20601233488','20603150954','20607607061','20608300393','20608430301')
and a.fecha_devolucion is null
  and not (a.categoria_motivo_contracargo = 'FRAUDE' and a.metodo_ingreso like '%CHIP%')
  and not (a.categoria_motivo_contracargo = 'FRAUDE' and a.metodo_ingreso= 'PQ')
  and a.motivo_cc not in ('12.1 PROCESSING ERROR - LATE PRESENTMENT','PRESENTACIÓN TARDÍA')
  and length(AEAD.DECRYPT_STRING(c.key, a.correo_contacto,c.constant)) &gt; 6
  and concat(substr(a.marca_tarjeta,1,1), substr(a.categoria_motivo_contracargo,1,1), substr(a.cod_respuesta_ecommerce,1,3)) not in ('MF211','MF212')
  and concat(substr(a.marca_tarjeta,1,1), substr(a.categoria_motivo_contracargo,1,1), substr(a.cod_respuesta_ecommerce,1,1)) not in ('VF5','VF6')</t>
  </si>
  <si>
    <t>select fecha_devolucion
from bi_riesgo.dv_consolidacion_contracargo a
left join iden_party_data_control b on (a.party_id_izi = b.party_id_izi)
left join secure_secrets.config_protected_data c on c.code = 'C_EMAIL' 
where a.fecha_contracargo &gt;= &lt;fecha_inicio&gt; and a.fecha_contracargo &lt;= &lt;fecha_fin&gt; 
and a.flag_correo is false 
and b.document_number in ('20100070970','20331066703','20394077101','20493020618','20506035121','20511315922','20512002090','20536557858','20556246743','20600414276','20601233488','20603150954','20607607061','20608300393','20608430301')
and a.fecha_devolucion is null
  and not (a.categoria_motivo_contracargo = 'FRAUDE' and a.metodo_ingreso like '%CHIP%')
  and not (a.categoria_motivo_contracargo = 'FRAUDE' and a.metodo_ingreso= 'PQ')
  and a.motivo_cc not in ('12.1 PROCESSING ERROR - LATE PRESENTMENT','PRESENTACIÓN TARDÍA')
  and length(AEAD.DECRYPT_STRING(c.key, a.correo_contacto,c.constant)) &gt; 6
  and concat(substr(a.marca_tarjeta,1,1), substr(a.categoria_motivo_contracargo,1,1), substr(a.cod_respuesta_ecommerce,1,3)) not in ('MF211','MF212')
  and concat(substr(a.marca_tarjeta,1,1), substr(a.categoria_motivo_contracargo,1,1), substr(a.cod_respuesta_ecommerce,1,1)) not in ('VF5','VF6')</t>
  </si>
  <si>
    <t>select
AEAD.DECRYPT_STRING(c.key, a.razon_social,c.constant)
from bi_riesgo.dv_consolidacion_contracargo a
left join iden_party_data_control b on (a.party_id_izi = b.party_id_izi)
left join secure_secrets.config_protected_data c on c.code = 'C_EMAIL' 
where a.fecha_contracargo &gt;= &lt;fecha_inicio&gt; and a.fecha_contracargo &lt;= &lt;fecha_fin&gt; 
and a.flag_correo is false 
and b.document_number in ('20100070970','20331066703','20394077101','20493020618','20506035121','20511315922','20512002090','20536557858','20556246743','20600414276','20601233488','20603150954','20607607061','20608300393','20608430301')
and a.fecha_devolucion is null
  and not (a.categoria_motivo_contracargo = 'FRAUDE' and a.metodo_ingreso like '%CHIP%')
  and not (a.categoria_motivo_contracargo = 'FRAUDE' and a.metodo_ingreso= 'PQ')
  and a.motivo_cc not in ('12.1 PROCESSING ERROR - LATE PRESENTMENT','PRESENTACIÓN TARDÍA')
  and length(AEAD.DECRYPT_STRING(c.key, a.correo_contacto,c.constant)) &gt; 6
  and concat(substr(a.marca_tarjeta,1,1), substr(a.categoria_motivo_contracargo,1,1), substr(a.cod_respuesta_ecommerce,1,3)) not in ('MF211','MF212')
  and concat(substr(a.marca_tarjeta,1,1), substr(a.categoria_motivo_contracargo,1,1), substr(a.cod_respuesta_ecommerce,1,1)) not in ('VF5','VF6')</t>
  </si>
  <si>
    <t>select nro_control_contracargo 
from bi_riesgo.dv_consolidacion_contracargo a
left join iden_party_data_control b on (a.party_id_izi = b.party_id_izi)
left join secure_secrets.config_protected_data c on c.code = 'C_EMAIL' 
where a.fecha_contracargo &gt;= &lt;fecha_inicio&gt; and a.fecha_contracargo &lt;= &lt;fecha_fin&gt; 
and a.flag_correo is false 
and b.document_number in ('20100070970','20331066703','20394077101','20493020618','20506035121','20511315922','20512002090','20536557858','20556246743','20600414276','20601233488','20603150954','20607607061','20608300393','20608430301')
and a.fecha_devolucion is null
  and not (a.categoria_motivo_contracargo = 'FRAUDE' and a.metodo_ingreso like '%CHIP%')
  and not (a.categoria_motivo_contracargo = 'FRAUDE' and a.metodo_ingreso= 'PQ')
  and a.motivo_cc not in ('12.1 PROCESSING ERROR - LATE PRESENTMENT','PRESENTACIÓN TARDÍA')
  and length(AEAD.DECRYPT_STRING(c.key, a.correo_contacto,c.constant)) &gt; 6
  and concat(substr(a.marca_tarjeta,1,1), substr(a.categoria_motivo_contracargo,1,1), substr(a.cod_respuesta_ecommerce,1,3)) not in ('MF211','MF212')
  and concat(substr(a.marca_tarjeta,1,1), substr(a.categoria_motivo_contracargo,1,1), substr(a.cod_respuesta_ecommerce,1,1)) not in ('VF5','VF6')</t>
  </si>
  <si>
    <t>select moneda_contracargo 
from bi_riesgo.dv_consolidacion_contracargo a
left join iden_party_data_control b on (a.party_id_izi = b.party_id_izi)
left join secure_secrets.config_protected_data c on c.code = 'C_EMAIL' 
where a.fecha_contracargo &gt;= &lt;fecha_inicio&gt; and a.fecha_contracargo &lt;= &lt;fecha_fin&gt; 
and a.flag_correo is false 
and b.document_number in ('20100070970','20331066703','20394077101','20493020618','20506035121','20511315922','20512002090','20536557858','20556246743','20600414276','20601233488','20603150954','20607607061','20608300393','20608430301')
and a.fecha_devolucion is null
  and not (a.categoria_motivo_contracargo = 'FRAUDE' and a.metodo_ingreso like '%CHIP%')
  and not (a.categoria_motivo_contracargo = 'FRAUDE' and a.metodo_ingreso= 'PQ')
  and a.motivo_cc not in ('12.1 PROCESSING ERROR - LATE PRESENTMENT','PRESENTACIÓN TARDÍA')
  and length(AEAD.DECRYPT_STRING(c.key, a.correo_contacto,c.constant)) &gt; 6
  and concat(substr(a.marca_tarjeta,1,1), substr(a.categoria_motivo_contracargo,1,1), substr(a.cod_respuesta_ecommerce,1,3)) not in ('MF211','MF212')
  and concat(substr(a.marca_tarjeta,1,1), substr(a.categoria_motivo_contracargo,1,1), substr(a.cod_respuesta_ecommerce,1,1)) not in ('VF5','VF6')</t>
  </si>
  <si>
    <t>select mto_contracargo 
from bi_riesgo.dv_consolidacion_contracargo a
left join iden_party_data_control b on (a.party_id_izi = b.party_id_izi)
left join secure_secrets.config_protected_data c on c.code = 'C_EMAIL' 
where a.fecha_contracargo &gt;= &lt;fecha_inicio&gt; and a.fecha_contracargo &lt;= &lt;fecha_fin&gt; 
and a.flag_correo is false 
and b.document_number in ('20100070970','20331066703','20394077101','20493020618','20506035121','20511315922','20512002090','20536557858','20556246743','20600414276','20601233488','20603150954','20607607061','20608300393','20608430301')
and a.fecha_devolucion is null
  and not (a.categoria_motivo_contracargo = 'FRAUDE' and a.metodo_ingreso like '%CHIP%')
  and not (a.categoria_motivo_contracargo = 'FRAUDE' and a.metodo_ingreso= 'PQ')
  and a.motivo_cc not in ('12.1 PROCESSING ERROR - LATE PRESENTMENT','PRESENTACIÓN TARDÍA')
  and length(AEAD.DECRYPT_STRING(c.key, a.correo_contacto,c.constant)) &gt; 6
  and concat(substr(a.marca_tarjeta,1,1), substr(a.categoria_motivo_contracargo,1,1), substr(a.cod_respuesta_ecommerce,1,3)) not in ('MF211','MF212')
  and concat(substr(a.marca_tarjeta,1,1), substr(a.categoria_motivo_contracargo,1,1), substr(a.cod_respuesta_ecommerce,1,1)) not in ('VF5','VF6')</t>
  </si>
  <si>
    <t>select arn_ard 
from bi_riesgo.dv_consolidacion_contracargo a
left join iden_party_data_control b on (a.party_id_izi = b.party_id_izi)
left join secure_secrets.config_protected_data c on c.code = 'C_EMAIL' 
where a.fecha_contracargo &gt;= &lt;fecha_inicio&gt; and a.fecha_contracargo &lt;= &lt;fecha_fin&gt; 
and a.flag_correo is false 
and b.document_number in ('20100070970','20331066703','20394077101','20493020618','20506035121','20511315922','20512002090','20536557858','20556246743','20600414276','20601233488','20603150954','20607607061','20608300393','20608430301')
and a.fecha_devolucion is null
  and not (a.categoria_motivo_contracargo = 'FRAUDE' and a.metodo_ingreso like '%CHIP%')
  and not (a.categoria_motivo_contracargo = 'FRAUDE' and a.metodo_ingreso= 'PQ')
  and a.motivo_cc not in ('12.1 PROCESSING ERROR - LATE PRESENTMENT','PRESENTACIÓN TARDÍA')
  and length(AEAD.DECRYPT_STRING(c.key, a.correo_contacto,c.constant)) &gt; 6
  and concat(substr(a.marca_tarjeta,1,1), substr(a.categoria_motivo_contracargo,1,1), substr(a.cod_respuesta_ecommerce,1,3)) not in ('MF211','MF212')
  and concat(substr(a.marca_tarjeta,1,1), substr(a.categoria_motivo_contracargo,1,1), substr(a.cod_respuesta_ecommerce,1,1)) not in ('VF5','VF6')</t>
  </si>
  <si>
    <t>select fecha_contracargo 
from bi_riesgo.dv_consolidacion_contracargo a
left join iden_party_data_control b on (a.party_id_izi = b.party_id_izi)
left join secure_secrets.config_protected_data c on c.code = 'C_EMAIL' 
where a.fecha_contracargo &gt;= &lt;fecha_inicio&gt; and a.fecha_contracargo &lt;= &lt;fecha_fin&gt; 
and a.flag_correo is false 
and b.document_number in ('20100070970','20331066703','20394077101','20493020618','20506035121','20511315922','20512002090','20536557858','20556246743','20600414276','20601233488','20603150954','20607607061','20608300393','20608430301')
and a.fecha_devolucion is null
  and not (a.categoria_motivo_contracargo = 'FRAUDE' and a.metodo_ingreso like '%CHIP%')
  and not (a.categoria_motivo_contracargo = 'FRAUDE' and a.metodo_ingreso= 'PQ')
  and a.motivo_cc not in ('12.1 PROCESSING ERROR - LATE PRESENTMENT','PRESENTACIÓN TARDÍA')
  and length(AEAD.DECRYPT_STRING(c.key, a.correo_contacto,c.constant)) &gt; 6
  and concat(substr(a.marca_tarjeta,1,1), substr(a.categoria_motivo_contracargo,1,1), substr(a.cod_respuesta_ecommerce,1,3)) not in ('MF211','MF212')
  and concat(substr(a.marca_tarjeta,1,1), substr(a.categoria_motivo_contracargo,1,1), substr(a.cod_respuesta_ecommerce,1,1)) not in ('VF5','VF6')</t>
  </si>
  <si>
    <t>select cod_respuesta_ecommerce 
from bi_riesgo.dv_consolidacion_contracargo a
left join iden_party_data_control b on (a.party_id_izi = b.party_id_izi)
left join secure_secrets.config_protected_data c on c.code = 'C_EMAIL' 
where a.fecha_contracargo &gt;= &lt;fecha_inicio&gt; and a.fecha_contracargo &lt;= &lt;fecha_fin&gt; 
and a.flag_correo is false 
and b.document_number in ('20100070970','20331066703','20394077101','20493020618','20506035121','20511315922','20512002090','20536557858','20556246743','20600414276','20601233488','20603150954','20607607061','20608300393','20608430301')
and a.fecha_devolucion is null
  and not (a.categoria_motivo_contracargo = 'FRAUDE' and a.metodo_ingreso like '%CHIP%')
  and not (a.categoria_motivo_contracargo = 'FRAUDE' and a.metodo_ingreso= 'PQ')
  and a.motivo_cc not in ('12.1 PROCESSING ERROR - LATE PRESENTMENT','PRESENTACIÓN TARDÍA')
  and length(AEAD.DECRYPT_STRING(c.key, a.correo_contacto,c.constant)) &gt; 6
  and concat(substr(a.marca_tarjeta,1,1), substr(a.categoria_motivo_contracargo,1,1), substr(a.cod_respuesta_ecommerce,1,3)) not in ('MF211','MF212')
  and concat(substr(a.marca_tarjeta,1,1), substr(a.categoria_motivo_contracargo,1,1), substr(a.cod_respuesta_ecommerce,1,1)) not in ('VF5','VF6')</t>
  </si>
  <si>
    <t>select ind_unidad_contracargo 
from bi_riesgo.dv_consolidacion_contracargo a
left join iden_party_data_control b on (a.party_id_izi = b.party_id_izi)
left join secure_secrets.config_protected_data c on c.code = 'C_EMAIL' 
where a.fecha_contracargo &gt;= &lt;fecha_inicio&gt; and a.fecha_contracargo &lt;= &lt;fecha_fin&gt; 
and a.flag_correo is false 
and b.document_number in ('20100070970','20331066703','20394077101','20493020618','20506035121','20511315922','20512002090','20536557858','20556246743','20600414276','20601233488','20603150954','20607607061','20608300393','20608430301')
and a.fecha_devolucion is null
  and not (a.categoria_motivo_contracargo = 'FRAUDE' and a.metodo_ingreso like '%CHIP%')
  and not (a.categoria_motivo_contracargo = 'FRAUDE' and a.metodo_ingreso= 'PQ')
  and a.motivo_cc not in ('12.1 PROCESSING ERROR - LATE PRESENTMENT','PRESENTACIÓN TARDÍA')
  and length(AEAD.DECRYPT_STRING(c.key, a.correo_contacto,c.constant)) &gt; 6
  and concat(substr(a.marca_tarjeta,1,1), substr(a.categoria_motivo_contracargo,1,1), substr(a.cod_respuesta_ecommerce,1,3)) not in ('MF211','MF212')
  and concat(substr(a.marca_tarjeta,1,1), substr(a.categoria_motivo_contracargo,1,1), substr(a.cod_respuesta_ecommerce,1,1)) not in ('VF5','VF6')</t>
  </si>
  <si>
    <t>select orden_cc 
from bi_riesgo.dv_consolidacion_contracargo a
left join iden_party_data_control b on (a.party_id_izi = b.party_id_izi)
left join secure_secrets.config_protected_data c on c.code = 'C_EMAIL' 
where a.fecha_contracargo &gt;= &lt;fecha_inicio&gt; and a.fecha_contracargo &lt;= &lt;fecha_fin&gt; 
and a.flag_correo is false 
and b.document_number in ('20100070970','20331066703','20394077101','20493020618','20506035121','20511315922','20512002090','20536557858','20556246743','20600414276','20601233488','20603150954','20607607061','20608300393','20608430301')
and a.fecha_devolucion is null
  and not (a.categoria_motivo_contracargo = 'FRAUDE' and a.metodo_ingreso like '%CHIP%')
  and not (a.categoria_motivo_contracargo = 'FRAUDE' and a.metodo_ingreso= 'PQ')
  and a.motivo_cc not in ('12.1 PROCESSING ERROR - LATE PRESENTMENT','PRESENTACIÓN TARDÍA')
  and length(AEAD.DECRYPT_STRING(c.key, a.correo_contacto,c.constant)) &gt; 6
  and concat(substr(a.marca_tarjeta,1,1), substr(a.categoria_motivo_contracargo,1,1), substr(a.cod_respuesta_ecommerce,1,3)) not in ('MF211','MF212')
  and concat(substr(a.marca_tarjeta,1,1), substr(a.categoria_motivo_contracargo,1,1), substr(a.cod_respuesta_ecommerce,1,1)) not in ('VF5','VF6')</t>
  </si>
  <si>
    <t>select cod_terminal 
from bi_riesgo.dv_consolidacion_contracargo a
left join iden_party_data_control b on (a.party_id_izi = b.party_id_izi)
left join secure_secrets.config_protected_data c on c.code = 'C_EMAIL' 
where a.fecha_contracargo &gt;= &lt;fecha_inicio&gt; and a.fecha_contracargo &lt;= &lt;fecha_fin&gt; 
and a.flag_correo is false 
and b.document_number in ('20100070970','20331066703','20394077101','20493020618','20506035121','20511315922','20512002090','20536557858','20556246743','20600414276','20601233488','20603150954','20607607061','20608300393','20608430301')
and a.fecha_devolucion is null
  and not (a.categoria_motivo_contracargo = 'FRAUDE' and a.metodo_ingreso like '%CHIP%')
  and not (a.categoria_motivo_contracargo = 'FRAUDE' and a.metodo_ingreso= 'PQ')
  and a.motivo_cc not in ('12.1 PROCESSING ERROR - LATE PRESENTMENT','PRESENTACIÓN TARDÍA')
  and length(AEAD.DECRYPT_STRING(c.key, a.correo_contacto,c.constant)) &gt; 6
  and concat(substr(a.marca_tarjeta,1,1), substr(a.categoria_motivo_contracargo,1,1), substr(a.cod_respuesta_ecommerce,1,3)) not in ('MF211','MF212')
  and concat(substr(a.marca_tarjeta,1,1), substr(a.categoria_motivo_contracargo,1,1), substr(a.cod_respuesta_ecommerce,1,1)) not in ('VF5','VF6')</t>
  </si>
  <si>
    <t>select
case
when flag_retencion is true and flad_devolucion is true then 'RET Y DEV'
when flag_retencion is true then 'RETENCION'
when flag_devolucion is true then 'DEVOLUCION'
end
from bi_riesgo.dv_consolidacion_contracargo a
left join iden_party_data_control b on (a.party_id_izi = b.party_id_izi)
left join secure_secrets.config_protected_data c on c.code = 'C_EMAIL' 
where a.fecha_contracargo &gt;= &lt;fecha_inicio&gt; and a.fecha_contracargo &lt;= &lt;fecha_fin&gt; 
and a.flag_correo is false 
and b.document_number in ('20100070970','20331066703','20394077101','20493020618','20506035121','20511315922','20512002090','20536557858','20556246743','20600414276','20601233488','20603150954','20607607061','20608300393','20608430301')
and a.fecha_devolucion is null
  and not (a.categoria_motivo_contracargo = 'FRAUDE' and a.metodo_ingreso like '%CHIP%')
  and not (a.categoria_motivo_contracargo = 'FRAUDE' and a.metodo_ingreso= 'PQ')
  and a.motivo_cc not in ('12.1 PROCESSING ERROR - LATE PRESENTMENT','PRESENTACIÓN TARDÍA')
  and length(AEAD.DECRYPT_STRING(c.key, a.correo_contacto,c.constant)) &gt; 6
  and concat(substr(a.marca_tarjeta,1,1), substr(a.categoria_motivo_contracargo,1,1), substr(a.cod_respuesta_ecommerce,1,3)) not in ('MF211','MF212')
  and concat(substr(a.marca_tarjeta,1,1), substr(a.categoria_motivo_contracargo,1,1), substr(a.cod_respuesta_ecommerce,1,1)) not in ('VF5','VF6')</t>
  </si>
  <si>
    <t>select metodo_ingreso 
from bi_riesgo.dv_consolidacion_contracargo a
left join iden_party_data_control b on (a.party_id_izi = b.party_id_izi)
left join secure_secrets.config_protected_data c on c.code = 'C_EMAIL' 
where a.fecha_contracargo &gt;= &lt;fecha_inicio&gt; and a.fecha_contracargo &lt;= &lt;fecha_fin&gt; 
and a.flag_correo is false 
and b.document_number in ('20100070970','20331066703','20394077101','20493020618','20506035121','20511315922','20512002090','20536557858','20556246743','20600414276','20601233488','20603150954','20607607061','20608300393','20608430301')
and a.fecha_devolucion is null
  and not (a.categoria_motivo_contracargo = 'FRAUDE' and a.metodo_ingreso like '%CHIP%')
  and not (a.categoria_motivo_contracargo = 'FRAUDE' and a.metodo_ingreso= 'PQ')
  and a.motivo_cc not in ('12.1 PROCESSING ERROR - LATE PRESENTMENT','PRESENTACIÓN TARDÍA')
  and length(AEAD.DECRYPT_STRING(c.key, a.correo_contacto,c.constant)) &gt; 6
  and concat(substr(a.marca_tarjeta,1,1), substr(a.categoria_motivo_contracargo,1,1), substr(a.cod_respuesta_ecommerce,1,3)) not in ('MF211','MF212')
  and concat(substr(a.marca_tarjeta,1,1), substr(a.categoria_motivo_contracargo,1,1), substr(a.cod_respuesta_ecommerce,1,1)) not in ('VF5','VF6')</t>
  </si>
  <si>
    <t>select AEAD.DECRYPT_STRING(c.key, a.correo_contacto, c.constant)
from bi_riesgo.dv_consolidacion_contracargo a
left join iden_party_data_control b on (a.party_id_izi = b.party_id_izi)
left join secure_secrets.config_protected_data c on c.code = 'C_EMAIL' 
where a.fecha_contracargo &gt;= &lt;fecha_inicio&gt; and a.fecha_contracargo &lt;= &lt;fecha_fin&gt; 
and a.flag_correo is false 
and b.document_number in ('20100070970','20331066703','20394077101','20493020618','20506035121','20511315922','20512002090','20536557858','20556246743','20600414276','20601233488','20603150954','20607607061','20608300393','20608430301')
and a.fecha_devolucion is null
  and not (a.categoria_motivo_contracargo = 'FRAUDE' and a.metodo_ingreso like '%CHIP%')
  and not (a.categoria_motivo_contracargo = 'FRAUDE' and a.metodo_ingreso= 'PQ')
  and a.motivo_cc not in ('12.1 PROCESSING ERROR - LATE PRESENTMENT','PRESENTACIÓN TARDÍA')
  and length(AEAD.DECRYPT_STRING(c.key, a.correo_contacto,c.constant)) &gt; 6
  and concat(substr(a.marca_tarjeta,1,1), substr(a.categoria_motivo_contracargo,1,1), substr(a.cod_respuesta_ecommerce,1,3)) not in ('MF211','MF212')
  and concat(substr(a.marca_tarjeta,1,1), substr(a.categoria_motivo_contracargo,1,1), substr(a.cod_respuesta_ecommerce,1,1)) not in ('VF5','VF6')</t>
  </si>
  <si>
    <t>select linea_atencion 
from bi_riesgo.dv_consolidacion_contracargo a
left join iden_party_data_control b on (a.party_id_izi = b.party_id_izi)
left join secure_secrets.config_protected_data c on c.code = 'C_EMAIL' 
where a.fecha_contracargo &gt;= &lt;fecha_inicio&gt; and a.fecha_contracargo &lt;= &lt;fecha_fin&gt; 
and a.flag_correo is false 
and b.document_number in ('20100070970','20331066703','20394077101','20493020618','20506035121','20511315922','20512002090','20536557858','20556246743','20600414276','20601233488','20603150954','20607607061','20608300393','20608430301')
and a.fecha_devolucion is null
  and not (a.categoria_motivo_contracargo = 'FRAUDE' and a.metodo_ingreso like '%CHIP%')
  and not (a.categoria_motivo_contracargo = 'FRAUDE' and a.metodo_ingreso= 'PQ')
  and a.motivo_cc not in ('12.1 PROCESSING ERROR - LATE PRESENTMENT','PRESENTACIÓN TARDÍA')
  and length(AEAD.DECRYPT_STRING(c.key, a.correo_contacto,c.constant)) &gt; 6
  and concat(substr(a.marca_tarjeta,1,1), substr(a.categoria_motivo_contracargo,1,1), substr(a.cod_respuesta_ecommerce,1,3)) not in ('MF211','MF212')
  and concat(substr(a.marca_tarjeta,1,1), substr(a.categoria_motivo_contracargo,1,1), substr(a.cod_respuesta_ecommerce,1,1)) not in ('VF5','VF6')</t>
  </si>
  <si>
    <t>select AEAD.DECRYPT_STRING(c.key,a.correo_contacto,c.constant) 
from bi_riesgo.dv_consolidacion_contracargo a
left join iden_party_data_control b on (a.party_id_izi = b.party_id_izi)
left join secure_secrets.config_protected_data c on c.code = 'C_EMAIL' 
where a.fecha_contracargo &gt;= &lt;fecha_inicio&gt; and a.fecha_contracargo &lt;= &lt;fecha_fin&gt; 
and a.flag_correo is false 
and b.document_number in ('20100070970','20331066703','20394077101','20493020618','20506035121','20511315922','20512002090','20536557858','20556246743','20600414276','20601233488','20603150954','20607607061','20608300393','20608430301')
and a.fecha_devolucion is null
  and not (a.categoria_motivo_contracargo = 'FRAUDE' and a.metodo_ingreso like '%CHIP%')
  and not (a.categoria_motivo_contracargo = 'FRAUDE' and a.metodo_ingreso= 'PQ')
  and a.motivo_cc not in ('12.1 PROCESSING ERROR - LATE PRESENTMENT','PRESENTACIÓN TARDÍA')
  and length(AEAD.DECRYPT_STRING(c.key, a.correo_contacto,c.constant)) &gt; 6
  and concat(substr(a.marca_tarjeta,1,1), substr(a.categoria_motivo_contracargo,1,1), substr(a.cod_respuesta_ecommerce,1,3)) not in ('MF211','MF212')
  and concat(substr(a.marca_tarjeta,1,1), substr(a.categoria_motivo_contracargo,1,1), substr(a.cod_respuesta_ecommerce,1,1)) not in ('VF5','VF6')</t>
  </si>
  <si>
    <t>select flag_correo 
from bi_riesgo.dv_consolidacion_contracargo a
left join iden_party_data_control b on (a.party_id_izi = b.party_id_izi)
left join secure_secrets.config_protected_data c on c.code = 'C_EMAIL' 
where a.fecha_contracargo &gt;= &lt;fecha_inicio&gt; and a.fecha_contracargo &lt;= &lt;fecha_fin&gt; 
and a.flag_correo is false 
and b.document_number in ('20100070970','20331066703','20394077101','20493020618','20506035121','20511315922','20512002090','20536557858','20556246743','20600414276','20601233488','20603150954','20607607061','20608300393','20608430301')
and a.fecha_devolucion is null
  and not (a.categoria_motivo_contracargo = 'FRAUDE' and a.metodo_ingreso like '%CHIP%')
  and not (a.categoria_motivo_contracargo = 'FRAUDE' and a.metodo_ingreso= 'PQ')
  and a.motivo_cc not in ('12.1 PROCESSING ERROR - LATE PRESENTMENT','PRESENTACIÓN TARDÍA')
  and length(AEAD.DECRYPT_STRING(c.key, a.correo_contacto,c.constant)) &gt; 6
  and concat(substr(a.marca_tarjeta,1,1), substr(a.categoria_motivo_contracargo,1,1), substr(a.cod_respuesta_ecommerce,1,3)) not in ('MF211','MF212')
  and concat(substr(a.marca_tarjeta,1,1), substr(a.categoria_motivo_contracargo,1,1), substr(a.cod_respuesta_ecommerce,1,1)) not in ('VF5','VF6')</t>
  </si>
  <si>
    <t>select b.document_number 
from bi_riesgo.dv_consolidacion_contracargo a
left join iden_party_data_control b on (a.party_id_izi = b.party_id_izi)
left join secure_secrets.config_protected_data c on c.code = 'C_EMAIL' 
where a.fecha_contracargo &gt;= &lt;fecha_inicio&gt; and a.fecha_contracargo &lt;= &lt;fecha_fin&gt; 
and a.flag_correo is false 
and b.document_number in ('20100070970','20331066703','20394077101','20493020618','20506035121','20511315922','20512002090','20536557858','20556246743','20600414276','20601233488','20603150954','20607607061','20608300393','20608430301')
and a.fecha_devolucion is null
  and not (a.categoria_motivo_contracargo = 'FRAUDE' and a.metodo_ingreso like '%CHIP%')
  and not (a.categoria_motivo_contracargo = 'FRAUDE' and a.metodo_ingreso= 'PQ')
  and a.motivo_cc not in ('12.1 PROCESSING ERROR - LATE PRESENTMENT','PRESENTACIÓN TARDÍA')
  and length(AEAD.DECRYPT_STRING(c.key, a.correo_contacto,c.constant)) &gt; 6
  and concat(substr(a.marca_tarjeta,1,1), substr(a.categoria_motivo_contracargo,1,1), substr(a.cod_respuesta_ecommerce,1,3)) not in ('MF211','MF212')
  and concat(substr(a.marca_tarjeta,1,1), substr(a.categoria_motivo_contracargo,1,1), substr(a.cod_respuesta_ecommerce,1,1)) not in ('VF5','VF6')</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</si>
  <si>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</si>
  <si>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</si>
  <si>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</si>
  <si>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</si>
  <si>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</si>
  <si>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</si>
  <si>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</si>
  <si>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</si>
  <si>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</si>
  <si>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</si>
  <si>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</si>
  <si>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</si>
  <si>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</si>
  <si>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</si>
  <si>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</si>
  <si>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</si>
  <si>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</si>
  <si>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</si>
  <si>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</si>
  <si>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</si>
  <si>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</si>
  <si>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</si>
  <si>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</si>
  <si>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</si>
  <si>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</si>
  <si>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</si>
  <si>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</si>
  <si>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</si>
  <si>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</si>
  <si>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</si>
  <si>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</si>
  <si>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</si>
  <si>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</si>
  <si>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</si>
  <si>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</si>
  <si>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</si>
  <si>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</si>
  <si>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</si>
  <si>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</si>
  <si>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</si>
  <si>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</si>
  <si>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</si>
  <si>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</si>
  <si>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</si>
  <si>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</si>
  <si>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</si>
  <si>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</si>
  <si>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</si>
  <si>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</si>
  <si>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</si>
  <si>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Descripción</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</si>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</sst>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color theme="0"/>
      <name val="Calibri"/>
      <family val="2"/>
    </font>
    <font>
      <sz val="11"/>
      <color theme="1"/>
      <name val="Arial"/>
      <family val="2"/>
    </font>
    <font>
      <sz val="11"/>
      <name val="Calibri"/>
      <family val="2"/>
    </font>
    <font>
      <b/>
      <sz val="10"/>
      <color theme="0"/>
      <name val="Exo"/>
    </font>
    <font>
      <sz val="10"/>
      <color theme="1"/>
      <name val="Exo"/>
    </font>
    <font>
      <sz val="10"/>
      <color theme="0"/>
      <name val="Exo"/>
    </font>
    <font>
      <u/>
      <sz val="11"/>
      <color theme="10"/>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11"/>
      <color rgb="FF222222"/>
      <name val="Calibri"/>
      <family val="2"/>
      <scheme val="minor"/>
    </font>
    <font>
      <sz val="11"/>
      <color rgb="FF000000"/>
      <name val="Calibri"/>
      <family val="2"/>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25" fillId="0" borderId="0" applyNumberFormat="0" applyFill="0" applyBorder="0" applyAlignment="0" applyProtection="0"/>
    <xf numFmtId="0" fontId="25" fillId="0" borderId="0" applyNumberFormat="0" applyFill="0" applyBorder="0" applyAlignment="0" applyProtection="0"/>
  </cellStyleXfs>
  <cellXfs count="114">
    <xf numFmtId="0" fontId="0" fillId="0" borderId="0" xfId="0"/>
    <xf numFmtId="0" fontId="5" fillId="0" borderId="1" xfId="0" applyFont="1" applyBorder="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0" fillId="4" borderId="1" xfId="0" applyFont="1" applyFill="1" applyBorder="1" applyAlignment="1">
      <alignment horizontal="center" vertical="center" wrapText="1"/>
    </xf>
    <xf numFmtId="0" fontId="5" fillId="0" borderId="1" xfId="0" applyFont="1" applyBorder="1" applyAlignment="1">
      <alignment horizontal="center" vertical="center" wrapText="1"/>
    </xf>
    <xf numFmtId="3" fontId="5" fillId="0" borderId="1" xfId="0" applyNumberFormat="1" applyFont="1" applyBorder="1" applyAlignment="1">
      <alignment horizontal="center" vertical="center" wrapText="1"/>
    </xf>
    <xf numFmtId="0" fontId="5" fillId="0" borderId="0" xfId="0" applyFont="1" applyAlignment="1">
      <alignment vertical="center" wrapText="1"/>
    </xf>
    <xf numFmtId="0" fontId="11" fillId="3" borderId="1" xfId="0" applyFont="1" applyFill="1" applyBorder="1" applyAlignment="1">
      <alignment horizontal="center" vertical="center" wrapText="1"/>
    </xf>
    <xf numFmtId="0" fontId="5" fillId="0" borderId="1" xfId="0" applyFont="1" applyBorder="1" applyAlignment="1">
      <alignment horizontal="left" vertical="center"/>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5" fillId="0" borderId="4" xfId="0" applyFont="1" applyBorder="1" applyAlignment="1">
      <alignment horizontal="center" vertical="center"/>
    </xf>
    <xf numFmtId="0" fontId="5" fillId="0" borderId="1" xfId="0" applyFont="1" applyBorder="1" applyAlignment="1">
      <alignment horizontal="left" wrapText="1"/>
    </xf>
    <xf numFmtId="49" fontId="5" fillId="0" borderId="1" xfId="0" applyNumberFormat="1" applyFont="1" applyBorder="1" applyAlignment="1">
      <alignment horizontal="left" vertical="center" wrapText="1"/>
    </xf>
    <xf numFmtId="0" fontId="5" fillId="0" borderId="3" xfId="0" applyFont="1" applyBorder="1" applyAlignment="1">
      <alignment horizontal="left" vertical="center" wrapText="1"/>
    </xf>
    <xf numFmtId="0" fontId="5" fillId="0" borderId="1" xfId="0" applyFont="1" applyBorder="1" applyAlignment="1">
      <alignment horizontal="center"/>
    </xf>
    <xf numFmtId="0" fontId="5" fillId="0" borderId="0" xfId="0" applyFont="1" applyAlignment="1">
      <alignment wrapText="1"/>
    </xf>
    <xf numFmtId="0" fontId="5" fillId="0" borderId="5" xfId="0" applyFont="1" applyBorder="1" applyAlignment="1">
      <alignment vertical="center" wrapText="1"/>
    </xf>
    <xf numFmtId="0" fontId="5" fillId="0" borderId="5" xfId="0" applyFont="1" applyBorder="1" applyAlignment="1">
      <alignment horizontal="center" vertical="center"/>
    </xf>
    <xf numFmtId="0" fontId="5" fillId="0" borderId="1" xfId="0" applyFont="1" applyBorder="1" applyAlignment="1">
      <alignment wrapText="1"/>
    </xf>
    <xf numFmtId="0" fontId="14" fillId="0" borderId="0" xfId="0" applyFont="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applyAlignment="1">
      <alignment vertical="center"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0" fontId="15" fillId="0" borderId="1" xfId="0" quotePrefix="1" applyFont="1" applyBorder="1" applyAlignment="1">
      <alignment vertical="center" wrapText="1"/>
    </xf>
    <xf numFmtId="0" fontId="16" fillId="0" borderId="1" xfId="0" applyFont="1" applyBorder="1" applyAlignment="1">
      <alignment vertical="center" wrapText="1"/>
    </xf>
    <xf numFmtId="0" fontId="15" fillId="5" borderId="1" xfId="0" applyFont="1" applyFill="1" applyBorder="1" applyAlignment="1">
      <alignment vertical="center" wrapText="1"/>
    </xf>
    <xf numFmtId="0" fontId="15" fillId="0" borderId="0" xfId="0" quotePrefix="1" applyFont="1" applyAlignment="1">
      <alignment vertical="center" wrapText="1"/>
    </xf>
    <xf numFmtId="0" fontId="15" fillId="0" borderId="0" xfId="0" applyFont="1" applyAlignment="1">
      <alignment vertical="center" wrapText="1"/>
    </xf>
    <xf numFmtId="0" fontId="11" fillId="3" borderId="8" xfId="0" applyFont="1" applyFill="1" applyBorder="1" applyAlignment="1">
      <alignment horizontal="center" vertical="center" wrapText="1"/>
    </xf>
    <xf numFmtId="0" fontId="5" fillId="0" borderId="3" xfId="0" applyFont="1" applyBorder="1"/>
    <xf numFmtId="0" fontId="5" fillId="0" borderId="9" xfId="0" applyFont="1" applyBorder="1" applyAlignment="1">
      <alignment horizontal="left" vertical="center"/>
    </xf>
    <xf numFmtId="0" fontId="13" fillId="2" borderId="2" xfId="0" applyFont="1" applyFill="1" applyBorder="1" applyAlignment="1">
      <alignment horizontal="left" vertical="center" wrapText="1"/>
    </xf>
    <xf numFmtId="0" fontId="6" fillId="2" borderId="9" xfId="0" applyFont="1" applyFill="1" applyBorder="1" applyAlignment="1">
      <alignment horizontal="center" vertical="center" wrapText="1"/>
    </xf>
    <xf numFmtId="0" fontId="6" fillId="2" borderId="9" xfId="0" applyFont="1" applyFill="1" applyBorder="1" applyAlignment="1">
      <alignment horizontal="left" vertical="center" wrapText="1"/>
    </xf>
    <xf numFmtId="0" fontId="5" fillId="0" borderId="9" xfId="0" applyFont="1" applyBorder="1" applyAlignment="1">
      <alignment horizontal="left" vertical="center" wrapText="1"/>
    </xf>
    <xf numFmtId="0" fontId="5" fillId="7" borderId="9" xfId="0" applyFont="1" applyFill="1" applyBorder="1" applyAlignment="1">
      <alignment horizontal="left" vertical="center"/>
    </xf>
    <xf numFmtId="0" fontId="5" fillId="7" borderId="3" xfId="0" applyFont="1" applyFill="1" applyBorder="1"/>
    <xf numFmtId="0" fontId="5" fillId="7" borderId="9" xfId="0" applyFont="1" applyFill="1" applyBorder="1" applyAlignment="1">
      <alignment horizontal="left" vertical="center" wrapText="1"/>
    </xf>
    <xf numFmtId="0" fontId="5" fillId="7" borderId="3" xfId="0" quotePrefix="1" applyFont="1" applyFill="1" applyBorder="1"/>
    <xf numFmtId="0" fontId="21" fillId="0" borderId="3" xfId="0" applyFont="1" applyBorder="1" applyAlignment="1">
      <alignment vertical="center" wrapText="1"/>
    </xf>
    <xf numFmtId="0" fontId="9" fillId="3" borderId="7"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7" fillId="0" borderId="0" xfId="0" applyFont="1" applyAlignment="1">
      <alignment vertical="center" wrapText="1"/>
    </xf>
    <xf numFmtId="0" fontId="7" fillId="0" borderId="1" xfId="0" applyFont="1" applyBorder="1" applyAlignment="1">
      <alignment vertical="center" wrapText="1"/>
    </xf>
    <xf numFmtId="0" fontId="17" fillId="0" borderId="1" xfId="0" applyFont="1" applyBorder="1" applyAlignment="1">
      <alignment vertical="center" wrapText="1"/>
    </xf>
    <xf numFmtId="0" fontId="16" fillId="0" borderId="0" xfId="0" applyFont="1" applyAlignment="1">
      <alignment vertical="center" wrapText="1"/>
    </xf>
    <xf numFmtId="0" fontId="11" fillId="3" borderId="7" xfId="0" applyFont="1" applyFill="1" applyBorder="1" applyAlignment="1">
      <alignment horizontal="center" vertical="center" wrapText="1"/>
    </xf>
    <xf numFmtId="0" fontId="22" fillId="0" borderId="3" xfId="0" applyFont="1" applyBorder="1" applyAlignment="1">
      <alignment vertical="center" wrapText="1"/>
    </xf>
    <xf numFmtId="0" fontId="5" fillId="8" borderId="9" xfId="0" applyFont="1" applyFill="1" applyBorder="1" applyAlignment="1">
      <alignment horizontal="left" vertical="center" wrapText="1"/>
    </xf>
    <xf numFmtId="0" fontId="21" fillId="8" borderId="3" xfId="0" applyFont="1" applyFill="1" applyBorder="1" applyAlignment="1">
      <alignment vertical="center" wrapText="1"/>
    </xf>
    <xf numFmtId="0" fontId="0" fillId="0" borderId="0" xfId="0" applyAlignment="1">
      <alignment horizontal="center" vertical="center"/>
    </xf>
    <xf numFmtId="0" fontId="5" fillId="8" borderId="9" xfId="0" applyFont="1" applyFill="1" applyBorder="1" applyAlignment="1">
      <alignment horizontal="left" vertical="center"/>
    </xf>
    <xf numFmtId="0" fontId="6" fillId="2" borderId="10" xfId="0" applyFont="1" applyFill="1" applyBorder="1" applyAlignment="1">
      <alignment horizontal="center" vertical="center" wrapText="1"/>
    </xf>
    <xf numFmtId="0" fontId="4" fillId="0" borderId="0" xfId="0" applyFont="1" applyAlignment="1">
      <alignment vertical="center"/>
    </xf>
    <xf numFmtId="0" fontId="10" fillId="4" borderId="9" xfId="0" applyFont="1" applyFill="1" applyBorder="1" applyAlignment="1">
      <alignment horizontal="center" vertical="center" wrapText="1"/>
    </xf>
    <xf numFmtId="0" fontId="10" fillId="9" borderId="9" xfId="0" applyFont="1" applyFill="1" applyBorder="1" applyAlignment="1">
      <alignment horizontal="center" vertical="center" wrapText="1"/>
    </xf>
    <xf numFmtId="0" fontId="5" fillId="0" borderId="9" xfId="0" applyFont="1" applyBorder="1" applyAlignment="1">
      <alignment horizontal="center" vertical="center" wrapText="1"/>
    </xf>
    <xf numFmtId="0" fontId="12" fillId="0" borderId="9" xfId="0" applyFont="1" applyBorder="1" applyAlignment="1">
      <alignment horizontal="center" vertical="center" wrapText="1"/>
    </xf>
    <xf numFmtId="0" fontId="25" fillId="0" borderId="9" xfId="1" applyBorder="1" applyAlignment="1">
      <alignment horizontal="center" vertical="center" wrapText="1"/>
    </xf>
    <xf numFmtId="0" fontId="0" fillId="0" borderId="9" xfId="0" applyBorder="1" applyAlignment="1">
      <alignment horizontal="center" vertical="center" wrapText="1"/>
    </xf>
    <xf numFmtId="0" fontId="0" fillId="0" borderId="9" xfId="0" applyBorder="1" applyAlignment="1">
      <alignment horizontal="center" vertical="center"/>
    </xf>
    <xf numFmtId="0" fontId="25" fillId="0" borderId="9" xfId="2" applyBorder="1" applyAlignment="1">
      <alignment horizontal="left" vertical="center" wrapText="1"/>
    </xf>
    <xf numFmtId="0" fontId="28" fillId="0" borderId="9" xfId="0" applyFont="1" applyBorder="1" applyAlignment="1">
      <alignment horizontal="center" vertical="center"/>
    </xf>
    <xf numFmtId="0" fontId="0" fillId="0" borderId="9" xfId="0" applyBorder="1" applyAlignment="1">
      <alignment vertical="center"/>
    </xf>
    <xf numFmtId="0" fontId="0" fillId="8" borderId="9" xfId="0" applyFill="1" applyBorder="1" applyAlignment="1">
      <alignment vertical="center"/>
    </xf>
    <xf numFmtId="0" fontId="13" fillId="2" borderId="9" xfId="0" applyFont="1" applyFill="1" applyBorder="1" applyAlignment="1">
      <alignment horizontal="left" vertical="top" wrapText="1"/>
    </xf>
    <xf numFmtId="0" fontId="5" fillId="0" borderId="9" xfId="0" applyFont="1" applyBorder="1" applyAlignment="1">
      <alignment vertical="top" wrapText="1"/>
    </xf>
    <xf numFmtId="0" fontId="4" fillId="0" borderId="0" xfId="0" applyFont="1" applyAlignment="1">
      <alignment vertical="top"/>
    </xf>
    <xf numFmtId="0" fontId="0" fillId="0" borderId="9" xfId="0" applyBorder="1" applyAlignment="1">
      <alignment horizontal="left" vertical="center" wrapText="1"/>
    </xf>
    <xf numFmtId="0" fontId="0" fillId="0" borderId="0" xfId="0" applyAlignment="1">
      <alignment horizontal="left" vertical="center" wrapText="1"/>
    </xf>
    <xf numFmtId="0" fontId="0" fillId="0" borderId="0" xfId="0" applyAlignment="1">
      <alignment vertical="center" wrapText="1"/>
    </xf>
    <xf numFmtId="0" fontId="0" fillId="0" borderId="9" xfId="0" applyBorder="1" applyAlignment="1">
      <alignment vertical="center" wrapText="1"/>
    </xf>
    <xf numFmtId="0" fontId="5" fillId="0" borderId="9" xfId="0" quotePrefix="1" applyFont="1" applyBorder="1" applyAlignment="1">
      <alignment horizontal="left" vertical="center" wrapText="1"/>
    </xf>
    <xf numFmtId="0" fontId="4" fillId="0" borderId="0" xfId="0" applyFont="1" applyAlignment="1">
      <alignment vertical="center" wrapText="1"/>
    </xf>
    <xf numFmtId="0" fontId="13" fillId="2" borderId="9" xfId="0" applyFont="1" applyFill="1" applyBorder="1" applyAlignment="1">
      <alignment horizontal="left" vertical="center" wrapText="1"/>
    </xf>
    <xf numFmtId="0" fontId="5" fillId="0" borderId="9" xfId="0" applyFont="1" applyBorder="1" applyAlignment="1">
      <alignment vertical="center" wrapText="1"/>
    </xf>
    <xf numFmtId="0" fontId="29" fillId="0" borderId="1" xfId="0" applyFont="1" applyBorder="1" applyAlignment="1">
      <alignment vertical="center"/>
    </xf>
    <xf numFmtId="0" fontId="29" fillId="8" borderId="1" xfId="0" applyFont="1" applyFill="1" applyBorder="1" applyAlignment="1">
      <alignment vertical="center"/>
    </xf>
    <xf numFmtId="0" fontId="0" fillId="8" borderId="9" xfId="0" applyFill="1" applyBorder="1" applyAlignment="1">
      <alignment horizontal="center" vertical="center"/>
    </xf>
    <xf numFmtId="0" fontId="28" fillId="8" borderId="9" xfId="0" applyFont="1" applyFill="1" applyBorder="1" applyAlignment="1">
      <alignment horizontal="center" vertical="center"/>
    </xf>
    <xf numFmtId="0" fontId="25" fillId="0" borderId="9" xfId="2" applyFill="1" applyBorder="1" applyAlignment="1">
      <alignment horizontal="left" vertical="center" wrapText="1"/>
    </xf>
    <xf numFmtId="0" fontId="25" fillId="0" borderId="9" xfId="2" applyFill="1" applyBorder="1" applyAlignment="1">
      <alignment vertical="center" wrapText="1"/>
    </xf>
    <xf numFmtId="0" fontId="13" fillId="2" borderId="9" xfId="0" applyFont="1" applyFill="1" applyBorder="1" applyAlignment="1">
      <alignment horizontal="center" vertical="top" wrapText="1"/>
    </xf>
    <xf numFmtId="0" fontId="13" fillId="2" borderId="9" xfId="0" applyFont="1" applyFill="1" applyBorder="1" applyAlignment="1">
      <alignment horizontal="center" vertical="center" wrapText="1"/>
    </xf>
    <xf numFmtId="0" fontId="4" fillId="0" borderId="0" xfId="0" applyFont="1" applyAlignment="1">
      <alignment horizontal="center" vertical="center"/>
    </xf>
    <xf numFmtId="0" fontId="3" fillId="0" borderId="9" xfId="0" applyFont="1" applyBorder="1" applyAlignment="1">
      <alignment vertical="center" wrapText="1"/>
    </xf>
    <xf numFmtId="0" fontId="3" fillId="0" borderId="9" xfId="0" applyFont="1" applyBorder="1" applyAlignment="1">
      <alignment vertical="top" wrapText="1"/>
    </xf>
    <xf numFmtId="0" fontId="3" fillId="0" borderId="9" xfId="0" applyFont="1" applyBorder="1" applyAlignment="1">
      <alignment horizontal="center" vertical="center" wrapText="1"/>
    </xf>
    <xf numFmtId="0" fontId="3" fillId="0" borderId="9" xfId="0" applyFont="1" applyBorder="1" applyAlignment="1">
      <alignment horizontal="center" vertical="center"/>
    </xf>
    <xf numFmtId="0" fontId="3" fillId="0" borderId="9" xfId="0" applyFont="1" applyBorder="1" applyAlignment="1">
      <alignment vertical="center"/>
    </xf>
    <xf numFmtId="0" fontId="3" fillId="0" borderId="9" xfId="0" applyFont="1" applyBorder="1" applyAlignment="1">
      <alignment vertical="top"/>
    </xf>
    <xf numFmtId="0" fontId="3" fillId="8" borderId="9" xfId="0" applyFont="1" applyFill="1" applyBorder="1" applyAlignment="1">
      <alignment vertical="center"/>
    </xf>
    <xf numFmtId="0" fontId="3" fillId="8" borderId="9" xfId="0" applyFont="1" applyFill="1" applyBorder="1" applyAlignment="1">
      <alignment vertical="center" wrapText="1"/>
    </xf>
    <xf numFmtId="0" fontId="3" fillId="0" borderId="9" xfId="0" applyFont="1" applyBorder="1" applyAlignment="1">
      <alignment horizontal="left" vertical="center" wrapText="1"/>
    </xf>
    <xf numFmtId="0" fontId="3" fillId="7" borderId="9" xfId="0" applyFont="1" applyFill="1" applyBorder="1" applyAlignment="1">
      <alignment horizontal="left" vertical="center" wrapText="1"/>
    </xf>
    <xf numFmtId="0" fontId="3" fillId="6" borderId="9" xfId="0" applyFont="1" applyFill="1" applyBorder="1" applyAlignment="1">
      <alignment horizontal="left" vertical="center" wrapText="1"/>
    </xf>
    <xf numFmtId="0" fontId="3" fillId="0" borderId="0" xfId="0" applyFont="1"/>
    <xf numFmtId="0" fontId="2" fillId="0" borderId="9" xfId="0" applyFont="1" applyBorder="1" applyAlignment="1">
      <alignment vertical="center"/>
    </xf>
    <xf numFmtId="0" fontId="2" fillId="0" borderId="9" xfId="0" applyFont="1" applyBorder="1" applyAlignment="1">
      <alignment vertical="top" wrapText="1"/>
    </xf>
    <xf numFmtId="0" fontId="5" fillId="0" borderId="10" xfId="0" applyFont="1" applyBorder="1" applyAlignment="1">
      <alignment horizontal="left" vertical="top" wrapText="1"/>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0" fontId="14" fillId="0" borderId="5" xfId="0" applyFont="1" applyBorder="1" applyAlignment="1">
      <alignment horizontal="center" vertical="center" wrapText="1"/>
    </xf>
    <xf numFmtId="0" fontId="8" fillId="0" borderId="7" xfId="0" applyFont="1" applyBorder="1"/>
    <xf numFmtId="0" fontId="15" fillId="5" borderId="5" xfId="0" applyFont="1" applyFill="1" applyBorder="1" applyAlignment="1">
      <alignment vertical="center" wrapText="1"/>
    </xf>
    <xf numFmtId="0" fontId="8" fillId="0" borderId="6" xfId="0" applyFont="1" applyBorder="1"/>
    <xf numFmtId="0" fontId="15" fillId="0" borderId="5" xfId="0" applyFont="1" applyBorder="1" applyAlignment="1">
      <alignment vertical="center" wrapText="1"/>
    </xf>
    <xf numFmtId="0" fontId="17" fillId="0" borderId="5" xfId="0" applyFont="1" applyBorder="1" applyAlignment="1">
      <alignment vertical="center" wrapText="1"/>
    </xf>
    <xf numFmtId="0" fontId="1" fillId="0" borderId="9" xfId="0" applyFont="1" applyBorder="1" applyAlignment="1">
      <alignment vertical="center"/>
    </xf>
    <xf numFmtId="0" fontId="1" fillId="0" borderId="9" xfId="0" applyFont="1" applyBorder="1" applyAlignment="1">
      <alignment vertical="center" wrapText="1"/>
    </xf>
  </cellXfs>
  <cellStyles count="3">
    <cellStyle name="Hipervínculo" xfId="2" builtinId="8"/>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persons/person.xml><?xml version="1.0" encoding="utf-8"?>
<personList xmlns="http://schemas.microsoft.com/office/spreadsheetml/2018/threadedcomments" xmlns:x="http://schemas.openxmlformats.org/spreadsheetml/2006/main">
  <person displayName="ANGELLO BRAVO" id="{0593CC73-798D-40CC-B4BF-BCF0F5756A69}" userId="S::MC2103@izipay.pe::f0337103-7442-4107-bcf0-89491ef4094c"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58" dT="2026-02-02T22:39:55.15" personId="{0593CC73-798D-40CC-B4BF-BCF0F5756A69}" id="{D44E5DFF-4FC8-42FD-9BE3-F84F7BA258DF}">
    <text>Es el equivalente al campo ”segmento” que usa Operaciones</text>
  </threadedComment>
</ThreadedComment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tabColor rgb="FF00B050"/>
  </sheetPr>
  <dimension ref="A1:I5"/>
  <sheetViews>
    <sheetView workbookViewId="0">
      <pane ySplit="2" topLeftCell="A3" activePane="bottomLeft" state="frozen"/>
      <selection pane="bottomLeft" activeCell="A24" sqref="A24"/>
    </sheetView>
  </sheetViews>
  <sheetFormatPr baseColWidth="10" defaultColWidth="14.44140625" defaultRowHeight="15" customHeight="1"/>
  <cols>
    <col min="1" max="1" width="4.44140625" customWidth="1"/>
    <col min="2" max="2" width="68.88671875" customWidth="1"/>
    <col min="3" max="3" width="51.44140625" customWidth="1"/>
    <col min="4" max="4" width="54.6640625" customWidth="1"/>
    <col min="5" max="5" width="25.88671875" customWidth="1"/>
    <col min="6" max="6" width="18.109375" customWidth="1"/>
    <col min="7" max="7" width="20.109375" customWidth="1"/>
    <col min="8" max="8" width="21.88671875" customWidth="1"/>
    <col min="9" max="9" width="19.88671875" customWidth="1"/>
    <col min="10" max="26" width="11.44140625" customWidth="1"/>
  </cols>
  <sheetData>
    <row r="1" spans="1:9" ht="14.25" customHeight="1">
      <c r="A1" s="43" t="s">
        <v>0</v>
      </c>
      <c r="B1" s="43" t="s">
        <v>1</v>
      </c>
      <c r="C1" s="43" t="s">
        <v>2</v>
      </c>
      <c r="D1" s="43" t="s">
        <v>3</v>
      </c>
      <c r="E1" s="44" t="s">
        <v>4</v>
      </c>
      <c r="F1" s="44" t="s">
        <v>5</v>
      </c>
      <c r="G1" s="43" t="s">
        <v>6</v>
      </c>
      <c r="H1" s="43" t="s">
        <v>7</v>
      </c>
      <c r="I1" s="43" t="s">
        <v>8</v>
      </c>
    </row>
    <row r="2" spans="1:9" ht="14.25" customHeight="1">
      <c r="A2" s="4"/>
      <c r="B2" s="45" t="s">
        <v>9</v>
      </c>
      <c r="C2" s="45" t="s">
        <v>10</v>
      </c>
      <c r="D2" s="45" t="s">
        <v>11</v>
      </c>
      <c r="E2" s="45" t="s">
        <v>12</v>
      </c>
      <c r="F2" s="45" t="s">
        <v>13</v>
      </c>
      <c r="G2" s="45" t="s">
        <v>14</v>
      </c>
      <c r="H2" s="45" t="s">
        <v>15</v>
      </c>
      <c r="I2" s="45" t="s">
        <v>16</v>
      </c>
    </row>
    <row r="3" spans="1:9" ht="14.25" customHeight="1">
      <c r="A3" s="1">
        <v>1</v>
      </c>
      <c r="B3" s="5" t="s">
        <v>17</v>
      </c>
      <c r="C3" s="5" t="s">
        <v>18</v>
      </c>
      <c r="D3" s="5" t="s">
        <v>19</v>
      </c>
      <c r="E3" s="5" t="s">
        <v>20</v>
      </c>
      <c r="F3" s="1" t="s">
        <v>21</v>
      </c>
      <c r="G3" s="6">
        <v>80000</v>
      </c>
      <c r="H3" s="5" t="s">
        <v>22</v>
      </c>
      <c r="I3" s="5" t="s">
        <v>23</v>
      </c>
    </row>
    <row r="4" spans="1:9" ht="14.25" customHeight="1">
      <c r="A4" s="1">
        <v>2</v>
      </c>
      <c r="B4" s="5" t="s">
        <v>24</v>
      </c>
      <c r="C4" s="5" t="s">
        <v>25</v>
      </c>
      <c r="D4" s="5" t="s">
        <v>26</v>
      </c>
      <c r="E4" s="5" t="s">
        <v>20</v>
      </c>
      <c r="F4" s="1" t="s">
        <v>21</v>
      </c>
      <c r="G4" s="6">
        <v>15400</v>
      </c>
      <c r="H4" s="5" t="s">
        <v>22</v>
      </c>
      <c r="I4" s="5" t="s">
        <v>23</v>
      </c>
    </row>
    <row r="5" spans="1:9" ht="14.25" customHeight="1">
      <c r="A5" s="1">
        <v>3</v>
      </c>
      <c r="B5" s="5" t="s">
        <v>27</v>
      </c>
      <c r="C5" s="5" t="s">
        <v>28</v>
      </c>
      <c r="D5" s="5" t="s">
        <v>29</v>
      </c>
      <c r="E5" s="5" t="s">
        <v>20</v>
      </c>
      <c r="F5" s="1" t="s">
        <v>21</v>
      </c>
      <c r="G5" s="6">
        <v>65000</v>
      </c>
      <c r="H5" s="5" t="s">
        <v>22</v>
      </c>
      <c r="I5" s="5" t="s">
        <v>23</v>
      </c>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tabColor rgb="FF0070C0"/>
  </sheetPr>
  <dimension ref="A1:G119"/>
  <sheetViews>
    <sheetView workbookViewId="0">
      <pane ySplit="2" topLeftCell="A3" activePane="bottomLeft" state="frozen"/>
      <selection pane="bottomLeft" activeCell="B4" sqref="B4"/>
    </sheetView>
  </sheetViews>
  <sheetFormatPr baseColWidth="10" defaultColWidth="14.44140625" defaultRowHeight="15" customHeight="1"/>
  <cols>
    <col min="1" max="1" width="29.109375" customWidth="1"/>
    <col min="2" max="2" width="31" customWidth="1"/>
    <col min="3" max="3" width="54.5546875" customWidth="1"/>
    <col min="4" max="4" width="53.33203125" customWidth="1"/>
    <col min="5" max="5" width="18.88671875" customWidth="1"/>
    <col min="6" max="6" width="14.88671875" customWidth="1"/>
    <col min="7" max="7" width="15.88671875" customWidth="1"/>
    <col min="8" max="26" width="11.44140625" customWidth="1"/>
  </cols>
  <sheetData>
    <row r="1" spans="1:7" ht="14.25" customHeight="1">
      <c r="A1" s="8" t="s">
        <v>30</v>
      </c>
      <c r="B1" s="8" t="s">
        <v>31</v>
      </c>
      <c r="C1" s="8" t="s">
        <v>32</v>
      </c>
      <c r="D1" s="8" t="s">
        <v>33</v>
      </c>
      <c r="E1" s="8" t="s">
        <v>34</v>
      </c>
      <c r="F1" s="8" t="s">
        <v>35</v>
      </c>
      <c r="G1" s="8" t="s">
        <v>36</v>
      </c>
    </row>
    <row r="2" spans="1:7" ht="14.25" customHeight="1">
      <c r="A2" s="4" t="s">
        <v>37</v>
      </c>
      <c r="B2" s="4" t="s">
        <v>38</v>
      </c>
      <c r="C2" s="4" t="s">
        <v>39</v>
      </c>
      <c r="D2" s="4" t="s">
        <v>40</v>
      </c>
      <c r="E2" s="4" t="s">
        <v>41</v>
      </c>
      <c r="F2" s="4" t="s">
        <v>42</v>
      </c>
      <c r="G2" s="4" t="s">
        <v>43</v>
      </c>
    </row>
    <row r="3" spans="1:7" ht="14.25" customHeight="1">
      <c r="A3" s="9" t="s">
        <v>44</v>
      </c>
      <c r="B3" s="1" t="s">
        <v>45</v>
      </c>
      <c r="C3" s="10" t="s">
        <v>46</v>
      </c>
      <c r="D3" s="10" t="s">
        <v>47</v>
      </c>
      <c r="E3" s="1" t="s">
        <v>48</v>
      </c>
      <c r="F3" s="5"/>
      <c r="G3" s="1" t="s">
        <v>49</v>
      </c>
    </row>
    <row r="4" spans="1:7" ht="14.25" customHeight="1">
      <c r="A4" s="9" t="s">
        <v>44</v>
      </c>
      <c r="B4" s="1" t="s">
        <v>50</v>
      </c>
      <c r="C4" s="10" t="s">
        <v>51</v>
      </c>
      <c r="D4" s="10" t="s">
        <v>52</v>
      </c>
      <c r="E4" s="1" t="s">
        <v>53</v>
      </c>
      <c r="F4" s="1"/>
      <c r="G4" s="1" t="s">
        <v>49</v>
      </c>
    </row>
    <row r="5" spans="1:7" ht="14.25" customHeight="1">
      <c r="A5" s="9" t="s">
        <v>44</v>
      </c>
      <c r="B5" s="1" t="s">
        <v>54</v>
      </c>
      <c r="C5" s="10" t="s">
        <v>55</v>
      </c>
      <c r="D5" s="10" t="s">
        <v>56</v>
      </c>
      <c r="E5" s="1" t="s">
        <v>57</v>
      </c>
      <c r="F5" s="1"/>
      <c r="G5" s="1" t="s">
        <v>49</v>
      </c>
    </row>
    <row r="6" spans="1:7" ht="14.25" customHeight="1">
      <c r="A6" s="9" t="s">
        <v>44</v>
      </c>
      <c r="B6" s="1" t="s">
        <v>58</v>
      </c>
      <c r="C6" s="11" t="s">
        <v>59</v>
      </c>
      <c r="D6" s="11" t="s">
        <v>60</v>
      </c>
      <c r="E6" s="1" t="s">
        <v>57</v>
      </c>
      <c r="F6" s="1"/>
      <c r="G6" s="1" t="s">
        <v>49</v>
      </c>
    </row>
    <row r="7" spans="1:7" ht="14.25" customHeight="1">
      <c r="A7" s="9" t="s">
        <v>44</v>
      </c>
      <c r="B7" s="1" t="s">
        <v>61</v>
      </c>
      <c r="C7" s="11" t="s">
        <v>62</v>
      </c>
      <c r="D7" s="11" t="s">
        <v>63</v>
      </c>
      <c r="E7" s="12" t="s">
        <v>57</v>
      </c>
      <c r="F7" s="1"/>
      <c r="G7" s="1" t="s">
        <v>49</v>
      </c>
    </row>
    <row r="8" spans="1:7" ht="14.25" customHeight="1">
      <c r="A8" s="9" t="s">
        <v>44</v>
      </c>
      <c r="B8" s="1" t="s">
        <v>64</v>
      </c>
      <c r="C8" s="9" t="s">
        <v>65</v>
      </c>
      <c r="D8" s="10" t="s">
        <v>66</v>
      </c>
      <c r="E8" s="1" t="s">
        <v>67</v>
      </c>
      <c r="F8" s="1"/>
      <c r="G8" s="1" t="s">
        <v>49</v>
      </c>
    </row>
    <row r="9" spans="1:7" ht="14.25" customHeight="1">
      <c r="A9" s="9" t="s">
        <v>44</v>
      </c>
      <c r="B9" s="1" t="s">
        <v>68</v>
      </c>
      <c r="C9" s="13" t="s">
        <v>69</v>
      </c>
      <c r="D9" s="14" t="s">
        <v>70</v>
      </c>
      <c r="E9" s="1" t="s">
        <v>57</v>
      </c>
      <c r="F9" s="1"/>
      <c r="G9" s="1" t="s">
        <v>49</v>
      </c>
    </row>
    <row r="10" spans="1:7" ht="14.25" customHeight="1">
      <c r="A10" s="9" t="s">
        <v>71</v>
      </c>
      <c r="B10" s="1" t="s">
        <v>72</v>
      </c>
      <c r="C10" s="10" t="s">
        <v>73</v>
      </c>
      <c r="D10" s="11" t="s">
        <v>74</v>
      </c>
      <c r="E10" s="1" t="s">
        <v>57</v>
      </c>
      <c r="F10" s="1"/>
      <c r="G10" s="1" t="s">
        <v>49</v>
      </c>
    </row>
    <row r="11" spans="1:7" ht="14.25" customHeight="1">
      <c r="A11" s="9" t="s">
        <v>71</v>
      </c>
      <c r="B11" s="1" t="s">
        <v>75</v>
      </c>
      <c r="C11" s="10" t="s">
        <v>76</v>
      </c>
      <c r="D11" s="11" t="s">
        <v>77</v>
      </c>
      <c r="E11" s="1" t="s">
        <v>57</v>
      </c>
      <c r="F11" s="1"/>
      <c r="G11" s="1" t="s">
        <v>49</v>
      </c>
    </row>
    <row r="12" spans="1:7" ht="14.25" customHeight="1">
      <c r="A12" s="9" t="s">
        <v>71</v>
      </c>
      <c r="B12" s="1" t="s">
        <v>54</v>
      </c>
      <c r="C12" s="10" t="s">
        <v>55</v>
      </c>
      <c r="D12" s="10" t="s">
        <v>56</v>
      </c>
      <c r="E12" s="1" t="s">
        <v>57</v>
      </c>
      <c r="F12" s="1"/>
      <c r="G12" s="1" t="s">
        <v>49</v>
      </c>
    </row>
    <row r="13" spans="1:7" ht="14.25" customHeight="1">
      <c r="A13" s="9" t="s">
        <v>71</v>
      </c>
      <c r="B13" s="1" t="s">
        <v>78</v>
      </c>
      <c r="C13" s="9" t="s">
        <v>79</v>
      </c>
      <c r="D13" s="11" t="s">
        <v>80</v>
      </c>
      <c r="E13" s="1" t="s">
        <v>57</v>
      </c>
      <c r="F13" s="1"/>
      <c r="G13" s="1" t="s">
        <v>49</v>
      </c>
    </row>
    <row r="14" spans="1:7" ht="14.25" customHeight="1">
      <c r="A14" s="9" t="s">
        <v>71</v>
      </c>
      <c r="B14" s="1" t="s">
        <v>81</v>
      </c>
      <c r="C14" s="9" t="s">
        <v>82</v>
      </c>
      <c r="D14" s="11" t="s">
        <v>83</v>
      </c>
      <c r="E14" s="1" t="s">
        <v>57</v>
      </c>
      <c r="F14" s="1"/>
      <c r="G14" s="1" t="s">
        <v>49</v>
      </c>
    </row>
    <row r="15" spans="1:7" ht="14.25" customHeight="1">
      <c r="A15" s="9" t="s">
        <v>71</v>
      </c>
      <c r="B15" s="1" t="s">
        <v>84</v>
      </c>
      <c r="C15" s="9" t="s">
        <v>85</v>
      </c>
      <c r="D15" s="11" t="s">
        <v>86</v>
      </c>
      <c r="E15" s="1" t="s">
        <v>57</v>
      </c>
      <c r="F15" s="1"/>
      <c r="G15" s="1" t="s">
        <v>49</v>
      </c>
    </row>
    <row r="16" spans="1:7" ht="14.25" customHeight="1">
      <c r="A16" s="9" t="s">
        <v>71</v>
      </c>
      <c r="B16" s="1" t="s">
        <v>87</v>
      </c>
      <c r="C16" s="11" t="s">
        <v>88</v>
      </c>
      <c r="D16" s="15" t="s">
        <v>89</v>
      </c>
      <c r="E16" s="1" t="s">
        <v>48</v>
      </c>
      <c r="F16" s="1"/>
      <c r="G16" s="1" t="s">
        <v>90</v>
      </c>
    </row>
    <row r="17" spans="1:7" ht="14.25" customHeight="1">
      <c r="A17" s="9" t="s">
        <v>71</v>
      </c>
      <c r="B17" s="1" t="s">
        <v>91</v>
      </c>
      <c r="C17" s="11" t="s">
        <v>92</v>
      </c>
      <c r="D17" s="15" t="s">
        <v>93</v>
      </c>
      <c r="E17" s="1" t="s">
        <v>53</v>
      </c>
      <c r="F17" s="1"/>
      <c r="G17" s="1" t="s">
        <v>90</v>
      </c>
    </row>
    <row r="18" spans="1:7" ht="14.25" customHeight="1">
      <c r="A18" s="9" t="s">
        <v>71</v>
      </c>
      <c r="B18" s="1" t="s">
        <v>94</v>
      </c>
      <c r="C18" s="11" t="s">
        <v>95</v>
      </c>
      <c r="D18" s="10" t="s">
        <v>96</v>
      </c>
      <c r="E18" s="1" t="s">
        <v>48</v>
      </c>
      <c r="F18" s="1"/>
      <c r="G18" s="1" t="s">
        <v>90</v>
      </c>
    </row>
    <row r="19" spans="1:7" ht="14.25" customHeight="1">
      <c r="A19" s="9" t="s">
        <v>71</v>
      </c>
      <c r="B19" s="1" t="s">
        <v>97</v>
      </c>
      <c r="C19" s="10" t="s">
        <v>98</v>
      </c>
      <c r="D19" s="11" t="s">
        <v>99</v>
      </c>
      <c r="E19" s="1" t="s">
        <v>53</v>
      </c>
      <c r="F19" s="1"/>
      <c r="G19" s="1" t="s">
        <v>49</v>
      </c>
    </row>
    <row r="20" spans="1:7" ht="14.25" customHeight="1">
      <c r="A20" s="9" t="s">
        <v>71</v>
      </c>
      <c r="B20" s="1" t="s">
        <v>100</v>
      </c>
      <c r="C20" s="10" t="s">
        <v>101</v>
      </c>
      <c r="D20" s="11" t="s">
        <v>102</v>
      </c>
      <c r="E20" s="1" t="s">
        <v>57</v>
      </c>
      <c r="F20" s="1"/>
      <c r="G20" s="1" t="s">
        <v>90</v>
      </c>
    </row>
    <row r="21" spans="1:7" ht="14.25" customHeight="1">
      <c r="A21" s="9" t="s">
        <v>71</v>
      </c>
      <c r="B21" s="1" t="s">
        <v>103</v>
      </c>
      <c r="C21" s="10" t="s">
        <v>104</v>
      </c>
      <c r="D21" s="11" t="s">
        <v>105</v>
      </c>
      <c r="E21" s="16" t="s">
        <v>57</v>
      </c>
      <c r="F21" s="1"/>
      <c r="G21" s="1" t="s">
        <v>49</v>
      </c>
    </row>
    <row r="22" spans="1:7" ht="14.25" customHeight="1">
      <c r="A22" s="9" t="s">
        <v>71</v>
      </c>
      <c r="B22" s="1" t="s">
        <v>106</v>
      </c>
      <c r="C22" s="9" t="s">
        <v>107</v>
      </c>
      <c r="D22" s="11" t="s">
        <v>108</v>
      </c>
      <c r="E22" s="1" t="s">
        <v>57</v>
      </c>
      <c r="F22" s="1"/>
      <c r="G22" s="1" t="s">
        <v>90</v>
      </c>
    </row>
    <row r="23" spans="1:7" ht="14.25" customHeight="1">
      <c r="A23" s="9" t="s">
        <v>71</v>
      </c>
      <c r="B23" s="1" t="s">
        <v>109</v>
      </c>
      <c r="C23" s="10" t="s">
        <v>110</v>
      </c>
      <c r="D23" s="11" t="s">
        <v>111</v>
      </c>
      <c r="E23" s="1" t="s">
        <v>57</v>
      </c>
      <c r="F23" s="1"/>
      <c r="G23" s="1" t="s">
        <v>49</v>
      </c>
    </row>
    <row r="24" spans="1:7" ht="14.25" customHeight="1">
      <c r="A24" s="9" t="s">
        <v>71</v>
      </c>
      <c r="B24" s="1" t="s">
        <v>112</v>
      </c>
      <c r="C24" s="10" t="s">
        <v>51</v>
      </c>
      <c r="D24" s="10" t="s">
        <v>113</v>
      </c>
      <c r="E24" s="1" t="s">
        <v>57</v>
      </c>
      <c r="F24" s="1"/>
      <c r="G24" s="1" t="s">
        <v>49</v>
      </c>
    </row>
    <row r="25" spans="1:7" ht="14.25" customHeight="1">
      <c r="A25" s="9" t="s">
        <v>71</v>
      </c>
      <c r="B25" s="1" t="s">
        <v>114</v>
      </c>
      <c r="C25" s="10" t="s">
        <v>115</v>
      </c>
      <c r="D25" s="10" t="s">
        <v>116</v>
      </c>
      <c r="E25" s="1" t="s">
        <v>57</v>
      </c>
      <c r="F25" s="1"/>
      <c r="G25" s="1" t="s">
        <v>49</v>
      </c>
    </row>
    <row r="26" spans="1:7" ht="14.25" customHeight="1">
      <c r="A26" s="9" t="s">
        <v>71</v>
      </c>
      <c r="B26" s="1" t="s">
        <v>117</v>
      </c>
      <c r="C26" s="10" t="s">
        <v>118</v>
      </c>
      <c r="D26" s="11" t="s">
        <v>119</v>
      </c>
      <c r="E26" s="1" t="s">
        <v>57</v>
      </c>
      <c r="F26" s="1"/>
      <c r="G26" s="1" t="s">
        <v>49</v>
      </c>
    </row>
    <row r="27" spans="1:7" ht="14.25" customHeight="1">
      <c r="A27" s="9" t="s">
        <v>71</v>
      </c>
      <c r="B27" s="1" t="s">
        <v>120</v>
      </c>
      <c r="C27" s="10" t="s">
        <v>121</v>
      </c>
      <c r="D27" s="11" t="s">
        <v>122</v>
      </c>
      <c r="E27" s="1" t="s">
        <v>57</v>
      </c>
      <c r="F27" s="1"/>
      <c r="G27" s="1" t="s">
        <v>49</v>
      </c>
    </row>
    <row r="28" spans="1:7" ht="14.25" customHeight="1">
      <c r="A28" s="9" t="s">
        <v>71</v>
      </c>
      <c r="B28" s="1" t="s">
        <v>123</v>
      </c>
      <c r="C28" s="17" t="s">
        <v>124</v>
      </c>
      <c r="D28" s="7" t="s">
        <v>125</v>
      </c>
      <c r="E28" s="2" t="s">
        <v>57</v>
      </c>
      <c r="F28" s="1"/>
      <c r="G28" s="1" t="s">
        <v>49</v>
      </c>
    </row>
    <row r="29" spans="1:7" ht="14.25" customHeight="1">
      <c r="A29" s="9" t="s">
        <v>71</v>
      </c>
      <c r="B29" s="1" t="s">
        <v>126</v>
      </c>
      <c r="C29" s="10" t="s">
        <v>127</v>
      </c>
      <c r="D29" s="11" t="s">
        <v>128</v>
      </c>
      <c r="E29" s="1" t="s">
        <v>57</v>
      </c>
      <c r="F29" s="1"/>
      <c r="G29" s="1" t="s">
        <v>49</v>
      </c>
    </row>
    <row r="30" spans="1:7" ht="14.25" customHeight="1">
      <c r="A30" s="9" t="s">
        <v>71</v>
      </c>
      <c r="B30" s="1" t="s">
        <v>129</v>
      </c>
      <c r="C30" s="9" t="s">
        <v>130</v>
      </c>
      <c r="D30" s="18" t="s">
        <v>131</v>
      </c>
      <c r="E30" s="1" t="s">
        <v>57</v>
      </c>
      <c r="F30" s="19"/>
      <c r="G30" s="1" t="s">
        <v>49</v>
      </c>
    </row>
    <row r="31" spans="1:7" ht="14.25" customHeight="1">
      <c r="A31" s="9" t="s">
        <v>71</v>
      </c>
      <c r="B31" s="1" t="s">
        <v>132</v>
      </c>
      <c r="C31" s="10" t="s">
        <v>133</v>
      </c>
      <c r="D31" s="11" t="s">
        <v>134</v>
      </c>
      <c r="E31" s="1" t="s">
        <v>57</v>
      </c>
      <c r="F31" s="19"/>
      <c r="G31" s="1" t="s">
        <v>49</v>
      </c>
    </row>
    <row r="32" spans="1:7" ht="14.25" customHeight="1">
      <c r="A32" s="9" t="s">
        <v>71</v>
      </c>
      <c r="B32" s="1" t="s">
        <v>135</v>
      </c>
      <c r="C32" s="10" t="s">
        <v>136</v>
      </c>
      <c r="D32" s="11" t="s">
        <v>137</v>
      </c>
      <c r="E32" s="1" t="s">
        <v>57</v>
      </c>
      <c r="F32" s="1"/>
      <c r="G32" s="1" t="s">
        <v>49</v>
      </c>
    </row>
    <row r="33" spans="1:7" ht="14.25" customHeight="1">
      <c r="A33" s="9" t="s">
        <v>71</v>
      </c>
      <c r="B33" s="1" t="s">
        <v>138</v>
      </c>
      <c r="C33" s="10" t="s">
        <v>139</v>
      </c>
      <c r="D33" s="11" t="s">
        <v>140</v>
      </c>
      <c r="E33" s="1" t="s">
        <v>57</v>
      </c>
      <c r="F33" s="1"/>
      <c r="G33" s="1" t="s">
        <v>49</v>
      </c>
    </row>
    <row r="34" spans="1:7" ht="14.25" customHeight="1">
      <c r="A34" s="9" t="s">
        <v>71</v>
      </c>
      <c r="B34" s="1" t="s">
        <v>141</v>
      </c>
      <c r="C34" s="10" t="s">
        <v>142</v>
      </c>
      <c r="D34" s="11" t="s">
        <v>143</v>
      </c>
      <c r="E34" s="1" t="s">
        <v>53</v>
      </c>
      <c r="F34" s="1"/>
      <c r="G34" s="1" t="s">
        <v>49</v>
      </c>
    </row>
    <row r="35" spans="1:7" ht="14.25" customHeight="1">
      <c r="A35" s="9" t="s">
        <v>71</v>
      </c>
      <c r="B35" s="1" t="s">
        <v>144</v>
      </c>
      <c r="C35" s="10" t="s">
        <v>145</v>
      </c>
      <c r="D35" s="11" t="s">
        <v>146</v>
      </c>
      <c r="E35" s="1" t="s">
        <v>57</v>
      </c>
      <c r="F35" s="1"/>
      <c r="G35" s="1" t="s">
        <v>49</v>
      </c>
    </row>
    <row r="36" spans="1:7" ht="14.25" customHeight="1">
      <c r="A36" s="9" t="s">
        <v>71</v>
      </c>
      <c r="B36" s="1" t="s">
        <v>147</v>
      </c>
      <c r="C36" s="10" t="s">
        <v>148</v>
      </c>
      <c r="D36" s="11" t="s">
        <v>149</v>
      </c>
      <c r="E36" s="1" t="s">
        <v>57</v>
      </c>
      <c r="F36" s="1"/>
      <c r="G36" s="1" t="s">
        <v>49</v>
      </c>
    </row>
    <row r="37" spans="1:7" ht="14.25" customHeight="1">
      <c r="A37" s="9" t="s">
        <v>71</v>
      </c>
      <c r="B37" s="1" t="s">
        <v>150</v>
      </c>
      <c r="C37" s="10" t="s">
        <v>151</v>
      </c>
      <c r="D37" s="11" t="s">
        <v>152</v>
      </c>
      <c r="E37" s="1" t="s">
        <v>57</v>
      </c>
      <c r="F37" s="1"/>
      <c r="G37" s="1" t="s">
        <v>49</v>
      </c>
    </row>
    <row r="38" spans="1:7" ht="14.25" customHeight="1">
      <c r="A38" s="9" t="s">
        <v>71</v>
      </c>
      <c r="B38" s="1" t="s">
        <v>153</v>
      </c>
      <c r="C38" s="10" t="s">
        <v>154</v>
      </c>
      <c r="D38" s="11" t="s">
        <v>155</v>
      </c>
      <c r="E38" s="1" t="s">
        <v>57</v>
      </c>
      <c r="F38" s="1"/>
      <c r="G38" s="1" t="s">
        <v>49</v>
      </c>
    </row>
    <row r="39" spans="1:7" ht="14.25" customHeight="1">
      <c r="A39" s="9" t="s">
        <v>71</v>
      </c>
      <c r="B39" s="1" t="s">
        <v>156</v>
      </c>
      <c r="C39" s="10" t="s">
        <v>157</v>
      </c>
      <c r="D39" s="11" t="s">
        <v>158</v>
      </c>
      <c r="E39" s="1" t="s">
        <v>57</v>
      </c>
      <c r="F39" s="1"/>
      <c r="G39" s="1" t="s">
        <v>49</v>
      </c>
    </row>
    <row r="40" spans="1:7" ht="14.25" customHeight="1">
      <c r="A40" s="9" t="s">
        <v>71</v>
      </c>
      <c r="B40" s="1" t="s">
        <v>159</v>
      </c>
      <c r="C40" s="10" t="s">
        <v>160</v>
      </c>
      <c r="D40" s="11" t="s">
        <v>161</v>
      </c>
      <c r="E40" s="1" t="s">
        <v>57</v>
      </c>
      <c r="F40" s="1"/>
      <c r="G40" s="1" t="s">
        <v>49</v>
      </c>
    </row>
    <row r="41" spans="1:7" ht="14.25" customHeight="1">
      <c r="A41" s="9" t="s">
        <v>71</v>
      </c>
      <c r="B41" s="1" t="s">
        <v>162</v>
      </c>
      <c r="C41" s="10" t="s">
        <v>163</v>
      </c>
      <c r="D41" s="11" t="s">
        <v>164</v>
      </c>
      <c r="E41" s="1" t="s">
        <v>57</v>
      </c>
      <c r="F41" s="1"/>
      <c r="G41" s="1" t="s">
        <v>49</v>
      </c>
    </row>
    <row r="42" spans="1:7" ht="14.25" customHeight="1">
      <c r="A42" s="9" t="s">
        <v>71</v>
      </c>
      <c r="B42" s="1" t="s">
        <v>165</v>
      </c>
      <c r="C42" s="10" t="s">
        <v>166</v>
      </c>
      <c r="D42" s="11" t="s">
        <v>167</v>
      </c>
      <c r="E42" s="1" t="s">
        <v>57</v>
      </c>
      <c r="F42" s="1"/>
      <c r="G42" s="1" t="s">
        <v>49</v>
      </c>
    </row>
    <row r="43" spans="1:7" ht="14.25" customHeight="1">
      <c r="A43" s="9" t="s">
        <v>71</v>
      </c>
      <c r="B43" s="1" t="s">
        <v>168</v>
      </c>
      <c r="C43" s="10" t="s">
        <v>169</v>
      </c>
      <c r="D43" s="11" t="s">
        <v>170</v>
      </c>
      <c r="E43" s="1" t="s">
        <v>57</v>
      </c>
      <c r="F43" s="1"/>
      <c r="G43" s="1" t="s">
        <v>49</v>
      </c>
    </row>
    <row r="44" spans="1:7" ht="14.25" customHeight="1">
      <c r="A44" s="9" t="s">
        <v>71</v>
      </c>
      <c r="B44" s="1" t="s">
        <v>171</v>
      </c>
      <c r="C44" s="9" t="s">
        <v>172</v>
      </c>
      <c r="D44" s="11" t="s">
        <v>173</v>
      </c>
      <c r="E44" s="1" t="s">
        <v>57</v>
      </c>
      <c r="F44" s="1"/>
      <c r="G44" s="1" t="s">
        <v>49</v>
      </c>
    </row>
    <row r="45" spans="1:7" ht="14.25" customHeight="1">
      <c r="A45" s="9" t="s">
        <v>71</v>
      </c>
      <c r="B45" s="1" t="s">
        <v>174</v>
      </c>
      <c r="C45" s="10" t="s">
        <v>175</v>
      </c>
      <c r="D45" s="11" t="s">
        <v>176</v>
      </c>
      <c r="E45" s="1" t="s">
        <v>57</v>
      </c>
      <c r="F45" s="1"/>
      <c r="G45" s="1" t="s">
        <v>49</v>
      </c>
    </row>
    <row r="46" spans="1:7" ht="14.25" customHeight="1">
      <c r="A46" s="9" t="s">
        <v>71</v>
      </c>
      <c r="B46" s="1" t="s">
        <v>177</v>
      </c>
      <c r="C46" s="10" t="s">
        <v>178</v>
      </c>
      <c r="D46" s="11" t="s">
        <v>179</v>
      </c>
      <c r="E46" s="1" t="s">
        <v>57</v>
      </c>
      <c r="F46" s="1"/>
      <c r="G46" s="1" t="s">
        <v>49</v>
      </c>
    </row>
    <row r="47" spans="1:7" ht="14.25" customHeight="1">
      <c r="A47" s="9" t="s">
        <v>71</v>
      </c>
      <c r="B47" s="1" t="s">
        <v>180</v>
      </c>
      <c r="C47" s="10" t="s">
        <v>181</v>
      </c>
      <c r="D47" s="11" t="s">
        <v>182</v>
      </c>
      <c r="E47" s="1" t="s">
        <v>57</v>
      </c>
      <c r="F47" s="1"/>
      <c r="G47" s="1" t="s">
        <v>49</v>
      </c>
    </row>
    <row r="48" spans="1:7" ht="14.25" customHeight="1">
      <c r="A48" s="9" t="s">
        <v>71</v>
      </c>
      <c r="B48" s="1" t="s">
        <v>183</v>
      </c>
      <c r="C48" s="10" t="s">
        <v>184</v>
      </c>
      <c r="D48" s="11" t="s">
        <v>185</v>
      </c>
      <c r="E48" s="1" t="s">
        <v>57</v>
      </c>
      <c r="F48" s="1"/>
      <c r="G48" s="1" t="s">
        <v>49</v>
      </c>
    </row>
    <row r="49" spans="1:7" ht="14.25" customHeight="1">
      <c r="A49" s="9" t="s">
        <v>71</v>
      </c>
      <c r="B49" s="1" t="s">
        <v>186</v>
      </c>
      <c r="C49" s="10" t="s">
        <v>187</v>
      </c>
      <c r="D49" s="11" t="s">
        <v>188</v>
      </c>
      <c r="E49" s="1" t="s">
        <v>57</v>
      </c>
      <c r="F49" s="1"/>
      <c r="G49" s="1" t="s">
        <v>49</v>
      </c>
    </row>
    <row r="50" spans="1:7" ht="14.25" customHeight="1">
      <c r="A50" s="9" t="s">
        <v>71</v>
      </c>
      <c r="B50" s="1" t="s">
        <v>189</v>
      </c>
      <c r="C50" s="9" t="s">
        <v>190</v>
      </c>
      <c r="D50" s="11" t="s">
        <v>191</v>
      </c>
      <c r="E50" s="1" t="s">
        <v>57</v>
      </c>
      <c r="F50" s="1"/>
      <c r="G50" s="1" t="s">
        <v>49</v>
      </c>
    </row>
    <row r="51" spans="1:7" ht="14.25" customHeight="1">
      <c r="A51" s="9" t="s">
        <v>71</v>
      </c>
      <c r="B51" s="1" t="s">
        <v>192</v>
      </c>
      <c r="C51" s="10" t="s">
        <v>193</v>
      </c>
      <c r="D51" s="11" t="s">
        <v>194</v>
      </c>
      <c r="E51" s="1" t="s">
        <v>57</v>
      </c>
      <c r="F51" s="1"/>
      <c r="G51" s="1" t="s">
        <v>49</v>
      </c>
    </row>
    <row r="52" spans="1:7" ht="14.25" customHeight="1">
      <c r="A52" s="9" t="s">
        <v>71</v>
      </c>
      <c r="B52" s="1" t="s">
        <v>195</v>
      </c>
      <c r="C52" s="20" t="s">
        <v>196</v>
      </c>
      <c r="D52" s="11" t="s">
        <v>197</v>
      </c>
      <c r="E52" s="1" t="s">
        <v>57</v>
      </c>
      <c r="F52" s="1"/>
      <c r="G52" s="1" t="s">
        <v>49</v>
      </c>
    </row>
    <row r="53" spans="1:7" ht="14.25" customHeight="1">
      <c r="A53" s="9" t="s">
        <v>71</v>
      </c>
      <c r="B53" s="1" t="s">
        <v>198</v>
      </c>
      <c r="C53" s="20" t="s">
        <v>199</v>
      </c>
      <c r="D53" s="11" t="s">
        <v>200</v>
      </c>
      <c r="E53" s="1" t="s">
        <v>57</v>
      </c>
      <c r="F53" s="1"/>
      <c r="G53" s="1" t="s">
        <v>49</v>
      </c>
    </row>
    <row r="54" spans="1:7" ht="14.25" customHeight="1">
      <c r="A54" s="9" t="s">
        <v>71</v>
      </c>
      <c r="B54" s="1" t="s">
        <v>201</v>
      </c>
      <c r="C54" s="20" t="s">
        <v>202</v>
      </c>
      <c r="D54" s="11" t="s">
        <v>203</v>
      </c>
      <c r="E54" s="1" t="s">
        <v>57</v>
      </c>
      <c r="F54" s="1"/>
      <c r="G54" s="1" t="s">
        <v>49</v>
      </c>
    </row>
    <row r="55" spans="1:7" ht="14.25" customHeight="1">
      <c r="A55" s="9" t="s">
        <v>71</v>
      </c>
      <c r="B55" s="1" t="s">
        <v>204</v>
      </c>
      <c r="C55" s="20" t="s">
        <v>205</v>
      </c>
      <c r="D55" s="11" t="s">
        <v>206</v>
      </c>
      <c r="E55" s="1" t="s">
        <v>57</v>
      </c>
      <c r="F55" s="1"/>
      <c r="G55" s="1" t="s">
        <v>49</v>
      </c>
    </row>
    <row r="56" spans="1:7" ht="14.25" customHeight="1">
      <c r="A56" s="9" t="s">
        <v>71</v>
      </c>
      <c r="B56" s="1" t="s">
        <v>207</v>
      </c>
      <c r="C56" s="20" t="s">
        <v>208</v>
      </c>
      <c r="D56" s="11" t="s">
        <v>209</v>
      </c>
      <c r="E56" s="1" t="s">
        <v>57</v>
      </c>
      <c r="F56" s="1"/>
      <c r="G56" s="1" t="s">
        <v>49</v>
      </c>
    </row>
    <row r="57" spans="1:7" ht="14.25" customHeight="1">
      <c r="A57" s="9" t="s">
        <v>71</v>
      </c>
      <c r="B57" s="1" t="s">
        <v>210</v>
      </c>
      <c r="C57" s="20" t="s">
        <v>211</v>
      </c>
      <c r="D57" s="11" t="s">
        <v>212</v>
      </c>
      <c r="E57" s="1" t="s">
        <v>57</v>
      </c>
      <c r="F57" s="1"/>
      <c r="G57" s="1" t="s">
        <v>49</v>
      </c>
    </row>
    <row r="58" spans="1:7" ht="14.25" customHeight="1">
      <c r="A58" s="9" t="s">
        <v>71</v>
      </c>
      <c r="B58" s="1" t="s">
        <v>213</v>
      </c>
      <c r="C58" s="20" t="s">
        <v>214</v>
      </c>
      <c r="D58" s="11" t="s">
        <v>215</v>
      </c>
      <c r="E58" s="1" t="s">
        <v>57</v>
      </c>
      <c r="F58" s="1"/>
      <c r="G58" s="1" t="s">
        <v>49</v>
      </c>
    </row>
    <row r="59" spans="1:7" ht="14.25" customHeight="1">
      <c r="A59" s="9" t="s">
        <v>71</v>
      </c>
      <c r="B59" s="1" t="s">
        <v>216</v>
      </c>
      <c r="C59" s="20" t="s">
        <v>217</v>
      </c>
      <c r="D59" s="11" t="s">
        <v>218</v>
      </c>
      <c r="E59" s="1" t="s">
        <v>57</v>
      </c>
      <c r="F59" s="1"/>
      <c r="G59" s="1" t="s">
        <v>49</v>
      </c>
    </row>
    <row r="60" spans="1:7" ht="14.25" customHeight="1">
      <c r="A60" s="9" t="s">
        <v>71</v>
      </c>
      <c r="B60" s="1" t="s">
        <v>219</v>
      </c>
      <c r="C60" s="20" t="s">
        <v>220</v>
      </c>
      <c r="D60" s="11" t="s">
        <v>221</v>
      </c>
      <c r="E60" s="1" t="s">
        <v>57</v>
      </c>
      <c r="F60" s="1"/>
      <c r="G60" s="1" t="s">
        <v>49</v>
      </c>
    </row>
    <row r="61" spans="1:7" ht="14.25" customHeight="1">
      <c r="A61" s="9" t="s">
        <v>71</v>
      </c>
      <c r="B61" s="1" t="s">
        <v>222</v>
      </c>
      <c r="C61" s="20" t="s">
        <v>223</v>
      </c>
      <c r="D61" s="11" t="s">
        <v>224</v>
      </c>
      <c r="E61" s="1" t="s">
        <v>57</v>
      </c>
      <c r="F61" s="1"/>
      <c r="G61" s="1" t="s">
        <v>49</v>
      </c>
    </row>
    <row r="62" spans="1:7" ht="14.25" customHeight="1">
      <c r="A62" s="9" t="s">
        <v>71</v>
      </c>
      <c r="B62" s="1" t="s">
        <v>225</v>
      </c>
      <c r="C62" s="20" t="s">
        <v>226</v>
      </c>
      <c r="D62" s="11" t="s">
        <v>227</v>
      </c>
      <c r="E62" s="1" t="s">
        <v>57</v>
      </c>
      <c r="F62" s="1"/>
      <c r="G62" s="1" t="s">
        <v>49</v>
      </c>
    </row>
    <row r="63" spans="1:7" ht="14.25" customHeight="1">
      <c r="A63" s="9" t="s">
        <v>71</v>
      </c>
      <c r="B63" s="1" t="s">
        <v>228</v>
      </c>
      <c r="C63" s="20" t="s">
        <v>229</v>
      </c>
      <c r="D63" s="11" t="s">
        <v>230</v>
      </c>
      <c r="E63" s="1" t="s">
        <v>57</v>
      </c>
      <c r="F63" s="1"/>
      <c r="G63" s="1" t="s">
        <v>49</v>
      </c>
    </row>
    <row r="64" spans="1:7" ht="14.25" customHeight="1">
      <c r="A64" s="9" t="s">
        <v>71</v>
      </c>
      <c r="B64" s="1" t="s">
        <v>231</v>
      </c>
      <c r="C64" s="20" t="s">
        <v>232</v>
      </c>
      <c r="D64" s="11" t="s">
        <v>233</v>
      </c>
      <c r="E64" s="1" t="s">
        <v>57</v>
      </c>
      <c r="F64" s="1"/>
      <c r="G64" s="1" t="s">
        <v>49</v>
      </c>
    </row>
    <row r="65" spans="1:7" ht="14.25" customHeight="1">
      <c r="A65" s="9" t="s">
        <v>234</v>
      </c>
      <c r="B65" s="1" t="s">
        <v>72</v>
      </c>
      <c r="C65" s="10" t="s">
        <v>73</v>
      </c>
      <c r="D65" s="11" t="s">
        <v>74</v>
      </c>
      <c r="E65" s="1" t="s">
        <v>57</v>
      </c>
      <c r="F65" s="1"/>
      <c r="G65" s="1" t="s">
        <v>49</v>
      </c>
    </row>
    <row r="66" spans="1:7" ht="14.25" customHeight="1">
      <c r="A66" s="9" t="s">
        <v>234</v>
      </c>
      <c r="B66" s="1" t="s">
        <v>75</v>
      </c>
      <c r="C66" s="10" t="s">
        <v>76</v>
      </c>
      <c r="D66" s="11" t="s">
        <v>77</v>
      </c>
      <c r="E66" s="1" t="s">
        <v>57</v>
      </c>
      <c r="F66" s="1"/>
      <c r="G66" s="1" t="s">
        <v>49</v>
      </c>
    </row>
    <row r="67" spans="1:7" ht="14.25" customHeight="1">
      <c r="A67" s="9" t="s">
        <v>234</v>
      </c>
      <c r="B67" s="1" t="s">
        <v>54</v>
      </c>
      <c r="C67" s="10" t="s">
        <v>55</v>
      </c>
      <c r="D67" s="10" t="s">
        <v>56</v>
      </c>
      <c r="E67" s="1" t="s">
        <v>57</v>
      </c>
      <c r="F67" s="1"/>
      <c r="G67" s="1" t="s">
        <v>49</v>
      </c>
    </row>
    <row r="68" spans="1:7" ht="14.25" customHeight="1">
      <c r="A68" s="9" t="s">
        <v>234</v>
      </c>
      <c r="B68" s="1" t="s">
        <v>78</v>
      </c>
      <c r="C68" s="9" t="s">
        <v>79</v>
      </c>
      <c r="D68" s="11" t="s">
        <v>80</v>
      </c>
      <c r="E68" s="1" t="s">
        <v>57</v>
      </c>
      <c r="F68" s="1"/>
      <c r="G68" s="1" t="s">
        <v>49</v>
      </c>
    </row>
    <row r="69" spans="1:7" ht="14.25" customHeight="1">
      <c r="A69" s="9" t="s">
        <v>234</v>
      </c>
      <c r="B69" s="1" t="s">
        <v>81</v>
      </c>
      <c r="C69" s="9" t="s">
        <v>82</v>
      </c>
      <c r="D69" s="11" t="s">
        <v>83</v>
      </c>
      <c r="E69" s="1" t="s">
        <v>57</v>
      </c>
      <c r="F69" s="1"/>
      <c r="G69" s="1" t="s">
        <v>49</v>
      </c>
    </row>
    <row r="70" spans="1:7" ht="14.25" customHeight="1">
      <c r="A70" s="9" t="s">
        <v>234</v>
      </c>
      <c r="B70" s="1" t="s">
        <v>84</v>
      </c>
      <c r="C70" s="9" t="s">
        <v>85</v>
      </c>
      <c r="D70" s="11" t="s">
        <v>86</v>
      </c>
      <c r="E70" s="1" t="s">
        <v>57</v>
      </c>
      <c r="F70" s="1"/>
      <c r="G70" s="1" t="s">
        <v>49</v>
      </c>
    </row>
    <row r="71" spans="1:7" ht="14.25" customHeight="1">
      <c r="A71" s="9" t="s">
        <v>234</v>
      </c>
      <c r="B71" s="1" t="s">
        <v>87</v>
      </c>
      <c r="C71" s="11" t="s">
        <v>88</v>
      </c>
      <c r="D71" s="15" t="s">
        <v>89</v>
      </c>
      <c r="E71" s="1" t="s">
        <v>48</v>
      </c>
      <c r="F71" s="1"/>
      <c r="G71" s="1" t="s">
        <v>90</v>
      </c>
    </row>
    <row r="72" spans="1:7" ht="14.25" customHeight="1">
      <c r="A72" s="9" t="s">
        <v>234</v>
      </c>
      <c r="B72" s="1" t="s">
        <v>91</v>
      </c>
      <c r="C72" s="11" t="s">
        <v>92</v>
      </c>
      <c r="D72" s="15" t="s">
        <v>93</v>
      </c>
      <c r="E72" s="1" t="s">
        <v>53</v>
      </c>
      <c r="F72" s="1"/>
      <c r="G72" s="1" t="s">
        <v>90</v>
      </c>
    </row>
    <row r="73" spans="1:7" ht="14.25" customHeight="1">
      <c r="A73" s="9" t="s">
        <v>234</v>
      </c>
      <c r="B73" s="1" t="s">
        <v>94</v>
      </c>
      <c r="C73" s="11" t="s">
        <v>95</v>
      </c>
      <c r="D73" s="10" t="s">
        <v>96</v>
      </c>
      <c r="E73" s="1" t="s">
        <v>48</v>
      </c>
      <c r="F73" s="1"/>
      <c r="G73" s="1" t="s">
        <v>90</v>
      </c>
    </row>
    <row r="74" spans="1:7" ht="14.25" customHeight="1">
      <c r="A74" s="9" t="s">
        <v>234</v>
      </c>
      <c r="B74" s="1" t="s">
        <v>97</v>
      </c>
      <c r="C74" s="10" t="s">
        <v>98</v>
      </c>
      <c r="D74" s="11" t="s">
        <v>99</v>
      </c>
      <c r="E74" s="1" t="s">
        <v>53</v>
      </c>
      <c r="F74" s="1"/>
      <c r="G74" s="1" t="s">
        <v>49</v>
      </c>
    </row>
    <row r="75" spans="1:7" ht="14.25" customHeight="1">
      <c r="A75" s="9" t="s">
        <v>234</v>
      </c>
      <c r="B75" s="1" t="s">
        <v>100</v>
      </c>
      <c r="C75" s="10" t="s">
        <v>101</v>
      </c>
      <c r="D75" s="11" t="s">
        <v>102</v>
      </c>
      <c r="E75" s="1" t="s">
        <v>57</v>
      </c>
      <c r="F75" s="1"/>
      <c r="G75" s="1" t="s">
        <v>90</v>
      </c>
    </row>
    <row r="76" spans="1:7" ht="14.25" customHeight="1">
      <c r="A76" s="9" t="s">
        <v>234</v>
      </c>
      <c r="B76" s="1" t="s">
        <v>103</v>
      </c>
      <c r="C76" s="10" t="s">
        <v>104</v>
      </c>
      <c r="D76" s="11" t="s">
        <v>105</v>
      </c>
      <c r="E76" s="16" t="s">
        <v>57</v>
      </c>
      <c r="F76" s="1"/>
      <c r="G76" s="1" t="s">
        <v>49</v>
      </c>
    </row>
    <row r="77" spans="1:7" ht="14.25" customHeight="1">
      <c r="A77" s="9" t="s">
        <v>234</v>
      </c>
      <c r="B77" s="1" t="s">
        <v>106</v>
      </c>
      <c r="C77" s="9" t="s">
        <v>107</v>
      </c>
      <c r="D77" s="11" t="s">
        <v>108</v>
      </c>
      <c r="E77" s="1" t="s">
        <v>57</v>
      </c>
      <c r="F77" s="1"/>
      <c r="G77" s="1" t="s">
        <v>90</v>
      </c>
    </row>
    <row r="78" spans="1:7" ht="14.25" customHeight="1">
      <c r="A78" s="9" t="s">
        <v>234</v>
      </c>
      <c r="B78" s="1" t="s">
        <v>109</v>
      </c>
      <c r="C78" s="10" t="s">
        <v>110</v>
      </c>
      <c r="D78" s="11" t="s">
        <v>111</v>
      </c>
      <c r="E78" s="1" t="s">
        <v>57</v>
      </c>
      <c r="F78" s="1"/>
      <c r="G78" s="1" t="s">
        <v>49</v>
      </c>
    </row>
    <row r="79" spans="1:7" ht="14.25" customHeight="1">
      <c r="A79" s="9" t="s">
        <v>234</v>
      </c>
      <c r="B79" s="1" t="s">
        <v>112</v>
      </c>
      <c r="C79" s="10" t="s">
        <v>51</v>
      </c>
      <c r="D79" s="10" t="s">
        <v>113</v>
      </c>
      <c r="E79" s="1" t="s">
        <v>57</v>
      </c>
      <c r="F79" s="1"/>
      <c r="G79" s="1" t="s">
        <v>49</v>
      </c>
    </row>
    <row r="80" spans="1:7" ht="14.25" customHeight="1">
      <c r="A80" s="9" t="s">
        <v>234</v>
      </c>
      <c r="B80" s="1" t="s">
        <v>114</v>
      </c>
      <c r="C80" s="10" t="s">
        <v>115</v>
      </c>
      <c r="D80" s="10" t="s">
        <v>116</v>
      </c>
      <c r="E80" s="1" t="s">
        <v>57</v>
      </c>
      <c r="F80" s="1"/>
      <c r="G80" s="1" t="s">
        <v>49</v>
      </c>
    </row>
    <row r="81" spans="1:7" ht="14.25" customHeight="1">
      <c r="A81" s="9" t="s">
        <v>234</v>
      </c>
      <c r="B81" s="1" t="s">
        <v>117</v>
      </c>
      <c r="C81" s="10" t="s">
        <v>118</v>
      </c>
      <c r="D81" s="11" t="s">
        <v>119</v>
      </c>
      <c r="E81" s="1" t="s">
        <v>57</v>
      </c>
      <c r="F81" s="1"/>
      <c r="G81" s="1" t="s">
        <v>49</v>
      </c>
    </row>
    <row r="82" spans="1:7" ht="14.25" customHeight="1">
      <c r="A82" s="9" t="s">
        <v>234</v>
      </c>
      <c r="B82" s="1" t="s">
        <v>120</v>
      </c>
      <c r="C82" s="10" t="s">
        <v>121</v>
      </c>
      <c r="D82" s="11" t="s">
        <v>122</v>
      </c>
      <c r="E82" s="1" t="s">
        <v>57</v>
      </c>
      <c r="F82" s="1"/>
      <c r="G82" s="1" t="s">
        <v>49</v>
      </c>
    </row>
    <row r="83" spans="1:7" ht="14.25" customHeight="1">
      <c r="A83" s="9" t="s">
        <v>234</v>
      </c>
      <c r="B83" s="1" t="s">
        <v>123</v>
      </c>
      <c r="C83" s="17" t="s">
        <v>124</v>
      </c>
      <c r="D83" s="7" t="s">
        <v>125</v>
      </c>
      <c r="E83" s="2" t="s">
        <v>57</v>
      </c>
      <c r="F83" s="1"/>
      <c r="G83" s="1" t="s">
        <v>49</v>
      </c>
    </row>
    <row r="84" spans="1:7" ht="14.25" customHeight="1">
      <c r="A84" s="9" t="s">
        <v>234</v>
      </c>
      <c r="B84" s="1" t="s">
        <v>126</v>
      </c>
      <c r="C84" s="10" t="s">
        <v>127</v>
      </c>
      <c r="D84" s="11" t="s">
        <v>128</v>
      </c>
      <c r="E84" s="1" t="s">
        <v>57</v>
      </c>
      <c r="F84" s="1"/>
      <c r="G84" s="1" t="s">
        <v>49</v>
      </c>
    </row>
    <row r="85" spans="1:7" ht="14.25" customHeight="1">
      <c r="A85" s="9" t="s">
        <v>234</v>
      </c>
      <c r="B85" s="1" t="s">
        <v>129</v>
      </c>
      <c r="C85" s="9" t="s">
        <v>130</v>
      </c>
      <c r="D85" s="18" t="s">
        <v>131</v>
      </c>
      <c r="E85" s="1" t="s">
        <v>57</v>
      </c>
      <c r="F85" s="19"/>
      <c r="G85" s="1" t="s">
        <v>49</v>
      </c>
    </row>
    <row r="86" spans="1:7" ht="14.25" customHeight="1">
      <c r="A86" s="9" t="s">
        <v>234</v>
      </c>
      <c r="B86" s="1" t="s">
        <v>132</v>
      </c>
      <c r="C86" s="10" t="s">
        <v>133</v>
      </c>
      <c r="D86" s="11" t="s">
        <v>134</v>
      </c>
      <c r="E86" s="1" t="s">
        <v>57</v>
      </c>
      <c r="F86" s="19"/>
      <c r="G86" s="1" t="s">
        <v>49</v>
      </c>
    </row>
    <row r="87" spans="1:7" ht="14.25" customHeight="1">
      <c r="A87" s="9" t="s">
        <v>234</v>
      </c>
      <c r="B87" s="1" t="s">
        <v>135</v>
      </c>
      <c r="C87" s="10" t="s">
        <v>136</v>
      </c>
      <c r="D87" s="11" t="s">
        <v>137</v>
      </c>
      <c r="E87" s="1" t="s">
        <v>57</v>
      </c>
      <c r="F87" s="1"/>
      <c r="G87" s="1" t="s">
        <v>49</v>
      </c>
    </row>
    <row r="88" spans="1:7" ht="14.25" customHeight="1">
      <c r="A88" s="9" t="s">
        <v>234</v>
      </c>
      <c r="B88" s="1" t="s">
        <v>138</v>
      </c>
      <c r="C88" s="10" t="s">
        <v>139</v>
      </c>
      <c r="D88" s="11" t="s">
        <v>140</v>
      </c>
      <c r="E88" s="1" t="s">
        <v>57</v>
      </c>
      <c r="F88" s="1"/>
      <c r="G88" s="1" t="s">
        <v>49</v>
      </c>
    </row>
    <row r="89" spans="1:7" ht="14.25" customHeight="1">
      <c r="A89" s="9" t="s">
        <v>234</v>
      </c>
      <c r="B89" s="1" t="s">
        <v>141</v>
      </c>
      <c r="C89" s="10" t="s">
        <v>142</v>
      </c>
      <c r="D89" s="11" t="s">
        <v>143</v>
      </c>
      <c r="E89" s="1" t="s">
        <v>53</v>
      </c>
      <c r="F89" s="1"/>
      <c r="G89" s="1" t="s">
        <v>49</v>
      </c>
    </row>
    <row r="90" spans="1:7" ht="14.25" customHeight="1">
      <c r="A90" s="9" t="s">
        <v>234</v>
      </c>
      <c r="B90" s="1" t="s">
        <v>144</v>
      </c>
      <c r="C90" s="10" t="s">
        <v>145</v>
      </c>
      <c r="D90" s="11" t="s">
        <v>146</v>
      </c>
      <c r="E90" s="1" t="s">
        <v>57</v>
      </c>
      <c r="F90" s="1"/>
      <c r="G90" s="1" t="s">
        <v>49</v>
      </c>
    </row>
    <row r="91" spans="1:7" ht="14.25" customHeight="1">
      <c r="A91" s="9" t="s">
        <v>234</v>
      </c>
      <c r="B91" s="1" t="s">
        <v>147</v>
      </c>
      <c r="C91" s="10" t="s">
        <v>148</v>
      </c>
      <c r="D91" s="11" t="s">
        <v>149</v>
      </c>
      <c r="E91" s="1" t="s">
        <v>57</v>
      </c>
      <c r="F91" s="1"/>
      <c r="G91" s="1" t="s">
        <v>49</v>
      </c>
    </row>
    <row r="92" spans="1:7" ht="14.25" customHeight="1">
      <c r="A92" s="9" t="s">
        <v>234</v>
      </c>
      <c r="B92" s="1" t="s">
        <v>150</v>
      </c>
      <c r="C92" s="10" t="s">
        <v>151</v>
      </c>
      <c r="D92" s="11" t="s">
        <v>152</v>
      </c>
      <c r="E92" s="1" t="s">
        <v>57</v>
      </c>
      <c r="F92" s="1"/>
      <c r="G92" s="1" t="s">
        <v>49</v>
      </c>
    </row>
    <row r="93" spans="1:7" ht="14.25" customHeight="1">
      <c r="A93" s="9" t="s">
        <v>234</v>
      </c>
      <c r="B93" s="1" t="s">
        <v>153</v>
      </c>
      <c r="C93" s="10" t="s">
        <v>154</v>
      </c>
      <c r="D93" s="11" t="s">
        <v>155</v>
      </c>
      <c r="E93" s="1" t="s">
        <v>57</v>
      </c>
      <c r="F93" s="1"/>
      <c r="G93" s="1" t="s">
        <v>49</v>
      </c>
    </row>
    <row r="94" spans="1:7" ht="14.25" customHeight="1">
      <c r="A94" s="9" t="s">
        <v>234</v>
      </c>
      <c r="B94" s="1" t="s">
        <v>156</v>
      </c>
      <c r="C94" s="10" t="s">
        <v>157</v>
      </c>
      <c r="D94" s="11" t="s">
        <v>158</v>
      </c>
      <c r="E94" s="1" t="s">
        <v>57</v>
      </c>
      <c r="F94" s="1"/>
      <c r="G94" s="1" t="s">
        <v>49</v>
      </c>
    </row>
    <row r="95" spans="1:7" ht="14.25" customHeight="1">
      <c r="A95" s="9" t="s">
        <v>234</v>
      </c>
      <c r="B95" s="1" t="s">
        <v>159</v>
      </c>
      <c r="C95" s="10" t="s">
        <v>160</v>
      </c>
      <c r="D95" s="11" t="s">
        <v>161</v>
      </c>
      <c r="E95" s="1" t="s">
        <v>57</v>
      </c>
      <c r="F95" s="1"/>
      <c r="G95" s="1" t="s">
        <v>49</v>
      </c>
    </row>
    <row r="96" spans="1:7" ht="14.25" customHeight="1">
      <c r="A96" s="9" t="s">
        <v>234</v>
      </c>
      <c r="B96" s="1" t="s">
        <v>162</v>
      </c>
      <c r="C96" s="10" t="s">
        <v>163</v>
      </c>
      <c r="D96" s="11" t="s">
        <v>164</v>
      </c>
      <c r="E96" s="1" t="s">
        <v>57</v>
      </c>
      <c r="F96" s="1"/>
      <c r="G96" s="1" t="s">
        <v>49</v>
      </c>
    </row>
    <row r="97" spans="1:7" ht="14.25" customHeight="1">
      <c r="A97" s="9" t="s">
        <v>234</v>
      </c>
      <c r="B97" s="1" t="s">
        <v>165</v>
      </c>
      <c r="C97" s="10" t="s">
        <v>166</v>
      </c>
      <c r="D97" s="11" t="s">
        <v>167</v>
      </c>
      <c r="E97" s="1" t="s">
        <v>57</v>
      </c>
      <c r="F97" s="1"/>
      <c r="G97" s="1" t="s">
        <v>49</v>
      </c>
    </row>
    <row r="98" spans="1:7" ht="14.25" customHeight="1">
      <c r="A98" s="9" t="s">
        <v>234</v>
      </c>
      <c r="B98" s="1" t="s">
        <v>168</v>
      </c>
      <c r="C98" s="10" t="s">
        <v>169</v>
      </c>
      <c r="D98" s="11" t="s">
        <v>170</v>
      </c>
      <c r="E98" s="1" t="s">
        <v>57</v>
      </c>
      <c r="F98" s="1"/>
      <c r="G98" s="1" t="s">
        <v>49</v>
      </c>
    </row>
    <row r="99" spans="1:7" ht="14.25" customHeight="1">
      <c r="A99" s="9" t="s">
        <v>234</v>
      </c>
      <c r="B99" s="1" t="s">
        <v>171</v>
      </c>
      <c r="C99" s="9" t="s">
        <v>172</v>
      </c>
      <c r="D99" s="11" t="s">
        <v>173</v>
      </c>
      <c r="E99" s="1" t="s">
        <v>57</v>
      </c>
      <c r="F99" s="1"/>
      <c r="G99" s="1" t="s">
        <v>49</v>
      </c>
    </row>
    <row r="100" spans="1:7" ht="14.25" customHeight="1">
      <c r="A100" s="9" t="s">
        <v>234</v>
      </c>
      <c r="B100" s="1" t="s">
        <v>174</v>
      </c>
      <c r="C100" s="10" t="s">
        <v>175</v>
      </c>
      <c r="D100" s="11" t="s">
        <v>176</v>
      </c>
      <c r="E100" s="1" t="s">
        <v>57</v>
      </c>
      <c r="F100" s="1"/>
      <c r="G100" s="1" t="s">
        <v>49</v>
      </c>
    </row>
    <row r="101" spans="1:7" ht="14.25" customHeight="1">
      <c r="A101" s="9" t="s">
        <v>234</v>
      </c>
      <c r="B101" s="1" t="s">
        <v>177</v>
      </c>
      <c r="C101" s="10" t="s">
        <v>178</v>
      </c>
      <c r="D101" s="11" t="s">
        <v>179</v>
      </c>
      <c r="E101" s="1" t="s">
        <v>57</v>
      </c>
      <c r="F101" s="1"/>
      <c r="G101" s="1" t="s">
        <v>49</v>
      </c>
    </row>
    <row r="102" spans="1:7" ht="14.25" customHeight="1">
      <c r="A102" s="9" t="s">
        <v>234</v>
      </c>
      <c r="B102" s="1" t="s">
        <v>180</v>
      </c>
      <c r="C102" s="10" t="s">
        <v>181</v>
      </c>
      <c r="D102" s="11" t="s">
        <v>182</v>
      </c>
      <c r="E102" s="1" t="s">
        <v>57</v>
      </c>
      <c r="F102" s="1"/>
      <c r="G102" s="1" t="s">
        <v>49</v>
      </c>
    </row>
    <row r="103" spans="1:7" ht="14.25" customHeight="1">
      <c r="A103" s="9" t="s">
        <v>234</v>
      </c>
      <c r="B103" s="1" t="s">
        <v>183</v>
      </c>
      <c r="C103" s="10" t="s">
        <v>184</v>
      </c>
      <c r="D103" s="11" t="s">
        <v>185</v>
      </c>
      <c r="E103" s="1" t="s">
        <v>57</v>
      </c>
      <c r="F103" s="1"/>
      <c r="G103" s="1" t="s">
        <v>49</v>
      </c>
    </row>
    <row r="104" spans="1:7" ht="14.25" customHeight="1">
      <c r="A104" s="9" t="s">
        <v>234</v>
      </c>
      <c r="B104" s="1" t="s">
        <v>186</v>
      </c>
      <c r="C104" s="10" t="s">
        <v>187</v>
      </c>
      <c r="D104" s="11" t="s">
        <v>188</v>
      </c>
      <c r="E104" s="1" t="s">
        <v>57</v>
      </c>
      <c r="F104" s="1"/>
      <c r="G104" s="1" t="s">
        <v>49</v>
      </c>
    </row>
    <row r="105" spans="1:7" ht="14.25" customHeight="1">
      <c r="A105" s="9" t="s">
        <v>234</v>
      </c>
      <c r="B105" s="1" t="s">
        <v>189</v>
      </c>
      <c r="C105" s="9" t="s">
        <v>190</v>
      </c>
      <c r="D105" s="11" t="s">
        <v>191</v>
      </c>
      <c r="E105" s="1" t="s">
        <v>57</v>
      </c>
      <c r="F105" s="1"/>
      <c r="G105" s="1" t="s">
        <v>49</v>
      </c>
    </row>
    <row r="106" spans="1:7" ht="14.25" customHeight="1">
      <c r="A106" s="9" t="s">
        <v>234</v>
      </c>
      <c r="B106" s="1" t="s">
        <v>192</v>
      </c>
      <c r="C106" s="10" t="s">
        <v>193</v>
      </c>
      <c r="D106" s="11" t="s">
        <v>194</v>
      </c>
      <c r="E106" s="1" t="s">
        <v>57</v>
      </c>
      <c r="F106" s="1"/>
      <c r="G106" s="1" t="s">
        <v>49</v>
      </c>
    </row>
    <row r="107" spans="1:7" ht="14.25" customHeight="1">
      <c r="A107" s="9" t="s">
        <v>234</v>
      </c>
      <c r="B107" s="1" t="s">
        <v>195</v>
      </c>
      <c r="C107" s="20" t="s">
        <v>196</v>
      </c>
      <c r="D107" s="11" t="s">
        <v>197</v>
      </c>
      <c r="E107" s="1" t="s">
        <v>57</v>
      </c>
      <c r="F107" s="1"/>
      <c r="G107" s="1" t="s">
        <v>49</v>
      </c>
    </row>
    <row r="108" spans="1:7" ht="14.25" customHeight="1">
      <c r="A108" s="9" t="s">
        <v>234</v>
      </c>
      <c r="B108" s="1" t="s">
        <v>198</v>
      </c>
      <c r="C108" s="20" t="s">
        <v>199</v>
      </c>
      <c r="D108" s="11" t="s">
        <v>200</v>
      </c>
      <c r="E108" s="1" t="s">
        <v>57</v>
      </c>
      <c r="F108" s="1"/>
      <c r="G108" s="1" t="s">
        <v>49</v>
      </c>
    </row>
    <row r="109" spans="1:7" ht="14.25" customHeight="1">
      <c r="A109" s="9" t="s">
        <v>234</v>
      </c>
      <c r="B109" s="1" t="s">
        <v>201</v>
      </c>
      <c r="C109" s="20" t="s">
        <v>202</v>
      </c>
      <c r="D109" s="11" t="s">
        <v>203</v>
      </c>
      <c r="E109" s="1" t="s">
        <v>57</v>
      </c>
      <c r="F109" s="1"/>
      <c r="G109" s="1" t="s">
        <v>49</v>
      </c>
    </row>
    <row r="110" spans="1:7" ht="14.25" customHeight="1">
      <c r="A110" s="9" t="s">
        <v>234</v>
      </c>
      <c r="B110" s="1" t="s">
        <v>204</v>
      </c>
      <c r="C110" s="20" t="s">
        <v>205</v>
      </c>
      <c r="D110" s="11" t="s">
        <v>206</v>
      </c>
      <c r="E110" s="1" t="s">
        <v>57</v>
      </c>
      <c r="F110" s="1"/>
      <c r="G110" s="1" t="s">
        <v>49</v>
      </c>
    </row>
    <row r="111" spans="1:7" ht="14.25" customHeight="1">
      <c r="A111" s="9" t="s">
        <v>234</v>
      </c>
      <c r="B111" s="1" t="s">
        <v>207</v>
      </c>
      <c r="C111" s="20" t="s">
        <v>208</v>
      </c>
      <c r="D111" s="11" t="s">
        <v>209</v>
      </c>
      <c r="E111" s="1" t="s">
        <v>57</v>
      </c>
      <c r="F111" s="1"/>
      <c r="G111" s="1" t="s">
        <v>49</v>
      </c>
    </row>
    <row r="112" spans="1:7" ht="14.25" customHeight="1">
      <c r="A112" s="9" t="s">
        <v>234</v>
      </c>
      <c r="B112" s="1" t="s">
        <v>210</v>
      </c>
      <c r="C112" s="20" t="s">
        <v>211</v>
      </c>
      <c r="D112" s="11" t="s">
        <v>212</v>
      </c>
      <c r="E112" s="1" t="s">
        <v>57</v>
      </c>
      <c r="F112" s="1"/>
      <c r="G112" s="1" t="s">
        <v>49</v>
      </c>
    </row>
    <row r="113" spans="1:7" ht="14.25" customHeight="1">
      <c r="A113" s="9" t="s">
        <v>234</v>
      </c>
      <c r="B113" s="1" t="s">
        <v>213</v>
      </c>
      <c r="C113" s="20" t="s">
        <v>214</v>
      </c>
      <c r="D113" s="11" t="s">
        <v>215</v>
      </c>
      <c r="E113" s="1" t="s">
        <v>57</v>
      </c>
      <c r="F113" s="1"/>
      <c r="G113" s="1" t="s">
        <v>49</v>
      </c>
    </row>
    <row r="114" spans="1:7" ht="14.25" customHeight="1">
      <c r="A114" s="9" t="s">
        <v>234</v>
      </c>
      <c r="B114" s="1" t="s">
        <v>216</v>
      </c>
      <c r="C114" s="20" t="s">
        <v>217</v>
      </c>
      <c r="D114" s="11" t="s">
        <v>218</v>
      </c>
      <c r="E114" s="1" t="s">
        <v>57</v>
      </c>
      <c r="F114" s="1"/>
      <c r="G114" s="1" t="s">
        <v>49</v>
      </c>
    </row>
    <row r="115" spans="1:7" ht="14.25" customHeight="1">
      <c r="A115" s="9" t="s">
        <v>234</v>
      </c>
      <c r="B115" s="1" t="s">
        <v>219</v>
      </c>
      <c r="C115" s="20" t="s">
        <v>220</v>
      </c>
      <c r="D115" s="11" t="s">
        <v>221</v>
      </c>
      <c r="E115" s="1" t="s">
        <v>57</v>
      </c>
      <c r="F115" s="1"/>
      <c r="G115" s="1" t="s">
        <v>49</v>
      </c>
    </row>
    <row r="116" spans="1:7" ht="14.25" customHeight="1">
      <c r="A116" s="9" t="s">
        <v>234</v>
      </c>
      <c r="B116" s="1" t="s">
        <v>222</v>
      </c>
      <c r="C116" s="20" t="s">
        <v>223</v>
      </c>
      <c r="D116" s="11" t="s">
        <v>224</v>
      </c>
      <c r="E116" s="1" t="s">
        <v>57</v>
      </c>
      <c r="F116" s="1"/>
      <c r="G116" s="1" t="s">
        <v>49</v>
      </c>
    </row>
    <row r="117" spans="1:7" ht="14.25" customHeight="1">
      <c r="A117" s="9" t="s">
        <v>234</v>
      </c>
      <c r="B117" s="1" t="s">
        <v>225</v>
      </c>
      <c r="C117" s="20" t="s">
        <v>226</v>
      </c>
      <c r="D117" s="11" t="s">
        <v>227</v>
      </c>
      <c r="E117" s="1" t="s">
        <v>57</v>
      </c>
      <c r="F117" s="1"/>
      <c r="G117" s="1" t="s">
        <v>49</v>
      </c>
    </row>
    <row r="118" spans="1:7" ht="14.25" customHeight="1">
      <c r="A118" s="9" t="s">
        <v>234</v>
      </c>
      <c r="B118" s="1" t="s">
        <v>228</v>
      </c>
      <c r="C118" s="20" t="s">
        <v>229</v>
      </c>
      <c r="D118" s="11" t="s">
        <v>230</v>
      </c>
      <c r="E118" s="1" t="s">
        <v>57</v>
      </c>
      <c r="F118" s="1"/>
      <c r="G118" s="1" t="s">
        <v>49</v>
      </c>
    </row>
    <row r="119" spans="1:7" ht="14.25" customHeight="1">
      <c r="A119" s="9" t="s">
        <v>234</v>
      </c>
      <c r="B119" s="1" t="s">
        <v>231</v>
      </c>
      <c r="C119" s="20" t="s">
        <v>232</v>
      </c>
      <c r="D119" s="11" t="s">
        <v>233</v>
      </c>
      <c r="E119" s="1" t="s">
        <v>57</v>
      </c>
      <c r="F119" s="1"/>
      <c r="G119" s="1" t="s">
        <v>49</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sheetPr codeName="Hoja3"/>
  <dimension ref="A1:P8"/>
  <sheetViews>
    <sheetView showGridLines="0" topLeftCell="B1" zoomScale="85" zoomScaleNormal="85" workbookViewId="0">
      <pane ySplit="2" topLeftCell="A3" activePane="bottomLeft" state="frozen"/>
      <selection pane="bottomLeft" activeCell="F5" sqref="F5"/>
    </sheetView>
  </sheetViews>
  <sheetFormatPr baseColWidth="10" defaultColWidth="14.44140625" defaultRowHeight="14.4"/>
  <cols>
    <col min="1" max="1" width="26.88671875" style="74" customWidth="1"/>
    <col min="2" max="2" width="28.109375" style="74" customWidth="1"/>
    <col min="3" max="3" width="33.5546875" style="74" customWidth="1"/>
    <col min="4" max="4" width="52.88671875" style="74" customWidth="1"/>
    <col min="5" max="5" width="27.33203125" style="74" customWidth="1"/>
    <col min="6" max="6" width="73.109375" style="74" customWidth="1"/>
    <col min="7" max="7" width="57" style="74" customWidth="1"/>
    <col min="8" max="8" width="17.88671875" style="74" customWidth="1"/>
    <col min="9" max="9" width="20.5546875" style="74" customWidth="1"/>
    <col min="10" max="10" width="19.88671875" style="74" customWidth="1"/>
    <col min="11" max="11" width="12.6640625" style="74" customWidth="1"/>
    <col min="12" max="12" width="18.44140625" style="74" customWidth="1"/>
    <col min="13" max="13" width="20.5546875" style="74" customWidth="1"/>
    <col min="14" max="14" width="27.109375" style="74" customWidth="1"/>
    <col min="15" max="15" width="22" style="74" customWidth="1"/>
    <col min="16" max="16" width="24.109375" style="74" customWidth="1"/>
    <col min="17" max="25" width="10.88671875" style="74" customWidth="1"/>
    <col min="26" max="16384" width="14.44140625" style="74"/>
  </cols>
  <sheetData>
    <row r="1" spans="1:16">
      <c r="A1" s="35" t="s">
        <v>235</v>
      </c>
      <c r="B1" s="35" t="s">
        <v>236</v>
      </c>
      <c r="C1" s="35" t="s">
        <v>237</v>
      </c>
      <c r="D1" s="35" t="s">
        <v>3</v>
      </c>
      <c r="E1" s="35" t="s">
        <v>238</v>
      </c>
      <c r="F1" s="35" t="s">
        <v>239</v>
      </c>
      <c r="G1" s="35" t="s">
        <v>240</v>
      </c>
      <c r="H1" s="35" t="s">
        <v>241</v>
      </c>
      <c r="I1" s="35" t="s">
        <v>242</v>
      </c>
      <c r="J1" s="35" t="s">
        <v>243</v>
      </c>
      <c r="K1" s="35" t="s">
        <v>244</v>
      </c>
      <c r="L1" s="35" t="s">
        <v>245</v>
      </c>
      <c r="M1" s="35" t="s">
        <v>7</v>
      </c>
      <c r="N1" s="35" t="s">
        <v>246</v>
      </c>
      <c r="O1" s="35" t="s">
        <v>247</v>
      </c>
      <c r="P1" s="35" t="s">
        <v>248</v>
      </c>
    </row>
    <row r="2" spans="1:16" ht="52.8">
      <c r="A2" s="58" t="s">
        <v>249</v>
      </c>
      <c r="B2" s="58" t="s">
        <v>250</v>
      </c>
      <c r="C2" s="58" t="s">
        <v>251</v>
      </c>
      <c r="D2" s="58" t="s">
        <v>252</v>
      </c>
      <c r="E2" s="58" t="s">
        <v>253</v>
      </c>
      <c r="F2" s="58" t="s">
        <v>254</v>
      </c>
      <c r="G2" s="58" t="s">
        <v>255</v>
      </c>
      <c r="H2" s="59"/>
      <c r="I2" s="58" t="s">
        <v>256</v>
      </c>
      <c r="J2" s="59" t="s">
        <v>257</v>
      </c>
      <c r="K2" s="58" t="s">
        <v>258</v>
      </c>
      <c r="L2" s="58" t="s">
        <v>259</v>
      </c>
      <c r="M2" s="59" t="s">
        <v>15</v>
      </c>
      <c r="N2" s="59" t="s">
        <v>260</v>
      </c>
      <c r="O2" s="59" t="s">
        <v>261</v>
      </c>
      <c r="P2" s="59" t="s">
        <v>262</v>
      </c>
    </row>
    <row r="3" spans="1:16" s="73" customFormat="1" ht="115.2">
      <c r="A3" s="63" t="s">
        <v>263</v>
      </c>
      <c r="B3" s="63" t="s">
        <v>264</v>
      </c>
      <c r="C3" s="65" t="s">
        <v>265</v>
      </c>
      <c r="D3" s="72" t="s">
        <v>266</v>
      </c>
      <c r="E3" s="60">
        <v>1</v>
      </c>
      <c r="F3" s="63" t="s">
        <v>267</v>
      </c>
      <c r="G3" s="63" t="s">
        <v>268</v>
      </c>
      <c r="H3" s="61"/>
      <c r="I3" s="62" t="s">
        <v>269</v>
      </c>
      <c r="J3" s="60"/>
      <c r="K3" s="60" t="s">
        <v>270</v>
      </c>
      <c r="L3" s="60" t="s">
        <v>271</v>
      </c>
      <c r="M3" s="60"/>
      <c r="N3" s="60"/>
      <c r="O3" s="60"/>
      <c r="P3" s="60"/>
    </row>
    <row r="4" spans="1:16" s="73" customFormat="1" ht="115.2">
      <c r="A4" s="63" t="s">
        <v>263</v>
      </c>
      <c r="B4" s="63" t="s">
        <v>264</v>
      </c>
      <c r="C4" s="84" t="s">
        <v>272</v>
      </c>
      <c r="D4" s="72" t="s">
        <v>273</v>
      </c>
      <c r="E4" s="60">
        <v>1</v>
      </c>
      <c r="F4" s="63" t="s">
        <v>274</v>
      </c>
      <c r="G4" s="63" t="s">
        <v>268</v>
      </c>
      <c r="H4" s="61"/>
      <c r="I4" s="62" t="s">
        <v>269</v>
      </c>
      <c r="J4" s="60"/>
      <c r="K4" s="60" t="s">
        <v>270</v>
      </c>
      <c r="L4" s="60" t="s">
        <v>271</v>
      </c>
      <c r="M4" s="60"/>
      <c r="N4" s="60"/>
      <c r="O4" s="60"/>
      <c r="P4" s="60"/>
    </row>
    <row r="5" spans="1:16" s="73" customFormat="1" ht="115.2">
      <c r="A5" s="63" t="s">
        <v>263</v>
      </c>
      <c r="B5" s="63" t="s">
        <v>264</v>
      </c>
      <c r="C5" s="84" t="s">
        <v>275</v>
      </c>
      <c r="D5" s="72" t="s">
        <v>276</v>
      </c>
      <c r="E5" s="60">
        <v>1</v>
      </c>
      <c r="F5" s="63" t="s">
        <v>277</v>
      </c>
      <c r="G5" s="63" t="s">
        <v>268</v>
      </c>
      <c r="H5" s="61"/>
      <c r="I5" s="62" t="s">
        <v>269</v>
      </c>
      <c r="J5" s="60"/>
      <c r="K5" s="60" t="s">
        <v>270</v>
      </c>
      <c r="L5" s="60" t="s">
        <v>271</v>
      </c>
      <c r="M5" s="60"/>
      <c r="N5" s="60"/>
      <c r="O5" s="60"/>
      <c r="P5" s="60"/>
    </row>
    <row r="6" spans="1:16" s="73" customFormat="1" ht="100.8">
      <c r="A6" s="63" t="s">
        <v>263</v>
      </c>
      <c r="B6" s="63" t="s">
        <v>264</v>
      </c>
      <c r="C6" s="85" t="s">
        <v>278</v>
      </c>
      <c r="D6" s="75" t="s">
        <v>279</v>
      </c>
      <c r="E6" s="60">
        <v>1</v>
      </c>
      <c r="F6" s="63" t="s">
        <v>280</v>
      </c>
      <c r="G6" s="63" t="s">
        <v>268</v>
      </c>
      <c r="H6" s="61"/>
      <c r="I6" s="62" t="s">
        <v>269</v>
      </c>
      <c r="J6" s="60"/>
      <c r="K6" s="60" t="s">
        <v>270</v>
      </c>
      <c r="L6" s="60" t="s">
        <v>271</v>
      </c>
      <c r="M6" s="60"/>
      <c r="N6" s="60"/>
      <c r="O6" s="60"/>
      <c r="P6" s="60"/>
    </row>
    <row r="7" spans="1:16" s="73" customFormat="1" ht="100.8">
      <c r="A7" s="63" t="s">
        <v>263</v>
      </c>
      <c r="B7" s="63" t="s">
        <v>264</v>
      </c>
      <c r="C7" s="85" t="s">
        <v>281</v>
      </c>
      <c r="D7" s="75" t="s">
        <v>282</v>
      </c>
      <c r="E7" s="60">
        <v>1</v>
      </c>
      <c r="F7" s="63" t="s">
        <v>283</v>
      </c>
      <c r="G7" s="63" t="s">
        <v>268</v>
      </c>
      <c r="H7" s="61"/>
      <c r="I7" s="62" t="s">
        <v>269</v>
      </c>
      <c r="J7" s="60"/>
      <c r="K7" s="60" t="s">
        <v>270</v>
      </c>
      <c r="L7" s="60" t="s">
        <v>271</v>
      </c>
      <c r="M7" s="60"/>
      <c r="N7" s="60"/>
      <c r="O7" s="60"/>
      <c r="P7" s="60"/>
    </row>
    <row r="8" spans="1:16" s="73" customFormat="1" ht="129.6">
      <c r="A8" s="63" t="s">
        <v>263</v>
      </c>
      <c r="B8" s="63" t="s">
        <v>264</v>
      </c>
      <c r="C8" s="85" t="s">
        <v>284</v>
      </c>
      <c r="D8" s="75" t="s">
        <v>285</v>
      </c>
      <c r="E8" s="60">
        <v>1</v>
      </c>
      <c r="F8" s="63" t="s">
        <v>286</v>
      </c>
      <c r="G8" s="63" t="s">
        <v>268</v>
      </c>
      <c r="H8" s="61"/>
      <c r="I8" s="62" t="s">
        <v>269</v>
      </c>
      <c r="J8" s="60"/>
      <c r="K8" s="60" t="s">
        <v>270</v>
      </c>
      <c r="L8" s="60" t="s">
        <v>271</v>
      </c>
      <c r="M8" s="60"/>
      <c r="N8" s="60"/>
      <c r="O8" s="60"/>
      <c r="P8" s="60"/>
    </row>
  </sheetData>
  <hyperlinks>
    <hyperlink ref="C6" location="dv_consolidacion_contracargo!A1" display="dv_consolidacion_contracargo" xr:uid="{4AFD0FA8-0C08-4652-8862-2ACE36DF9544}"/>
    <hyperlink ref="C7" location="dv_consolidacion_contracargo!A1" display="dv_consolidacion_contracargo" xr:uid="{0581BFC1-8D58-4A02-9972-AC43AD9339A9}"/>
    <hyperlink ref="C8" location="dv_consolidacion_contracargo!A1" display="dv_consolidacion_contracargo" xr:uid="{226FB2E1-8AD8-4D43-83DF-0686CF6A3BE6}"/>
  </hyperlink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08EB-5ABF-4D8F-B5F3-E0A72A2E90D8}">
  <sheetPr codeName="Hoja4"/>
  <dimension ref="A1:G73"/>
  <sheetViews>
    <sheetView showGridLines="0" tabSelected="1" zoomScale="85" zoomScaleNormal="85" workbookViewId="0">
      <pane ySplit="1" topLeftCell="A23" activePane="bottomLeft" state="frozen"/>
      <selection pane="bottomLeft" activeCell="F27" sqref="F27"/>
    </sheetView>
  </sheetViews>
  <sheetFormatPr baseColWidth="10" defaultColWidth="14.44140625" defaultRowHeight="14.4"/>
  <cols>
    <col min="1" max="1" width="12.5546875" style="57" bestFit="1" customWidth="1"/>
    <col min="2" max="2" width="26.88671875" style="57" bestFit="1" customWidth="1"/>
    <col min="3" max="3" width="28.21875" style="57" bestFit="1" customWidth="1"/>
    <col min="4" max="4" width="39.44140625" style="57" bestFit="1" customWidth="1"/>
    <col min="5" max="5" width="48.6640625" style="77" customWidth="1"/>
    <col min="6" max="6" width="99.109375" style="71" customWidth="1"/>
    <col min="7" max="7" width="29" style="88" customWidth="1"/>
    <col min="8" max="11" width="8.6640625" style="57" customWidth="1"/>
    <col min="12" max="16384" width="14.44140625" style="57"/>
  </cols>
  <sheetData>
    <row r="1" spans="1:7">
      <c r="A1" s="35" t="s">
        <v>287</v>
      </c>
      <c r="B1" s="56" t="s">
        <v>288</v>
      </c>
      <c r="C1" s="35" t="s">
        <v>289</v>
      </c>
      <c r="D1" s="35" t="s">
        <v>290</v>
      </c>
      <c r="E1" s="35" t="s">
        <v>291</v>
      </c>
      <c r="F1" s="86" t="s">
        <v>292</v>
      </c>
      <c r="G1" s="87" t="s">
        <v>293</v>
      </c>
    </row>
    <row r="2" spans="1:7" ht="15" customHeight="1">
      <c r="A2" s="92" t="s">
        <v>294</v>
      </c>
      <c r="B2" s="66" t="s">
        <v>265</v>
      </c>
      <c r="C2" s="67" t="s">
        <v>45</v>
      </c>
      <c r="D2" s="37"/>
      <c r="E2" s="89"/>
      <c r="F2" s="70" t="s">
        <v>295</v>
      </c>
      <c r="G2" s="60"/>
    </row>
    <row r="3" spans="1:7" ht="129.6">
      <c r="A3" s="64" t="s">
        <v>294</v>
      </c>
      <c r="B3" s="66" t="s">
        <v>265</v>
      </c>
      <c r="C3" s="67" t="s">
        <v>296</v>
      </c>
      <c r="D3" s="37" t="s">
        <v>297</v>
      </c>
      <c r="E3" s="37"/>
      <c r="F3" s="70" t="s">
        <v>298</v>
      </c>
      <c r="G3" s="60"/>
    </row>
    <row r="4" spans="1:7" ht="129.6">
      <c r="A4" s="64" t="s">
        <v>294</v>
      </c>
      <c r="B4" s="66" t="s">
        <v>265</v>
      </c>
      <c r="C4" s="67" t="s">
        <v>299</v>
      </c>
      <c r="D4" s="37" t="s">
        <v>297</v>
      </c>
      <c r="E4" s="37" t="s">
        <v>300</v>
      </c>
      <c r="F4" s="70" t="s">
        <v>301</v>
      </c>
      <c r="G4" s="60"/>
    </row>
    <row r="5" spans="1:7" ht="129.6">
      <c r="A5" s="64" t="s">
        <v>294</v>
      </c>
      <c r="B5" s="66" t="s">
        <v>265</v>
      </c>
      <c r="C5" s="93" t="s">
        <v>302</v>
      </c>
      <c r="D5" s="37" t="s">
        <v>297</v>
      </c>
      <c r="E5" s="37" t="s">
        <v>303</v>
      </c>
      <c r="F5" s="70" t="s">
        <v>304</v>
      </c>
      <c r="G5" s="60" t="s">
        <v>305</v>
      </c>
    </row>
    <row r="6" spans="1:7" ht="129.6">
      <c r="A6" s="64" t="s">
        <v>294</v>
      </c>
      <c r="B6" s="66" t="s">
        <v>265</v>
      </c>
      <c r="C6" s="93" t="s">
        <v>306</v>
      </c>
      <c r="D6" s="37" t="s">
        <v>297</v>
      </c>
      <c r="E6" s="37" t="s">
        <v>307</v>
      </c>
      <c r="F6" s="70" t="s">
        <v>308</v>
      </c>
      <c r="G6" s="60" t="s">
        <v>309</v>
      </c>
    </row>
    <row r="7" spans="1:7" ht="187.2">
      <c r="A7" s="64" t="s">
        <v>294</v>
      </c>
      <c r="B7" s="66" t="s">
        <v>265</v>
      </c>
      <c r="C7" s="67" t="s">
        <v>310</v>
      </c>
      <c r="D7" s="37" t="s">
        <v>311</v>
      </c>
      <c r="E7" s="37" t="s">
        <v>312</v>
      </c>
      <c r="F7" s="70" t="s">
        <v>313</v>
      </c>
      <c r="G7" s="60" t="s">
        <v>309</v>
      </c>
    </row>
    <row r="8" spans="1:7" ht="129.6">
      <c r="A8" s="64" t="s">
        <v>294</v>
      </c>
      <c r="B8" s="66" t="s">
        <v>265</v>
      </c>
      <c r="C8" s="67" t="s">
        <v>314</v>
      </c>
      <c r="D8" s="37" t="s">
        <v>297</v>
      </c>
      <c r="E8" s="89" t="s">
        <v>315</v>
      </c>
      <c r="F8" s="90" t="s">
        <v>316</v>
      </c>
      <c r="G8" s="91"/>
    </row>
    <row r="9" spans="1:7" ht="57.6">
      <c r="A9" s="64" t="s">
        <v>294</v>
      </c>
      <c r="B9" s="66" t="s">
        <v>265</v>
      </c>
      <c r="C9" s="67" t="s">
        <v>317</v>
      </c>
      <c r="D9" s="37" t="s">
        <v>318</v>
      </c>
      <c r="E9" s="89" t="s">
        <v>317</v>
      </c>
      <c r="F9" s="90" t="s">
        <v>319</v>
      </c>
      <c r="G9" s="91"/>
    </row>
    <row r="10" spans="1:7" ht="57.6">
      <c r="A10" s="64" t="s">
        <v>294</v>
      </c>
      <c r="B10" s="66" t="s">
        <v>265</v>
      </c>
      <c r="C10" s="67" t="s">
        <v>320</v>
      </c>
      <c r="D10" s="37" t="s">
        <v>318</v>
      </c>
      <c r="E10" s="89" t="s">
        <v>320</v>
      </c>
      <c r="F10" s="90" t="s">
        <v>321</v>
      </c>
      <c r="G10" s="91"/>
    </row>
    <row r="11" spans="1:7" ht="57.6">
      <c r="A11" s="64" t="s">
        <v>294</v>
      </c>
      <c r="B11" s="66" t="s">
        <v>265</v>
      </c>
      <c r="C11" s="67" t="s">
        <v>322</v>
      </c>
      <c r="D11" s="37" t="s">
        <v>318</v>
      </c>
      <c r="E11" s="89" t="s">
        <v>322</v>
      </c>
      <c r="F11" s="90" t="s">
        <v>323</v>
      </c>
      <c r="G11" s="91"/>
    </row>
    <row r="12" spans="1:7" ht="172.8">
      <c r="A12" s="64" t="s">
        <v>294</v>
      </c>
      <c r="B12" s="66" t="s">
        <v>265</v>
      </c>
      <c r="C12" s="67" t="s">
        <v>324</v>
      </c>
      <c r="D12" s="37" t="s">
        <v>297</v>
      </c>
      <c r="E12" s="89" t="s">
        <v>325</v>
      </c>
      <c r="F12" s="90" t="s">
        <v>326</v>
      </c>
      <c r="G12" s="91"/>
    </row>
    <row r="13" spans="1:7" ht="129.6">
      <c r="A13" s="64" t="s">
        <v>294</v>
      </c>
      <c r="B13" s="66" t="s">
        <v>265</v>
      </c>
      <c r="C13" s="67" t="s">
        <v>327</v>
      </c>
      <c r="D13" s="37" t="s">
        <v>297</v>
      </c>
      <c r="E13" s="89" t="s">
        <v>328</v>
      </c>
      <c r="F13" s="90" t="s">
        <v>329</v>
      </c>
      <c r="G13" s="60" t="s">
        <v>309</v>
      </c>
    </row>
    <row r="14" spans="1:7" ht="57.6">
      <c r="A14" s="64" t="s">
        <v>294</v>
      </c>
      <c r="B14" s="66" t="s">
        <v>265</v>
      </c>
      <c r="C14" s="67" t="s">
        <v>330</v>
      </c>
      <c r="D14" s="37" t="s">
        <v>318</v>
      </c>
      <c r="E14" s="89" t="s">
        <v>330</v>
      </c>
      <c r="F14" s="90" t="s">
        <v>331</v>
      </c>
      <c r="G14" s="91"/>
    </row>
    <row r="15" spans="1:7" ht="216">
      <c r="A15" s="64" t="s">
        <v>294</v>
      </c>
      <c r="B15" s="66" t="s">
        <v>265</v>
      </c>
      <c r="C15" s="67" t="s">
        <v>332</v>
      </c>
      <c r="D15" s="37" t="s">
        <v>297</v>
      </c>
      <c r="E15" s="89" t="s">
        <v>333</v>
      </c>
      <c r="F15" s="90" t="s">
        <v>334</v>
      </c>
      <c r="G15" s="91"/>
    </row>
    <row r="16" spans="1:7" ht="129.6">
      <c r="A16" s="64" t="s">
        <v>294</v>
      </c>
      <c r="B16" s="66" t="s">
        <v>265</v>
      </c>
      <c r="C16" s="67" t="s">
        <v>335</v>
      </c>
      <c r="D16" s="37" t="s">
        <v>297</v>
      </c>
      <c r="E16" s="89" t="s">
        <v>336</v>
      </c>
      <c r="F16" s="90" t="s">
        <v>337</v>
      </c>
      <c r="G16" s="91"/>
    </row>
    <row r="17" spans="1:7" ht="216">
      <c r="A17" s="64" t="s">
        <v>294</v>
      </c>
      <c r="B17" s="66" t="s">
        <v>265</v>
      </c>
      <c r="C17" s="67" t="s">
        <v>338</v>
      </c>
      <c r="D17" s="37" t="s">
        <v>339</v>
      </c>
      <c r="E17" s="89" t="s">
        <v>340</v>
      </c>
      <c r="F17" s="90" t="s">
        <v>341</v>
      </c>
      <c r="G17" s="91" t="s">
        <v>309</v>
      </c>
    </row>
    <row r="18" spans="1:7" ht="129.6">
      <c r="A18" s="64" t="s">
        <v>294</v>
      </c>
      <c r="B18" s="66" t="s">
        <v>265</v>
      </c>
      <c r="C18" s="67" t="s">
        <v>342</v>
      </c>
      <c r="D18" s="37" t="s">
        <v>339</v>
      </c>
      <c r="E18" s="89" t="s">
        <v>343</v>
      </c>
      <c r="F18" s="90" t="s">
        <v>344</v>
      </c>
      <c r="G18" s="91"/>
    </row>
    <row r="19" spans="1:7" ht="216">
      <c r="A19" s="64" t="s">
        <v>294</v>
      </c>
      <c r="B19" s="66" t="s">
        <v>265</v>
      </c>
      <c r="C19" s="67" t="s">
        <v>345</v>
      </c>
      <c r="D19" s="37" t="s">
        <v>339</v>
      </c>
      <c r="E19" s="89" t="s">
        <v>346</v>
      </c>
      <c r="F19" s="90" t="s">
        <v>347</v>
      </c>
      <c r="G19" s="91" t="s">
        <v>309</v>
      </c>
    </row>
    <row r="20" spans="1:7" ht="216">
      <c r="A20" s="64" t="s">
        <v>294</v>
      </c>
      <c r="B20" s="66" t="s">
        <v>265</v>
      </c>
      <c r="C20" s="67" t="s">
        <v>348</v>
      </c>
      <c r="D20" s="37" t="s">
        <v>339</v>
      </c>
      <c r="E20" s="89" t="s">
        <v>349</v>
      </c>
      <c r="F20" s="90" t="s">
        <v>350</v>
      </c>
      <c r="G20" s="91"/>
    </row>
    <row r="21" spans="1:7" ht="129.6">
      <c r="A21" s="64" t="s">
        <v>294</v>
      </c>
      <c r="B21" s="66" t="s">
        <v>265</v>
      </c>
      <c r="C21" s="67" t="s">
        <v>351</v>
      </c>
      <c r="D21" s="37" t="s">
        <v>339</v>
      </c>
      <c r="E21" s="89" t="s">
        <v>352</v>
      </c>
      <c r="F21" s="90" t="s">
        <v>353</v>
      </c>
      <c r="G21" s="91"/>
    </row>
    <row r="22" spans="1:7" ht="28.8">
      <c r="A22" s="64" t="s">
        <v>294</v>
      </c>
      <c r="B22" s="66" t="s">
        <v>265</v>
      </c>
      <c r="C22" s="67" t="s">
        <v>354</v>
      </c>
      <c r="D22" s="37" t="s">
        <v>339</v>
      </c>
      <c r="E22" s="89" t="s">
        <v>355</v>
      </c>
      <c r="F22" s="90" t="s">
        <v>356</v>
      </c>
      <c r="G22" s="91"/>
    </row>
    <row r="23" spans="1:7" ht="187.2">
      <c r="A23" s="64" t="s">
        <v>294</v>
      </c>
      <c r="B23" s="66" t="s">
        <v>265</v>
      </c>
      <c r="C23" s="67" t="s">
        <v>357</v>
      </c>
      <c r="D23" s="37" t="s">
        <v>358</v>
      </c>
      <c r="E23" s="89" t="s">
        <v>357</v>
      </c>
      <c r="F23" s="90" t="s">
        <v>359</v>
      </c>
      <c r="G23" s="91"/>
    </row>
    <row r="24" spans="1:7" ht="57.6">
      <c r="A24" s="64" t="s">
        <v>294</v>
      </c>
      <c r="B24" s="66" t="s">
        <v>265</v>
      </c>
      <c r="C24" s="67" t="s">
        <v>360</v>
      </c>
      <c r="D24" s="93" t="s">
        <v>318</v>
      </c>
      <c r="E24" s="89" t="s">
        <v>360</v>
      </c>
      <c r="F24" s="90" t="s">
        <v>361</v>
      </c>
      <c r="G24" s="91"/>
    </row>
    <row r="25" spans="1:7" ht="57.6">
      <c r="A25" s="64" t="s">
        <v>294</v>
      </c>
      <c r="B25" s="66" t="s">
        <v>265</v>
      </c>
      <c r="C25" s="67" t="s">
        <v>362</v>
      </c>
      <c r="D25" s="93" t="s">
        <v>318</v>
      </c>
      <c r="E25" s="89" t="s">
        <v>362</v>
      </c>
      <c r="F25" s="90" t="s">
        <v>363</v>
      </c>
      <c r="G25" s="91"/>
    </row>
    <row r="26" spans="1:7" ht="57.6">
      <c r="A26" s="64" t="s">
        <v>294</v>
      </c>
      <c r="B26" s="66" t="s">
        <v>265</v>
      </c>
      <c r="C26" s="67" t="s">
        <v>364</v>
      </c>
      <c r="D26" s="93" t="s">
        <v>318</v>
      </c>
      <c r="E26" s="89" t="s">
        <v>364</v>
      </c>
      <c r="F26" s="90" t="s">
        <v>365</v>
      </c>
      <c r="G26" s="91"/>
    </row>
    <row r="27" spans="1:7" ht="57.6">
      <c r="A27" s="64" t="s">
        <v>294</v>
      </c>
      <c r="B27" s="66" t="s">
        <v>265</v>
      </c>
      <c r="C27" s="67" t="s">
        <v>366</v>
      </c>
      <c r="D27" s="112" t="s">
        <v>318</v>
      </c>
      <c r="E27" s="113" t="s">
        <v>366</v>
      </c>
      <c r="F27" s="90" t="s">
        <v>367</v>
      </c>
      <c r="G27" s="91"/>
    </row>
    <row r="28" spans="1:7" ht="57.6">
      <c r="A28" s="64" t="s">
        <v>294</v>
      </c>
      <c r="B28" s="66" t="s">
        <v>265</v>
      </c>
      <c r="C28" s="67" t="s">
        <v>368</v>
      </c>
      <c r="D28" s="93" t="s">
        <v>318</v>
      </c>
      <c r="E28" s="89" t="s">
        <v>368</v>
      </c>
      <c r="F28" s="90" t="s">
        <v>369</v>
      </c>
      <c r="G28" s="91"/>
    </row>
    <row r="29" spans="1:7" ht="57.6">
      <c r="A29" s="64" t="s">
        <v>294</v>
      </c>
      <c r="B29" s="66" t="s">
        <v>265</v>
      </c>
      <c r="C29" s="67" t="s">
        <v>370</v>
      </c>
      <c r="D29" s="93" t="s">
        <v>318</v>
      </c>
      <c r="E29" s="89" t="s">
        <v>370</v>
      </c>
      <c r="F29" s="90" t="s">
        <v>371</v>
      </c>
      <c r="G29" s="91"/>
    </row>
    <row r="30" spans="1:7" ht="129.6">
      <c r="A30" s="64" t="s">
        <v>294</v>
      </c>
      <c r="B30" s="66" t="s">
        <v>265</v>
      </c>
      <c r="C30" s="67" t="s">
        <v>372</v>
      </c>
      <c r="D30" s="37" t="s">
        <v>339</v>
      </c>
      <c r="E30" s="89" t="s">
        <v>373</v>
      </c>
      <c r="F30" s="90" t="s">
        <v>374</v>
      </c>
      <c r="G30" s="91"/>
    </row>
    <row r="31" spans="1:7" ht="409.6">
      <c r="A31" s="64" t="s">
        <v>294</v>
      </c>
      <c r="B31" s="66" t="s">
        <v>265</v>
      </c>
      <c r="C31" s="67" t="s">
        <v>375</v>
      </c>
      <c r="D31" s="89" t="s">
        <v>376</v>
      </c>
      <c r="E31" s="89" t="s">
        <v>377</v>
      </c>
      <c r="F31" s="90" t="s">
        <v>378</v>
      </c>
      <c r="G31" s="91" t="s">
        <v>379</v>
      </c>
    </row>
    <row r="32" spans="1:7" ht="409.6">
      <c r="A32" s="64" t="s">
        <v>294</v>
      </c>
      <c r="B32" s="66" t="s">
        <v>265</v>
      </c>
      <c r="C32" s="67" t="s">
        <v>380</v>
      </c>
      <c r="D32" s="89" t="s">
        <v>376</v>
      </c>
      <c r="E32" s="89" t="s">
        <v>381</v>
      </c>
      <c r="F32" s="90" t="s">
        <v>382</v>
      </c>
      <c r="G32" s="91" t="s">
        <v>379</v>
      </c>
    </row>
    <row r="33" spans="1:7" ht="409.6">
      <c r="A33" s="64" t="s">
        <v>294</v>
      </c>
      <c r="B33" s="66" t="s">
        <v>265</v>
      </c>
      <c r="C33" s="67" t="s">
        <v>383</v>
      </c>
      <c r="D33" s="89" t="s">
        <v>376</v>
      </c>
      <c r="E33" s="89" t="s">
        <v>384</v>
      </c>
      <c r="F33" s="90" t="s">
        <v>385</v>
      </c>
      <c r="G33" s="91" t="s">
        <v>379</v>
      </c>
    </row>
    <row r="34" spans="1:7" ht="409.6">
      <c r="A34" s="64" t="s">
        <v>294</v>
      </c>
      <c r="B34" s="66" t="s">
        <v>265</v>
      </c>
      <c r="C34" s="67" t="s">
        <v>386</v>
      </c>
      <c r="D34" s="89" t="s">
        <v>376</v>
      </c>
      <c r="E34" s="89" t="s">
        <v>387</v>
      </c>
      <c r="F34" s="90" t="s">
        <v>388</v>
      </c>
      <c r="G34" s="91" t="s">
        <v>379</v>
      </c>
    </row>
    <row r="35" spans="1:7" ht="409.6">
      <c r="A35" s="64" t="s">
        <v>294</v>
      </c>
      <c r="B35" s="66" t="s">
        <v>265</v>
      </c>
      <c r="C35" s="67" t="s">
        <v>389</v>
      </c>
      <c r="D35" s="89" t="s">
        <v>376</v>
      </c>
      <c r="E35" s="89" t="s">
        <v>390</v>
      </c>
      <c r="F35" s="90" t="s">
        <v>391</v>
      </c>
      <c r="G35" s="91" t="s">
        <v>379</v>
      </c>
    </row>
    <row r="36" spans="1:7" ht="216">
      <c r="A36" s="64" t="s">
        <v>294</v>
      </c>
      <c r="B36" s="66" t="s">
        <v>265</v>
      </c>
      <c r="C36" s="67" t="s">
        <v>392</v>
      </c>
      <c r="D36" s="89" t="s">
        <v>393</v>
      </c>
      <c r="E36" s="89" t="s">
        <v>392</v>
      </c>
      <c r="F36" s="90" t="s">
        <v>394</v>
      </c>
      <c r="G36" s="91" t="s">
        <v>395</v>
      </c>
    </row>
    <row r="37" spans="1:7" ht="216">
      <c r="A37" s="64" t="s">
        <v>294</v>
      </c>
      <c r="B37" s="66" t="s">
        <v>265</v>
      </c>
      <c r="C37" s="67" t="s">
        <v>396</v>
      </c>
      <c r="D37" s="89" t="s">
        <v>393</v>
      </c>
      <c r="E37" s="89" t="s">
        <v>396</v>
      </c>
      <c r="F37" s="90" t="s">
        <v>397</v>
      </c>
      <c r="G37" s="91" t="s">
        <v>395</v>
      </c>
    </row>
    <row r="38" spans="1:7" ht="216">
      <c r="A38" s="64" t="s">
        <v>294</v>
      </c>
      <c r="B38" s="66" t="s">
        <v>265</v>
      </c>
      <c r="C38" s="67" t="s">
        <v>398</v>
      </c>
      <c r="D38" s="89" t="s">
        <v>393</v>
      </c>
      <c r="E38" s="89" t="s">
        <v>398</v>
      </c>
      <c r="F38" s="90" t="s">
        <v>399</v>
      </c>
      <c r="G38" s="91" t="s">
        <v>395</v>
      </c>
    </row>
    <row r="39" spans="1:7" ht="216">
      <c r="A39" s="64" t="s">
        <v>294</v>
      </c>
      <c r="B39" s="66" t="s">
        <v>265</v>
      </c>
      <c r="C39" s="67" t="s">
        <v>400</v>
      </c>
      <c r="D39" s="89" t="s">
        <v>393</v>
      </c>
      <c r="E39" s="89" t="s">
        <v>400</v>
      </c>
      <c r="F39" s="90" t="s">
        <v>401</v>
      </c>
      <c r="G39" s="91" t="s">
        <v>395</v>
      </c>
    </row>
    <row r="40" spans="1:7" ht="409.6">
      <c r="A40" s="64" t="s">
        <v>294</v>
      </c>
      <c r="B40" s="66" t="s">
        <v>265</v>
      </c>
      <c r="C40" s="67" t="s">
        <v>402</v>
      </c>
      <c r="D40" s="93" t="s">
        <v>403</v>
      </c>
      <c r="E40" s="89" t="s">
        <v>380</v>
      </c>
      <c r="F40" s="90" t="s">
        <v>404</v>
      </c>
      <c r="G40" s="91" t="s">
        <v>379</v>
      </c>
    </row>
    <row r="41" spans="1:7" ht="409.6">
      <c r="A41" s="64" t="s">
        <v>294</v>
      </c>
      <c r="B41" s="66" t="s">
        <v>265</v>
      </c>
      <c r="C41" s="67" t="s">
        <v>405</v>
      </c>
      <c r="D41" s="93" t="s">
        <v>403</v>
      </c>
      <c r="E41" s="89" t="s">
        <v>406</v>
      </c>
      <c r="F41" s="90" t="s">
        <v>407</v>
      </c>
      <c r="G41" s="91" t="s">
        <v>379</v>
      </c>
    </row>
    <row r="42" spans="1:7" ht="409.6">
      <c r="A42" s="64" t="s">
        <v>294</v>
      </c>
      <c r="B42" s="66" t="s">
        <v>265</v>
      </c>
      <c r="C42" s="67" t="s">
        <v>408</v>
      </c>
      <c r="D42" s="93" t="s">
        <v>403</v>
      </c>
      <c r="E42" s="89" t="s">
        <v>409</v>
      </c>
      <c r="F42" s="90" t="s">
        <v>410</v>
      </c>
      <c r="G42" s="91" t="s">
        <v>379</v>
      </c>
    </row>
    <row r="43" spans="1:7" ht="409.6">
      <c r="A43" s="64" t="s">
        <v>294</v>
      </c>
      <c r="B43" s="66" t="s">
        <v>265</v>
      </c>
      <c r="C43" s="101" t="s">
        <v>411</v>
      </c>
      <c r="D43" s="93" t="s">
        <v>403</v>
      </c>
      <c r="E43" s="89" t="s">
        <v>380</v>
      </c>
      <c r="F43" s="90" t="s">
        <v>412</v>
      </c>
      <c r="G43" s="91" t="s">
        <v>379</v>
      </c>
    </row>
    <row r="44" spans="1:7" ht="409.6">
      <c r="A44" s="64" t="s">
        <v>294</v>
      </c>
      <c r="B44" s="66" t="s">
        <v>265</v>
      </c>
      <c r="C44" s="67" t="s">
        <v>413</v>
      </c>
      <c r="D44" s="93" t="s">
        <v>403</v>
      </c>
      <c r="E44" s="89" t="s">
        <v>406</v>
      </c>
      <c r="F44" s="102" t="s">
        <v>414</v>
      </c>
      <c r="G44" s="91" t="s">
        <v>379</v>
      </c>
    </row>
    <row r="45" spans="1:7" ht="409.6">
      <c r="A45" s="64" t="s">
        <v>294</v>
      </c>
      <c r="B45" s="66" t="s">
        <v>265</v>
      </c>
      <c r="C45" s="67" t="s">
        <v>415</v>
      </c>
      <c r="D45" s="93" t="s">
        <v>403</v>
      </c>
      <c r="E45" s="89" t="s">
        <v>416</v>
      </c>
      <c r="F45" s="90" t="s">
        <v>417</v>
      </c>
      <c r="G45" s="91" t="s">
        <v>379</v>
      </c>
    </row>
    <row r="46" spans="1:7" ht="216">
      <c r="A46" s="64" t="s">
        <v>294</v>
      </c>
      <c r="B46" s="66" t="s">
        <v>265</v>
      </c>
      <c r="C46" s="67" t="s">
        <v>418</v>
      </c>
      <c r="D46" s="93" t="s">
        <v>419</v>
      </c>
      <c r="E46" s="89" t="s">
        <v>418</v>
      </c>
      <c r="F46" s="90" t="s">
        <v>420</v>
      </c>
      <c r="G46" s="91" t="s">
        <v>395</v>
      </c>
    </row>
    <row r="47" spans="1:7" ht="216">
      <c r="A47" s="64" t="s">
        <v>294</v>
      </c>
      <c r="B47" s="66" t="s">
        <v>265</v>
      </c>
      <c r="C47" s="67" t="s">
        <v>421</v>
      </c>
      <c r="D47" s="93" t="s">
        <v>419</v>
      </c>
      <c r="E47" s="89" t="s">
        <v>421</v>
      </c>
      <c r="F47" s="90" t="s">
        <v>422</v>
      </c>
      <c r="G47" s="91" t="s">
        <v>395</v>
      </c>
    </row>
    <row r="48" spans="1:7" ht="230.4">
      <c r="A48" s="64" t="s">
        <v>294</v>
      </c>
      <c r="B48" s="66" t="s">
        <v>265</v>
      </c>
      <c r="C48" s="67" t="s">
        <v>423</v>
      </c>
      <c r="D48" s="89" t="s">
        <v>424</v>
      </c>
      <c r="E48" s="89" t="s">
        <v>425</v>
      </c>
      <c r="F48" s="90" t="s">
        <v>426</v>
      </c>
      <c r="G48" s="91" t="s">
        <v>395</v>
      </c>
    </row>
    <row r="49" spans="1:7" ht="216">
      <c r="A49" s="64" t="s">
        <v>294</v>
      </c>
      <c r="B49" s="66" t="s">
        <v>265</v>
      </c>
      <c r="C49" s="67" t="s">
        <v>427</v>
      </c>
      <c r="D49" s="93" t="s">
        <v>419</v>
      </c>
      <c r="E49" s="89" t="s">
        <v>427</v>
      </c>
      <c r="F49" s="90" t="s">
        <v>428</v>
      </c>
      <c r="G49" s="91" t="s">
        <v>395</v>
      </c>
    </row>
    <row r="50" spans="1:7" ht="216">
      <c r="A50" s="64" t="s">
        <v>294</v>
      </c>
      <c r="B50" s="66" t="s">
        <v>265</v>
      </c>
      <c r="C50" s="67" t="s">
        <v>429</v>
      </c>
      <c r="D50" s="93" t="s">
        <v>419</v>
      </c>
      <c r="E50" s="89" t="s">
        <v>429</v>
      </c>
      <c r="F50" s="90" t="s">
        <v>430</v>
      </c>
      <c r="G50" s="91" t="s">
        <v>395</v>
      </c>
    </row>
    <row r="51" spans="1:7" ht="216">
      <c r="A51" s="64" t="s">
        <v>294</v>
      </c>
      <c r="B51" s="66" t="s">
        <v>265</v>
      </c>
      <c r="C51" s="67" t="s">
        <v>431</v>
      </c>
      <c r="D51" s="93" t="s">
        <v>419</v>
      </c>
      <c r="E51" s="89" t="s">
        <v>431</v>
      </c>
      <c r="F51" s="90" t="s">
        <v>432</v>
      </c>
      <c r="G51" s="91" t="s">
        <v>395</v>
      </c>
    </row>
    <row r="52" spans="1:7" ht="216">
      <c r="A52" s="64" t="s">
        <v>294</v>
      </c>
      <c r="B52" s="66" t="s">
        <v>265</v>
      </c>
      <c r="C52" s="67" t="s">
        <v>433</v>
      </c>
      <c r="D52" s="93" t="s">
        <v>419</v>
      </c>
      <c r="E52" s="89" t="s">
        <v>434</v>
      </c>
      <c r="F52" s="90" t="s">
        <v>435</v>
      </c>
      <c r="G52" s="91" t="s">
        <v>395</v>
      </c>
    </row>
    <row r="53" spans="1:7" ht="409.6">
      <c r="A53" s="64" t="s">
        <v>294</v>
      </c>
      <c r="B53" s="66" t="s">
        <v>265</v>
      </c>
      <c r="C53" s="67" t="s">
        <v>436</v>
      </c>
      <c r="D53" s="89" t="s">
        <v>424</v>
      </c>
      <c r="E53" s="89" t="s">
        <v>425</v>
      </c>
      <c r="F53" s="90" t="s">
        <v>437</v>
      </c>
      <c r="G53" s="91" t="s">
        <v>395</v>
      </c>
    </row>
    <row r="54" spans="1:7" ht="388.8">
      <c r="A54" s="64" t="s">
        <v>294</v>
      </c>
      <c r="B54" s="66" t="s">
        <v>265</v>
      </c>
      <c r="C54" s="67" t="s">
        <v>438</v>
      </c>
      <c r="D54" s="37" t="s">
        <v>439</v>
      </c>
      <c r="E54" s="89" t="s">
        <v>440</v>
      </c>
      <c r="F54" s="90" t="s">
        <v>441</v>
      </c>
      <c r="G54" s="91" t="s">
        <v>395</v>
      </c>
    </row>
    <row r="55" spans="1:7" ht="409.6">
      <c r="A55" s="64" t="s">
        <v>294</v>
      </c>
      <c r="B55" s="66" t="s">
        <v>265</v>
      </c>
      <c r="C55" s="93" t="s">
        <v>442</v>
      </c>
      <c r="D55" s="89" t="s">
        <v>297</v>
      </c>
      <c r="E55" s="89" t="s">
        <v>315</v>
      </c>
      <c r="F55" s="90" t="s">
        <v>443</v>
      </c>
      <c r="G55" s="91" t="s">
        <v>395</v>
      </c>
    </row>
    <row r="56" spans="1:7" ht="129.6">
      <c r="A56" s="64" t="s">
        <v>294</v>
      </c>
      <c r="B56" s="66" t="s">
        <v>265</v>
      </c>
      <c r="C56" s="67" t="s">
        <v>444</v>
      </c>
      <c r="D56" s="89" t="s">
        <v>297</v>
      </c>
      <c r="E56" s="89" t="s">
        <v>445</v>
      </c>
      <c r="F56" s="90" t="s">
        <v>446</v>
      </c>
      <c r="G56" s="91" t="s">
        <v>395</v>
      </c>
    </row>
    <row r="57" spans="1:7" ht="409.6">
      <c r="A57" s="64" t="s">
        <v>294</v>
      </c>
      <c r="B57" s="66" t="s">
        <v>265</v>
      </c>
      <c r="C57" s="67" t="s">
        <v>447</v>
      </c>
      <c r="D57" s="89" t="s">
        <v>448</v>
      </c>
      <c r="E57" s="89" t="s">
        <v>449</v>
      </c>
      <c r="F57" s="90" t="s">
        <v>450</v>
      </c>
      <c r="G57" s="91" t="s">
        <v>395</v>
      </c>
    </row>
    <row r="58" spans="1:7" ht="409.6">
      <c r="A58" s="64" t="s">
        <v>294</v>
      </c>
      <c r="B58" s="66" t="s">
        <v>265</v>
      </c>
      <c r="C58" s="68" t="s">
        <v>451</v>
      </c>
      <c r="D58" s="93" t="s">
        <v>419</v>
      </c>
      <c r="E58" s="89" t="s">
        <v>452</v>
      </c>
      <c r="F58" s="90" t="s">
        <v>453</v>
      </c>
      <c r="G58" s="91" t="s">
        <v>395</v>
      </c>
    </row>
    <row r="59" spans="1:7" ht="409.6">
      <c r="A59" s="64" t="s">
        <v>294</v>
      </c>
      <c r="B59" s="66" t="s">
        <v>265</v>
      </c>
      <c r="C59" s="93" t="s">
        <v>454</v>
      </c>
      <c r="D59" s="89" t="s">
        <v>455</v>
      </c>
      <c r="E59" s="89" t="s">
        <v>456</v>
      </c>
      <c r="F59" s="90" t="s">
        <v>457</v>
      </c>
      <c r="G59" s="91" t="s">
        <v>379</v>
      </c>
    </row>
    <row r="60" spans="1:7" ht="409.6">
      <c r="A60" s="64" t="s">
        <v>294</v>
      </c>
      <c r="B60" s="66" t="s">
        <v>265</v>
      </c>
      <c r="C60" s="67" t="s">
        <v>458</v>
      </c>
      <c r="D60" s="93" t="s">
        <v>459</v>
      </c>
      <c r="E60" s="89" t="s">
        <v>459</v>
      </c>
      <c r="F60" s="90" t="s">
        <v>460</v>
      </c>
      <c r="G60" s="91" t="s">
        <v>379</v>
      </c>
    </row>
    <row r="61" spans="1:7" ht="409.6">
      <c r="A61" s="64" t="s">
        <v>294</v>
      </c>
      <c r="B61" s="66" t="s">
        <v>265</v>
      </c>
      <c r="C61" s="93" t="s">
        <v>461</v>
      </c>
      <c r="D61" s="93" t="s">
        <v>459</v>
      </c>
      <c r="E61" s="89" t="s">
        <v>459</v>
      </c>
      <c r="F61" s="90" t="s">
        <v>462</v>
      </c>
      <c r="G61" s="91" t="s">
        <v>379</v>
      </c>
    </row>
    <row r="62" spans="1:7" ht="409.6">
      <c r="A62" s="64" t="s">
        <v>294</v>
      </c>
      <c r="B62" s="66" t="s">
        <v>265</v>
      </c>
      <c r="C62" s="67" t="s">
        <v>463</v>
      </c>
      <c r="D62" s="93" t="s">
        <v>459</v>
      </c>
      <c r="E62" s="89" t="s">
        <v>459</v>
      </c>
      <c r="F62" s="90" t="s">
        <v>464</v>
      </c>
      <c r="G62" s="91" t="s">
        <v>395</v>
      </c>
    </row>
    <row r="63" spans="1:7" ht="409.6">
      <c r="A63" s="64" t="s">
        <v>294</v>
      </c>
      <c r="B63" s="66" t="s">
        <v>265</v>
      </c>
      <c r="C63" s="67" t="s">
        <v>465</v>
      </c>
      <c r="D63" s="93" t="s">
        <v>419</v>
      </c>
      <c r="E63" s="89" t="s">
        <v>466</v>
      </c>
      <c r="F63" s="90" t="s">
        <v>467</v>
      </c>
      <c r="G63" s="91" t="s">
        <v>395</v>
      </c>
    </row>
    <row r="64" spans="1:7" ht="409.6">
      <c r="A64" s="64" t="s">
        <v>294</v>
      </c>
      <c r="B64" s="66" t="s">
        <v>265</v>
      </c>
      <c r="C64" s="93" t="s">
        <v>468</v>
      </c>
      <c r="D64" s="89" t="s">
        <v>469</v>
      </c>
      <c r="E64" s="89" t="s">
        <v>470</v>
      </c>
      <c r="F64" s="90" t="s">
        <v>471</v>
      </c>
      <c r="G64" s="91" t="s">
        <v>379</v>
      </c>
    </row>
    <row r="65" spans="1:7" ht="409.6">
      <c r="A65" s="64" t="s">
        <v>294</v>
      </c>
      <c r="B65" s="66" t="s">
        <v>265</v>
      </c>
      <c r="C65" s="67" t="s">
        <v>472</v>
      </c>
      <c r="D65" s="89" t="s">
        <v>469</v>
      </c>
      <c r="E65" s="89" t="s">
        <v>470</v>
      </c>
      <c r="F65" s="90" t="s">
        <v>473</v>
      </c>
      <c r="G65" s="91" t="s">
        <v>379</v>
      </c>
    </row>
    <row r="66" spans="1:7" ht="216">
      <c r="A66" s="64" t="s">
        <v>294</v>
      </c>
      <c r="B66" s="66" t="s">
        <v>265</v>
      </c>
      <c r="C66" s="67" t="s">
        <v>474</v>
      </c>
      <c r="D66" s="89" t="s">
        <v>475</v>
      </c>
      <c r="E66" s="89" t="s">
        <v>476</v>
      </c>
      <c r="F66" s="90" t="s">
        <v>477</v>
      </c>
      <c r="G66" s="91" t="s">
        <v>395</v>
      </c>
    </row>
    <row r="67" spans="1:7" ht="409.6">
      <c r="A67" s="64" t="s">
        <v>294</v>
      </c>
      <c r="B67" s="66" t="s">
        <v>265</v>
      </c>
      <c r="C67" s="67" t="s">
        <v>478</v>
      </c>
      <c r="D67" s="89" t="s">
        <v>297</v>
      </c>
      <c r="E67" s="89" t="s">
        <v>479</v>
      </c>
      <c r="F67" s="90" t="s">
        <v>480</v>
      </c>
      <c r="G67" s="91" t="s">
        <v>395</v>
      </c>
    </row>
    <row r="68" spans="1:7" ht="409.6">
      <c r="A68" s="64" t="s">
        <v>294</v>
      </c>
      <c r="B68" s="66" t="s">
        <v>265</v>
      </c>
      <c r="C68" s="67" t="s">
        <v>481</v>
      </c>
      <c r="D68" s="89" t="s">
        <v>455</v>
      </c>
      <c r="E68" s="89" t="s">
        <v>482</v>
      </c>
      <c r="F68" s="90" t="s">
        <v>483</v>
      </c>
      <c r="G68" s="91" t="s">
        <v>379</v>
      </c>
    </row>
    <row r="69" spans="1:7" ht="409.6">
      <c r="A69" s="64" t="s">
        <v>294</v>
      </c>
      <c r="B69" s="66" t="s">
        <v>265</v>
      </c>
      <c r="C69" s="67" t="s">
        <v>484</v>
      </c>
      <c r="D69" s="93" t="s">
        <v>485</v>
      </c>
      <c r="E69" s="89" t="s">
        <v>485</v>
      </c>
      <c r="F69" s="90" t="s">
        <v>486</v>
      </c>
      <c r="G69" s="91" t="s">
        <v>379</v>
      </c>
    </row>
    <row r="70" spans="1:7" ht="129.6">
      <c r="A70" s="64" t="s">
        <v>294</v>
      </c>
      <c r="B70" s="66" t="s">
        <v>265</v>
      </c>
      <c r="C70" s="93" t="s">
        <v>487</v>
      </c>
      <c r="D70" s="93" t="s">
        <v>488</v>
      </c>
      <c r="E70" s="89" t="s">
        <v>488</v>
      </c>
      <c r="F70" s="90" t="s">
        <v>489</v>
      </c>
      <c r="G70" s="91"/>
    </row>
    <row r="71" spans="1:7">
      <c r="A71" s="64" t="s">
        <v>294</v>
      </c>
      <c r="B71" s="66" t="s">
        <v>265</v>
      </c>
      <c r="C71" s="67" t="s">
        <v>490</v>
      </c>
      <c r="D71" s="93"/>
      <c r="E71" s="89"/>
      <c r="F71" s="94" t="s">
        <v>491</v>
      </c>
      <c r="G71" s="92"/>
    </row>
    <row r="72" spans="1:7">
      <c r="A72" s="64" t="s">
        <v>294</v>
      </c>
      <c r="B72" s="66" t="s">
        <v>265</v>
      </c>
      <c r="C72" s="67" t="s">
        <v>64</v>
      </c>
      <c r="D72" s="93"/>
      <c r="E72" s="89"/>
      <c r="F72" s="94" t="s">
        <v>492</v>
      </c>
      <c r="G72" s="92"/>
    </row>
    <row r="73" spans="1:7">
      <c r="A73" s="64" t="s">
        <v>294</v>
      </c>
      <c r="B73" s="66" t="s">
        <v>265</v>
      </c>
      <c r="C73" s="67" t="s">
        <v>493</v>
      </c>
      <c r="D73" s="93"/>
      <c r="E73" s="89"/>
      <c r="F73" s="94" t="s">
        <v>494</v>
      </c>
      <c r="G73" s="92"/>
    </row>
  </sheetData>
  <autoFilter ref="A1:G73" xr:uid="{600508EB-5ABF-4D8F-B5F3-E0A72A2E90D8}"/>
  <pageMargins left="0.7" right="0.7" top="0.75" bottom="0.75" header="0" footer="0"/>
  <pageSetup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dimension ref="A1"/>
  <sheetViews>
    <sheetView showGridLines="0" workbookViewId="0">
      <selection activeCell="I35" sqref="I35"/>
    </sheetView>
  </sheetViews>
  <sheetFormatPr baseColWidth="10" defaultColWidth="14.44140625" defaultRowHeight="15" customHeight="1"/>
  <cols>
    <col min="1" max="26" width="8.6640625" customWidth="1"/>
  </cols>
  <sheetData/>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F57EA-796C-4D6B-B855-377F1194240F}">
  <sheetPr codeName="Hoja6"/>
  <dimension ref="A1:H31"/>
  <sheetViews>
    <sheetView showGridLines="0" zoomScaleNormal="100" workbookViewId="0">
      <pane ySplit="1" topLeftCell="A2" activePane="bottomLeft" state="frozen"/>
      <selection pane="bottomLeft" activeCell="C3" sqref="C3"/>
    </sheetView>
  </sheetViews>
  <sheetFormatPr baseColWidth="10" defaultColWidth="14.44140625" defaultRowHeight="14.4"/>
  <cols>
    <col min="1" max="1" width="11.5546875" style="57" bestFit="1" customWidth="1"/>
    <col min="2" max="2" width="24.33203125" style="57" bestFit="1" customWidth="1"/>
    <col min="3" max="3" width="23.6640625" style="57" bestFit="1" customWidth="1"/>
    <col min="4" max="4" width="34.33203125" style="57" bestFit="1" customWidth="1"/>
    <col min="5" max="5" width="23.6640625" style="57" bestFit="1" customWidth="1"/>
    <col min="6" max="6" width="50.44140625" style="71" customWidth="1"/>
    <col min="7" max="7" width="52.5546875" style="71" customWidth="1"/>
    <col min="8" max="8" width="30.44140625" style="88" customWidth="1"/>
    <col min="9" max="11" width="8.6640625" style="57" customWidth="1"/>
    <col min="12" max="16384" width="14.44140625" style="57"/>
  </cols>
  <sheetData>
    <row r="1" spans="1:8">
      <c r="A1" s="35" t="s">
        <v>287</v>
      </c>
      <c r="B1" s="56" t="s">
        <v>288</v>
      </c>
      <c r="C1" s="35" t="s">
        <v>289</v>
      </c>
      <c r="D1" s="35" t="s">
        <v>290</v>
      </c>
      <c r="E1" s="36" t="s">
        <v>291</v>
      </c>
      <c r="F1" s="69" t="s">
        <v>292</v>
      </c>
      <c r="G1" s="69" t="s">
        <v>292</v>
      </c>
      <c r="H1" s="87" t="s">
        <v>293</v>
      </c>
    </row>
    <row r="2" spans="1:8">
      <c r="A2" s="64" t="s">
        <v>294</v>
      </c>
      <c r="B2" s="66" t="s">
        <v>272</v>
      </c>
      <c r="C2" s="67" t="s">
        <v>45</v>
      </c>
      <c r="D2" s="37"/>
      <c r="E2" s="93"/>
      <c r="F2" s="70" t="s">
        <v>495</v>
      </c>
      <c r="G2" s="103" t="s">
        <v>496</v>
      </c>
      <c r="H2" s="60"/>
    </row>
    <row r="3" spans="1:8" ht="115.2">
      <c r="A3" s="64" t="s">
        <v>294</v>
      </c>
      <c r="B3" s="66" t="s">
        <v>272</v>
      </c>
      <c r="C3" s="67" t="s">
        <v>345</v>
      </c>
      <c r="D3" s="37" t="s">
        <v>497</v>
      </c>
      <c r="E3" s="37" t="s">
        <v>345</v>
      </c>
      <c r="F3" s="37" t="s">
        <v>498</v>
      </c>
      <c r="G3" s="104"/>
      <c r="H3" s="60"/>
    </row>
    <row r="4" spans="1:8" ht="126" customHeight="1">
      <c r="A4" s="64" t="s">
        <v>294</v>
      </c>
      <c r="B4" s="66" t="s">
        <v>272</v>
      </c>
      <c r="C4" s="67" t="s">
        <v>327</v>
      </c>
      <c r="D4" s="37" t="s">
        <v>497</v>
      </c>
      <c r="E4" s="37" t="s">
        <v>327</v>
      </c>
      <c r="F4" s="37" t="s">
        <v>499</v>
      </c>
      <c r="G4" s="104"/>
      <c r="H4" s="60" t="s">
        <v>309</v>
      </c>
    </row>
    <row r="5" spans="1:8" ht="115.2">
      <c r="A5" s="64" t="s">
        <v>294</v>
      </c>
      <c r="B5" s="66" t="s">
        <v>272</v>
      </c>
      <c r="C5" s="67" t="s">
        <v>348</v>
      </c>
      <c r="D5" s="37" t="s">
        <v>497</v>
      </c>
      <c r="E5" s="37" t="s">
        <v>348</v>
      </c>
      <c r="F5" s="37" t="s">
        <v>500</v>
      </c>
      <c r="G5" s="104"/>
      <c r="H5" s="60"/>
    </row>
    <row r="6" spans="1:8" ht="115.2">
      <c r="A6" s="64" t="s">
        <v>294</v>
      </c>
      <c r="B6" s="66" t="s">
        <v>272</v>
      </c>
      <c r="C6" s="67" t="s">
        <v>383</v>
      </c>
      <c r="D6" s="37" t="s">
        <v>497</v>
      </c>
      <c r="E6" s="37" t="s">
        <v>383</v>
      </c>
      <c r="F6" s="37" t="s">
        <v>501</v>
      </c>
      <c r="G6" s="104"/>
      <c r="H6" s="60"/>
    </row>
    <row r="7" spans="1:8" ht="115.2">
      <c r="A7" s="64" t="s">
        <v>294</v>
      </c>
      <c r="B7" s="66" t="s">
        <v>272</v>
      </c>
      <c r="C7" s="67" t="s">
        <v>386</v>
      </c>
      <c r="D7" s="37" t="s">
        <v>497</v>
      </c>
      <c r="E7" s="37" t="s">
        <v>386</v>
      </c>
      <c r="F7" s="37" t="s">
        <v>502</v>
      </c>
      <c r="G7" s="104"/>
      <c r="H7" s="60"/>
    </row>
    <row r="8" spans="1:8" ht="115.2">
      <c r="A8" s="64" t="s">
        <v>294</v>
      </c>
      <c r="B8" s="66" t="s">
        <v>272</v>
      </c>
      <c r="C8" s="67" t="s">
        <v>375</v>
      </c>
      <c r="D8" s="37" t="s">
        <v>497</v>
      </c>
      <c r="E8" s="89" t="s">
        <v>375</v>
      </c>
      <c r="F8" s="37" t="s">
        <v>503</v>
      </c>
      <c r="G8" s="104"/>
      <c r="H8" s="60"/>
    </row>
    <row r="9" spans="1:8" ht="115.2">
      <c r="A9" s="64" t="s">
        <v>294</v>
      </c>
      <c r="B9" s="66" t="s">
        <v>272</v>
      </c>
      <c r="C9" s="67" t="s">
        <v>338</v>
      </c>
      <c r="D9" s="37" t="s">
        <v>497</v>
      </c>
      <c r="E9" s="93" t="s">
        <v>338</v>
      </c>
      <c r="F9" s="37" t="s">
        <v>504</v>
      </c>
      <c r="G9" s="104"/>
      <c r="H9" s="60"/>
    </row>
    <row r="10" spans="1:8" ht="115.2">
      <c r="A10" s="64" t="s">
        <v>294</v>
      </c>
      <c r="B10" s="66" t="s">
        <v>272</v>
      </c>
      <c r="C10" s="67" t="s">
        <v>438</v>
      </c>
      <c r="D10" s="37" t="s">
        <v>497</v>
      </c>
      <c r="E10" s="93" t="s">
        <v>438</v>
      </c>
      <c r="F10" s="37" t="s">
        <v>505</v>
      </c>
      <c r="G10" s="104"/>
      <c r="H10" s="60"/>
    </row>
    <row r="11" spans="1:8" ht="115.2">
      <c r="A11" s="64" t="s">
        <v>294</v>
      </c>
      <c r="B11" s="66" t="s">
        <v>272</v>
      </c>
      <c r="C11" s="67" t="s">
        <v>396</v>
      </c>
      <c r="D11" s="37" t="s">
        <v>497</v>
      </c>
      <c r="E11" s="93" t="s">
        <v>396</v>
      </c>
      <c r="F11" s="37" t="s">
        <v>506</v>
      </c>
      <c r="G11" s="104"/>
      <c r="H11" s="60"/>
    </row>
    <row r="12" spans="1:8" ht="115.2">
      <c r="A12" s="64" t="s">
        <v>294</v>
      </c>
      <c r="B12" s="66" t="s">
        <v>272</v>
      </c>
      <c r="C12" s="67" t="s">
        <v>400</v>
      </c>
      <c r="D12" s="37" t="s">
        <v>497</v>
      </c>
      <c r="E12" s="89" t="s">
        <v>400</v>
      </c>
      <c r="F12" s="37" t="s">
        <v>507</v>
      </c>
      <c r="G12" s="104"/>
      <c r="H12" s="60"/>
    </row>
    <row r="13" spans="1:8" ht="115.2">
      <c r="A13" s="64" t="s">
        <v>294</v>
      </c>
      <c r="B13" s="66" t="s">
        <v>272</v>
      </c>
      <c r="C13" s="67" t="s">
        <v>411</v>
      </c>
      <c r="D13" s="37" t="s">
        <v>497</v>
      </c>
      <c r="E13" s="89" t="s">
        <v>411</v>
      </c>
      <c r="F13" s="37" t="s">
        <v>508</v>
      </c>
      <c r="G13" s="104"/>
      <c r="H13" s="60"/>
    </row>
    <row r="14" spans="1:8" ht="129.6">
      <c r="A14" s="64" t="s">
        <v>294</v>
      </c>
      <c r="B14" s="66" t="s">
        <v>272</v>
      </c>
      <c r="C14" s="68" t="s">
        <v>421</v>
      </c>
      <c r="D14" s="37" t="s">
        <v>509</v>
      </c>
      <c r="E14" s="89" t="s">
        <v>421</v>
      </c>
      <c r="F14" s="89" t="s">
        <v>510</v>
      </c>
      <c r="G14" s="104"/>
      <c r="H14" s="60"/>
    </row>
    <row r="15" spans="1:8" ht="115.2">
      <c r="A15" s="64" t="s">
        <v>294</v>
      </c>
      <c r="B15" s="66" t="s">
        <v>272</v>
      </c>
      <c r="C15" s="67" t="s">
        <v>351</v>
      </c>
      <c r="D15" s="37" t="s">
        <v>497</v>
      </c>
      <c r="E15" s="89" t="s">
        <v>351</v>
      </c>
      <c r="F15" s="37" t="s">
        <v>511</v>
      </c>
      <c r="G15" s="104"/>
      <c r="H15" s="60"/>
    </row>
    <row r="16" spans="1:8" ht="115.2">
      <c r="A16" s="64" t="s">
        <v>294</v>
      </c>
      <c r="B16" s="66" t="s">
        <v>272</v>
      </c>
      <c r="C16" s="67" t="s">
        <v>332</v>
      </c>
      <c r="D16" s="37" t="s">
        <v>497</v>
      </c>
      <c r="E16" s="89" t="s">
        <v>332</v>
      </c>
      <c r="F16" s="37" t="s">
        <v>512</v>
      </c>
      <c r="G16" s="104"/>
      <c r="H16" s="60"/>
    </row>
    <row r="17" spans="1:8" ht="115.2">
      <c r="A17" s="64" t="s">
        <v>294</v>
      </c>
      <c r="B17" s="66" t="s">
        <v>272</v>
      </c>
      <c r="C17" s="67" t="s">
        <v>335</v>
      </c>
      <c r="D17" s="37" t="s">
        <v>497</v>
      </c>
      <c r="E17" s="89" t="s">
        <v>335</v>
      </c>
      <c r="F17" s="37" t="s">
        <v>513</v>
      </c>
      <c r="G17" s="104"/>
      <c r="H17" s="60"/>
    </row>
    <row r="18" spans="1:8" ht="115.2">
      <c r="A18" s="64" t="s">
        <v>294</v>
      </c>
      <c r="B18" s="66" t="s">
        <v>272</v>
      </c>
      <c r="C18" s="67" t="s">
        <v>342</v>
      </c>
      <c r="D18" s="37" t="s">
        <v>497</v>
      </c>
      <c r="E18" s="89" t="s">
        <v>342</v>
      </c>
      <c r="F18" s="37" t="s">
        <v>514</v>
      </c>
      <c r="G18" s="104"/>
      <c r="H18" s="60"/>
    </row>
    <row r="19" spans="1:8" ht="115.2">
      <c r="A19" s="64" t="s">
        <v>294</v>
      </c>
      <c r="B19" s="66" t="s">
        <v>272</v>
      </c>
      <c r="C19" s="67" t="s">
        <v>314</v>
      </c>
      <c r="D19" s="37" t="s">
        <v>497</v>
      </c>
      <c r="E19" s="89" t="s">
        <v>314</v>
      </c>
      <c r="F19" s="37" t="s">
        <v>515</v>
      </c>
      <c r="G19" s="104"/>
      <c r="H19" s="60"/>
    </row>
    <row r="20" spans="1:8" ht="115.2">
      <c r="A20" s="64" t="s">
        <v>294</v>
      </c>
      <c r="B20" s="66" t="s">
        <v>272</v>
      </c>
      <c r="C20" s="67" t="s">
        <v>392</v>
      </c>
      <c r="D20" s="37" t="s">
        <v>497</v>
      </c>
      <c r="E20" s="89" t="s">
        <v>392</v>
      </c>
      <c r="F20" s="37" t="s">
        <v>516</v>
      </c>
      <c r="G20" s="104"/>
      <c r="H20" s="60"/>
    </row>
    <row r="21" spans="1:8" ht="115.2">
      <c r="A21" s="64" t="s">
        <v>294</v>
      </c>
      <c r="B21" s="66" t="s">
        <v>272</v>
      </c>
      <c r="C21" s="67" t="s">
        <v>372</v>
      </c>
      <c r="D21" s="37" t="s">
        <v>497</v>
      </c>
      <c r="E21" s="89" t="s">
        <v>372</v>
      </c>
      <c r="F21" s="37" t="s">
        <v>517</v>
      </c>
      <c r="G21" s="104"/>
      <c r="H21" s="60"/>
    </row>
    <row r="22" spans="1:8" ht="115.2">
      <c r="A22" s="64" t="s">
        <v>294</v>
      </c>
      <c r="B22" s="66" t="s">
        <v>272</v>
      </c>
      <c r="C22" s="67" t="s">
        <v>444</v>
      </c>
      <c r="D22" s="37" t="s">
        <v>497</v>
      </c>
      <c r="E22" s="89" t="s">
        <v>444</v>
      </c>
      <c r="F22" s="37" t="s">
        <v>518</v>
      </c>
      <c r="G22" s="104"/>
      <c r="H22" s="60"/>
    </row>
    <row r="23" spans="1:8" ht="115.2">
      <c r="A23" s="64" t="s">
        <v>294</v>
      </c>
      <c r="B23" s="66" t="s">
        <v>272</v>
      </c>
      <c r="C23" s="67" t="s">
        <v>398</v>
      </c>
      <c r="D23" s="37" t="s">
        <v>497</v>
      </c>
      <c r="E23" s="93" t="s">
        <v>398</v>
      </c>
      <c r="F23" s="37" t="s">
        <v>519</v>
      </c>
      <c r="G23" s="104"/>
      <c r="H23" s="60"/>
    </row>
    <row r="24" spans="1:8" ht="115.2">
      <c r="A24" s="64" t="s">
        <v>294</v>
      </c>
      <c r="B24" s="66" t="s">
        <v>272</v>
      </c>
      <c r="C24" s="67" t="s">
        <v>389</v>
      </c>
      <c r="D24" s="37" t="s">
        <v>497</v>
      </c>
      <c r="E24" s="93" t="s">
        <v>389</v>
      </c>
      <c r="F24" s="37" t="s">
        <v>520</v>
      </c>
      <c r="G24" s="104"/>
      <c r="H24" s="60"/>
    </row>
    <row r="25" spans="1:8" ht="129.6">
      <c r="A25" s="64" t="s">
        <v>294</v>
      </c>
      <c r="B25" s="66" t="s">
        <v>272</v>
      </c>
      <c r="C25" s="68" t="s">
        <v>465</v>
      </c>
      <c r="D25" s="37" t="s">
        <v>509</v>
      </c>
      <c r="E25" s="93" t="s">
        <v>465</v>
      </c>
      <c r="F25" s="89" t="s">
        <v>521</v>
      </c>
      <c r="G25" s="104"/>
      <c r="H25" s="60"/>
    </row>
    <row r="26" spans="1:8" ht="115.2">
      <c r="A26" s="64" t="s">
        <v>294</v>
      </c>
      <c r="B26" s="66" t="s">
        <v>272</v>
      </c>
      <c r="C26" s="67" t="s">
        <v>458</v>
      </c>
      <c r="D26" s="37" t="s">
        <v>497</v>
      </c>
      <c r="E26" s="93" t="s">
        <v>458</v>
      </c>
      <c r="F26" s="37" t="s">
        <v>522</v>
      </c>
      <c r="G26" s="104"/>
      <c r="H26" s="60"/>
    </row>
    <row r="27" spans="1:8" ht="115.2">
      <c r="A27" s="64" t="s">
        <v>294</v>
      </c>
      <c r="B27" s="66" t="s">
        <v>272</v>
      </c>
      <c r="C27" s="67" t="s">
        <v>468</v>
      </c>
      <c r="D27" s="37" t="s">
        <v>497</v>
      </c>
      <c r="E27" s="93" t="s">
        <v>468</v>
      </c>
      <c r="F27" s="37" t="s">
        <v>523</v>
      </c>
      <c r="G27" s="104"/>
      <c r="H27" s="60"/>
    </row>
    <row r="28" spans="1:8" ht="115.2">
      <c r="A28" s="64" t="s">
        <v>294</v>
      </c>
      <c r="B28" s="66" t="s">
        <v>272</v>
      </c>
      <c r="C28" s="67" t="s">
        <v>472</v>
      </c>
      <c r="D28" s="37" t="s">
        <v>497</v>
      </c>
      <c r="E28" s="93" t="s">
        <v>472</v>
      </c>
      <c r="F28" s="37" t="s">
        <v>524</v>
      </c>
      <c r="G28" s="104"/>
      <c r="H28" s="60"/>
    </row>
    <row r="29" spans="1:8">
      <c r="A29" s="64" t="s">
        <v>294</v>
      </c>
      <c r="B29" s="66" t="s">
        <v>272</v>
      </c>
      <c r="C29" s="67" t="s">
        <v>490</v>
      </c>
      <c r="D29" s="93"/>
      <c r="E29" s="93"/>
      <c r="F29" s="94" t="s">
        <v>525</v>
      </c>
      <c r="G29" s="104"/>
      <c r="H29" s="60"/>
    </row>
    <row r="30" spans="1:8">
      <c r="A30" s="64" t="s">
        <v>294</v>
      </c>
      <c r="B30" s="66" t="s">
        <v>272</v>
      </c>
      <c r="C30" s="67" t="s">
        <v>64</v>
      </c>
      <c r="D30" s="93"/>
      <c r="E30" s="93"/>
      <c r="F30" s="94" t="s">
        <v>492</v>
      </c>
      <c r="G30" s="104"/>
      <c r="H30" s="60"/>
    </row>
    <row r="31" spans="1:8">
      <c r="A31" s="64" t="s">
        <v>294</v>
      </c>
      <c r="B31" s="66" t="s">
        <v>272</v>
      </c>
      <c r="C31" s="67" t="s">
        <v>493</v>
      </c>
      <c r="D31" s="93"/>
      <c r="E31" s="93"/>
      <c r="F31" s="94" t="s">
        <v>494</v>
      </c>
      <c r="G31" s="105"/>
      <c r="H31" s="60"/>
    </row>
  </sheetData>
  <autoFilter ref="A1:H31" xr:uid="{8CCF57EA-796C-4D6B-B855-377F1194240F}"/>
  <mergeCells count="1">
    <mergeCell ref="G2:G31"/>
  </mergeCells>
  <pageMargins left="0.7" right="0.7" top="0.75" bottom="0.75" header="0" footer="0"/>
  <pageSetup orientation="landscape"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3E948-C937-4D3E-944E-FBB32948632D}">
  <sheetPr codeName="Hoja7"/>
  <dimension ref="A1:H31"/>
  <sheetViews>
    <sheetView showGridLines="0" topLeftCell="B1" zoomScale="85" zoomScaleNormal="85" workbookViewId="0">
      <pane ySplit="1" topLeftCell="A2" activePane="bottomLeft" state="frozen"/>
      <selection pane="bottomLeft" activeCell="E4" sqref="E4"/>
    </sheetView>
  </sheetViews>
  <sheetFormatPr baseColWidth="10" defaultColWidth="14.44140625" defaultRowHeight="14.4"/>
  <cols>
    <col min="1" max="1" width="14.5546875" style="57" bestFit="1" customWidth="1"/>
    <col min="2" max="2" width="30.5546875" style="57" bestFit="1" customWidth="1"/>
    <col min="3" max="3" width="30.109375" style="57" bestFit="1" customWidth="1"/>
    <col min="4" max="4" width="42.33203125" style="57" bestFit="1" customWidth="1"/>
    <col min="5" max="5" width="34" style="57" customWidth="1"/>
    <col min="6" max="6" width="77.6640625" style="71" customWidth="1"/>
    <col min="7" max="7" width="42.6640625" style="71" customWidth="1"/>
    <col min="8" max="8" width="39.109375" style="88" customWidth="1"/>
    <col min="9" max="11" width="8.6640625" style="57" customWidth="1"/>
    <col min="12" max="16384" width="14.44140625" style="57"/>
  </cols>
  <sheetData>
    <row r="1" spans="1:8">
      <c r="A1" s="35" t="s">
        <v>287</v>
      </c>
      <c r="B1" s="56" t="s">
        <v>288</v>
      </c>
      <c r="C1" s="35" t="s">
        <v>289</v>
      </c>
      <c r="D1" s="35" t="s">
        <v>290</v>
      </c>
      <c r="E1" s="35" t="s">
        <v>291</v>
      </c>
      <c r="F1" s="87" t="s">
        <v>292</v>
      </c>
      <c r="G1" s="87" t="s">
        <v>292</v>
      </c>
      <c r="H1" s="87" t="s">
        <v>293</v>
      </c>
    </row>
    <row r="2" spans="1:8">
      <c r="A2" s="64" t="s">
        <v>294</v>
      </c>
      <c r="B2" s="66" t="s">
        <v>275</v>
      </c>
      <c r="C2" s="67" t="s">
        <v>45</v>
      </c>
      <c r="D2" s="37"/>
      <c r="E2" s="93"/>
      <c r="F2" s="70" t="s">
        <v>495</v>
      </c>
      <c r="G2" s="103" t="s">
        <v>526</v>
      </c>
      <c r="H2" s="60"/>
    </row>
    <row r="3" spans="1:8" ht="100.8">
      <c r="A3" s="64" t="s">
        <v>294</v>
      </c>
      <c r="B3" s="66" t="s">
        <v>275</v>
      </c>
      <c r="C3" s="67" t="s">
        <v>345</v>
      </c>
      <c r="D3" s="37" t="s">
        <v>497</v>
      </c>
      <c r="E3" s="37" t="s">
        <v>345</v>
      </c>
      <c r="F3" s="37" t="s">
        <v>527</v>
      </c>
      <c r="G3" s="104"/>
      <c r="H3" s="60"/>
    </row>
    <row r="4" spans="1:8" ht="100.8">
      <c r="A4" s="64" t="s">
        <v>294</v>
      </c>
      <c r="B4" s="66" t="s">
        <v>275</v>
      </c>
      <c r="C4" s="67" t="s">
        <v>327</v>
      </c>
      <c r="D4" s="37" t="s">
        <v>497</v>
      </c>
      <c r="E4" s="37" t="s">
        <v>327</v>
      </c>
      <c r="F4" s="37" t="s">
        <v>528</v>
      </c>
      <c r="G4" s="104"/>
      <c r="H4" s="60" t="s">
        <v>309</v>
      </c>
    </row>
    <row r="5" spans="1:8" ht="100.8">
      <c r="A5" s="64" t="s">
        <v>294</v>
      </c>
      <c r="B5" s="66" t="s">
        <v>275</v>
      </c>
      <c r="C5" s="67" t="s">
        <v>348</v>
      </c>
      <c r="D5" s="37" t="s">
        <v>497</v>
      </c>
      <c r="E5" s="37" t="s">
        <v>348</v>
      </c>
      <c r="F5" s="37" t="s">
        <v>529</v>
      </c>
      <c r="G5" s="104"/>
      <c r="H5" s="60"/>
    </row>
    <row r="6" spans="1:8" ht="100.8">
      <c r="A6" s="64" t="s">
        <v>294</v>
      </c>
      <c r="B6" s="66" t="s">
        <v>275</v>
      </c>
      <c r="C6" s="67" t="s">
        <v>383</v>
      </c>
      <c r="D6" s="37" t="s">
        <v>497</v>
      </c>
      <c r="E6" s="37" t="s">
        <v>383</v>
      </c>
      <c r="F6" s="37" t="s">
        <v>530</v>
      </c>
      <c r="G6" s="104"/>
      <c r="H6" s="60"/>
    </row>
    <row r="7" spans="1:8" ht="100.8">
      <c r="A7" s="64" t="s">
        <v>294</v>
      </c>
      <c r="B7" s="66" t="s">
        <v>275</v>
      </c>
      <c r="C7" s="67" t="s">
        <v>386</v>
      </c>
      <c r="D7" s="37" t="s">
        <v>497</v>
      </c>
      <c r="E7" s="37" t="s">
        <v>386</v>
      </c>
      <c r="F7" s="37" t="s">
        <v>531</v>
      </c>
      <c r="G7" s="104"/>
      <c r="H7" s="60"/>
    </row>
    <row r="8" spans="1:8" ht="100.8">
      <c r="A8" s="64" t="s">
        <v>294</v>
      </c>
      <c r="B8" s="66" t="s">
        <v>275</v>
      </c>
      <c r="C8" s="67" t="s">
        <v>375</v>
      </c>
      <c r="D8" s="37" t="s">
        <v>497</v>
      </c>
      <c r="E8" s="89" t="s">
        <v>375</v>
      </c>
      <c r="F8" s="37" t="s">
        <v>532</v>
      </c>
      <c r="G8" s="104"/>
      <c r="H8" s="60"/>
    </row>
    <row r="9" spans="1:8" ht="100.8">
      <c r="A9" s="64" t="s">
        <v>294</v>
      </c>
      <c r="B9" s="66" t="s">
        <v>275</v>
      </c>
      <c r="C9" s="67" t="s">
        <v>338</v>
      </c>
      <c r="D9" s="37" t="s">
        <v>497</v>
      </c>
      <c r="E9" s="93" t="s">
        <v>338</v>
      </c>
      <c r="F9" s="37" t="s">
        <v>533</v>
      </c>
      <c r="G9" s="104"/>
      <c r="H9" s="60"/>
    </row>
    <row r="10" spans="1:8" ht="100.8">
      <c r="A10" s="64" t="s">
        <v>294</v>
      </c>
      <c r="B10" s="66" t="s">
        <v>275</v>
      </c>
      <c r="C10" s="67" t="s">
        <v>438</v>
      </c>
      <c r="D10" s="37" t="s">
        <v>497</v>
      </c>
      <c r="E10" s="93" t="s">
        <v>438</v>
      </c>
      <c r="F10" s="37" t="s">
        <v>534</v>
      </c>
      <c r="G10" s="104"/>
      <c r="H10" s="60"/>
    </row>
    <row r="11" spans="1:8" ht="100.8">
      <c r="A11" s="64" t="s">
        <v>294</v>
      </c>
      <c r="B11" s="66" t="s">
        <v>275</v>
      </c>
      <c r="C11" s="67" t="s">
        <v>396</v>
      </c>
      <c r="D11" s="37" t="s">
        <v>497</v>
      </c>
      <c r="E11" s="93" t="s">
        <v>396</v>
      </c>
      <c r="F11" s="37" t="s">
        <v>535</v>
      </c>
      <c r="G11" s="104"/>
      <c r="H11" s="60"/>
    </row>
    <row r="12" spans="1:8" ht="100.8">
      <c r="A12" s="64" t="s">
        <v>294</v>
      </c>
      <c r="B12" s="66" t="s">
        <v>275</v>
      </c>
      <c r="C12" s="67" t="s">
        <v>400</v>
      </c>
      <c r="D12" s="37" t="s">
        <v>497</v>
      </c>
      <c r="E12" s="89" t="s">
        <v>400</v>
      </c>
      <c r="F12" s="37" t="s">
        <v>536</v>
      </c>
      <c r="G12" s="104"/>
      <c r="H12" s="60"/>
    </row>
    <row r="13" spans="1:8" ht="100.8">
      <c r="A13" s="64" t="s">
        <v>294</v>
      </c>
      <c r="B13" s="66" t="s">
        <v>275</v>
      </c>
      <c r="C13" s="67" t="s">
        <v>411</v>
      </c>
      <c r="D13" s="37" t="s">
        <v>497</v>
      </c>
      <c r="E13" s="89" t="s">
        <v>411</v>
      </c>
      <c r="F13" s="37" t="s">
        <v>537</v>
      </c>
      <c r="G13" s="104"/>
      <c r="H13" s="60"/>
    </row>
    <row r="14" spans="1:8" ht="86.4">
      <c r="A14" s="64" t="s">
        <v>294</v>
      </c>
      <c r="B14" s="66" t="s">
        <v>275</v>
      </c>
      <c r="C14" s="68" t="s">
        <v>421</v>
      </c>
      <c r="D14" s="37" t="s">
        <v>509</v>
      </c>
      <c r="E14" s="89" t="s">
        <v>421</v>
      </c>
      <c r="F14" s="89" t="s">
        <v>538</v>
      </c>
      <c r="G14" s="104"/>
      <c r="H14" s="60"/>
    </row>
    <row r="15" spans="1:8" ht="100.8">
      <c r="A15" s="64" t="s">
        <v>294</v>
      </c>
      <c r="B15" s="66" t="s">
        <v>275</v>
      </c>
      <c r="C15" s="67" t="s">
        <v>351</v>
      </c>
      <c r="D15" s="37" t="s">
        <v>497</v>
      </c>
      <c r="E15" s="89" t="s">
        <v>351</v>
      </c>
      <c r="F15" s="37" t="s">
        <v>539</v>
      </c>
      <c r="G15" s="104"/>
      <c r="H15" s="60"/>
    </row>
    <row r="16" spans="1:8" ht="100.8">
      <c r="A16" s="64" t="s">
        <v>294</v>
      </c>
      <c r="B16" s="66" t="s">
        <v>275</v>
      </c>
      <c r="C16" s="67" t="s">
        <v>332</v>
      </c>
      <c r="D16" s="37" t="s">
        <v>497</v>
      </c>
      <c r="E16" s="89" t="s">
        <v>332</v>
      </c>
      <c r="F16" s="37" t="s">
        <v>540</v>
      </c>
      <c r="G16" s="104"/>
      <c r="H16" s="60"/>
    </row>
    <row r="17" spans="1:8" ht="100.8">
      <c r="A17" s="64" t="s">
        <v>294</v>
      </c>
      <c r="B17" s="66" t="s">
        <v>275</v>
      </c>
      <c r="C17" s="67" t="s">
        <v>335</v>
      </c>
      <c r="D17" s="37" t="s">
        <v>497</v>
      </c>
      <c r="E17" s="89" t="s">
        <v>335</v>
      </c>
      <c r="F17" s="37" t="s">
        <v>541</v>
      </c>
      <c r="G17" s="104"/>
      <c r="H17" s="60"/>
    </row>
    <row r="18" spans="1:8" ht="100.8">
      <c r="A18" s="64" t="s">
        <v>294</v>
      </c>
      <c r="B18" s="66" t="s">
        <v>275</v>
      </c>
      <c r="C18" s="67" t="s">
        <v>342</v>
      </c>
      <c r="D18" s="37" t="s">
        <v>497</v>
      </c>
      <c r="E18" s="89" t="s">
        <v>342</v>
      </c>
      <c r="F18" s="37" t="s">
        <v>542</v>
      </c>
      <c r="G18" s="104"/>
      <c r="H18" s="60"/>
    </row>
    <row r="19" spans="1:8" ht="100.8">
      <c r="A19" s="64" t="s">
        <v>294</v>
      </c>
      <c r="B19" s="66" t="s">
        <v>275</v>
      </c>
      <c r="C19" s="67" t="s">
        <v>314</v>
      </c>
      <c r="D19" s="37" t="s">
        <v>497</v>
      </c>
      <c r="E19" s="89" t="s">
        <v>314</v>
      </c>
      <c r="F19" s="37" t="s">
        <v>543</v>
      </c>
      <c r="G19" s="104"/>
      <c r="H19" s="60"/>
    </row>
    <row r="20" spans="1:8" ht="100.8">
      <c r="A20" s="64" t="s">
        <v>294</v>
      </c>
      <c r="B20" s="66" t="s">
        <v>275</v>
      </c>
      <c r="C20" s="67" t="s">
        <v>392</v>
      </c>
      <c r="D20" s="37" t="s">
        <v>497</v>
      </c>
      <c r="E20" s="89" t="s">
        <v>392</v>
      </c>
      <c r="F20" s="37" t="s">
        <v>544</v>
      </c>
      <c r="G20" s="104"/>
      <c r="H20" s="60"/>
    </row>
    <row r="21" spans="1:8" ht="100.8">
      <c r="A21" s="64" t="s">
        <v>294</v>
      </c>
      <c r="B21" s="66" t="s">
        <v>275</v>
      </c>
      <c r="C21" s="67" t="s">
        <v>372</v>
      </c>
      <c r="D21" s="37" t="s">
        <v>497</v>
      </c>
      <c r="E21" s="89" t="s">
        <v>372</v>
      </c>
      <c r="F21" s="37" t="s">
        <v>545</v>
      </c>
      <c r="G21" s="104"/>
      <c r="H21" s="60"/>
    </row>
    <row r="22" spans="1:8" ht="100.8">
      <c r="A22" s="64" t="s">
        <v>294</v>
      </c>
      <c r="B22" s="66" t="s">
        <v>275</v>
      </c>
      <c r="C22" s="67" t="s">
        <v>444</v>
      </c>
      <c r="D22" s="37" t="s">
        <v>497</v>
      </c>
      <c r="E22" s="89" t="s">
        <v>444</v>
      </c>
      <c r="F22" s="37" t="s">
        <v>546</v>
      </c>
      <c r="G22" s="104"/>
      <c r="H22" s="60"/>
    </row>
    <row r="23" spans="1:8" ht="100.8">
      <c r="A23" s="64" t="s">
        <v>294</v>
      </c>
      <c r="B23" s="66" t="s">
        <v>275</v>
      </c>
      <c r="C23" s="67" t="s">
        <v>398</v>
      </c>
      <c r="D23" s="37" t="s">
        <v>497</v>
      </c>
      <c r="E23" s="93" t="s">
        <v>398</v>
      </c>
      <c r="F23" s="37" t="s">
        <v>547</v>
      </c>
      <c r="G23" s="104"/>
      <c r="H23" s="60"/>
    </row>
    <row r="24" spans="1:8" ht="100.8">
      <c r="A24" s="64" t="s">
        <v>294</v>
      </c>
      <c r="B24" s="66" t="s">
        <v>275</v>
      </c>
      <c r="C24" s="67" t="s">
        <v>389</v>
      </c>
      <c r="D24" s="37" t="s">
        <v>497</v>
      </c>
      <c r="E24" s="93" t="s">
        <v>389</v>
      </c>
      <c r="F24" s="37" t="s">
        <v>548</v>
      </c>
      <c r="G24" s="104"/>
      <c r="H24" s="60"/>
    </row>
    <row r="25" spans="1:8" ht="86.4">
      <c r="A25" s="64" t="s">
        <v>294</v>
      </c>
      <c r="B25" s="66" t="s">
        <v>275</v>
      </c>
      <c r="C25" s="68" t="s">
        <v>465</v>
      </c>
      <c r="D25" s="37" t="s">
        <v>509</v>
      </c>
      <c r="E25" s="93" t="s">
        <v>465</v>
      </c>
      <c r="F25" s="89" t="s">
        <v>549</v>
      </c>
      <c r="G25" s="104"/>
      <c r="H25" s="60"/>
    </row>
    <row r="26" spans="1:8" ht="100.8">
      <c r="A26" s="64" t="s">
        <v>294</v>
      </c>
      <c r="B26" s="66" t="s">
        <v>275</v>
      </c>
      <c r="C26" s="67" t="s">
        <v>458</v>
      </c>
      <c r="D26" s="37" t="s">
        <v>497</v>
      </c>
      <c r="E26" s="93" t="s">
        <v>458</v>
      </c>
      <c r="F26" s="37" t="s">
        <v>550</v>
      </c>
      <c r="G26" s="104"/>
      <c r="H26" s="60"/>
    </row>
    <row r="27" spans="1:8" ht="100.8">
      <c r="A27" s="64" t="s">
        <v>294</v>
      </c>
      <c r="B27" s="66" t="s">
        <v>275</v>
      </c>
      <c r="C27" s="67" t="s">
        <v>468</v>
      </c>
      <c r="D27" s="37" t="s">
        <v>497</v>
      </c>
      <c r="E27" s="93" t="s">
        <v>468</v>
      </c>
      <c r="F27" s="37" t="s">
        <v>551</v>
      </c>
      <c r="G27" s="104"/>
      <c r="H27" s="60"/>
    </row>
    <row r="28" spans="1:8" ht="100.8">
      <c r="A28" s="64" t="s">
        <v>294</v>
      </c>
      <c r="B28" s="66" t="s">
        <v>275</v>
      </c>
      <c r="C28" s="67" t="s">
        <v>472</v>
      </c>
      <c r="D28" s="37" t="s">
        <v>497</v>
      </c>
      <c r="E28" s="93" t="s">
        <v>472</v>
      </c>
      <c r="F28" s="37" t="s">
        <v>552</v>
      </c>
      <c r="G28" s="104"/>
      <c r="H28" s="60"/>
    </row>
    <row r="29" spans="1:8">
      <c r="A29" s="64" t="s">
        <v>294</v>
      </c>
      <c r="B29" s="66" t="s">
        <v>275</v>
      </c>
      <c r="C29" s="67" t="s">
        <v>490</v>
      </c>
      <c r="D29" s="93"/>
      <c r="E29" s="93"/>
      <c r="F29" s="94" t="s">
        <v>525</v>
      </c>
      <c r="G29" s="104"/>
      <c r="H29" s="60"/>
    </row>
    <row r="30" spans="1:8">
      <c r="A30" s="64" t="s">
        <v>294</v>
      </c>
      <c r="B30" s="66" t="s">
        <v>275</v>
      </c>
      <c r="C30" s="67" t="s">
        <v>64</v>
      </c>
      <c r="D30" s="93"/>
      <c r="E30" s="93"/>
      <c r="F30" s="94" t="s">
        <v>492</v>
      </c>
      <c r="G30" s="104"/>
      <c r="H30" s="60"/>
    </row>
    <row r="31" spans="1:8">
      <c r="A31" s="64" t="s">
        <v>294</v>
      </c>
      <c r="B31" s="66" t="s">
        <v>275</v>
      </c>
      <c r="C31" s="67" t="s">
        <v>493</v>
      </c>
      <c r="D31" s="93"/>
      <c r="E31" s="93"/>
      <c r="F31" s="94" t="s">
        <v>494</v>
      </c>
      <c r="G31" s="105"/>
      <c r="H31" s="60"/>
    </row>
  </sheetData>
  <autoFilter ref="A1:H31" xr:uid="{9483E948-C937-4D3E-944E-FBB32948632D}"/>
  <mergeCells count="1">
    <mergeCell ref="G2:G31"/>
  </mergeCells>
  <pageMargins left="0.7" right="0.7" top="0.75" bottom="0.75" header="0" footer="0"/>
  <pageSetup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48E9B-6909-4D61-B213-3BF2F63612B1}">
  <sheetPr codeName="Hoja8"/>
  <dimension ref="A1:H51"/>
  <sheetViews>
    <sheetView showGridLines="0" zoomScaleNormal="100" workbookViewId="0">
      <pane ySplit="1" topLeftCell="A2" activePane="bottomLeft" state="frozen"/>
      <selection pane="bottomLeft" activeCell="A2" sqref="A2"/>
    </sheetView>
  </sheetViews>
  <sheetFormatPr baseColWidth="10" defaultColWidth="14.44140625" defaultRowHeight="14.4"/>
  <cols>
    <col min="1" max="1" width="11.5546875" style="57" bestFit="1" customWidth="1"/>
    <col min="2" max="2" width="18.6640625" style="57" customWidth="1"/>
    <col min="3" max="3" width="26.88671875" style="57" bestFit="1" customWidth="1"/>
    <col min="4" max="4" width="34.33203125" style="57" bestFit="1" customWidth="1"/>
    <col min="5" max="5" width="36.6640625" style="77" bestFit="1" customWidth="1"/>
    <col min="6" max="6" width="84.33203125" style="57" bestFit="1" customWidth="1"/>
    <col min="7" max="7" width="42.6640625" style="57" customWidth="1"/>
    <col min="8" max="8" width="42.6640625" style="88" customWidth="1"/>
    <col min="9" max="11" width="8.6640625" style="57" customWidth="1"/>
    <col min="12" max="16384" width="14.44140625" style="57"/>
  </cols>
  <sheetData>
    <row r="1" spans="1:8">
      <c r="A1" s="35" t="s">
        <v>287</v>
      </c>
      <c r="B1" s="56" t="s">
        <v>553</v>
      </c>
      <c r="C1" s="35" t="s">
        <v>289</v>
      </c>
      <c r="D1" s="35" t="s">
        <v>290</v>
      </c>
      <c r="E1" s="35" t="s">
        <v>291</v>
      </c>
      <c r="F1" s="87" t="s">
        <v>292</v>
      </c>
      <c r="G1" s="87" t="s">
        <v>292</v>
      </c>
      <c r="H1" s="87" t="s">
        <v>293</v>
      </c>
    </row>
    <row r="2" spans="1:8" ht="14.4" customHeight="1">
      <c r="A2" s="64" t="s">
        <v>294</v>
      </c>
      <c r="B2" s="66" t="s">
        <v>278</v>
      </c>
      <c r="C2" s="67" t="s">
        <v>45</v>
      </c>
      <c r="D2" s="37"/>
      <c r="E2" s="89"/>
      <c r="F2" s="79" t="s">
        <v>495</v>
      </c>
      <c r="G2" s="103" t="s">
        <v>554</v>
      </c>
      <c r="H2" s="60" t="s">
        <v>554</v>
      </c>
    </row>
    <row r="3" spans="1:8" ht="57.6">
      <c r="A3" s="64" t="s">
        <v>294</v>
      </c>
      <c r="B3" s="66" t="s">
        <v>278</v>
      </c>
      <c r="C3" s="67" t="s">
        <v>555</v>
      </c>
      <c r="D3" s="37" t="s">
        <v>497</v>
      </c>
      <c r="E3" s="37" t="s">
        <v>345</v>
      </c>
      <c r="F3" s="37" t="s">
        <v>556</v>
      </c>
      <c r="G3" s="104"/>
      <c r="H3" s="60"/>
    </row>
    <row r="4" spans="1:8">
      <c r="A4" s="64" t="s">
        <v>294</v>
      </c>
      <c r="B4" s="66" t="s">
        <v>278</v>
      </c>
      <c r="C4" s="67" t="s">
        <v>557</v>
      </c>
      <c r="D4" s="37"/>
      <c r="E4" s="37"/>
      <c r="F4" s="37" t="s">
        <v>558</v>
      </c>
      <c r="G4" s="104"/>
      <c r="H4" s="60"/>
    </row>
    <row r="5" spans="1:8">
      <c r="A5" s="64" t="s">
        <v>294</v>
      </c>
      <c r="B5" s="66" t="s">
        <v>278</v>
      </c>
      <c r="C5" s="67" t="s">
        <v>559</v>
      </c>
      <c r="D5" s="37"/>
      <c r="E5" s="37"/>
      <c r="F5" s="37" t="s">
        <v>560</v>
      </c>
      <c r="G5" s="104"/>
      <c r="H5" s="60"/>
    </row>
    <row r="6" spans="1:8" ht="115.2">
      <c r="A6" s="64" t="s">
        <v>294</v>
      </c>
      <c r="B6" s="66" t="s">
        <v>278</v>
      </c>
      <c r="C6" s="67" t="s">
        <v>561</v>
      </c>
      <c r="D6" s="37" t="s">
        <v>497</v>
      </c>
      <c r="E6" s="37" t="s">
        <v>351</v>
      </c>
      <c r="F6" s="37" t="s">
        <v>562</v>
      </c>
      <c r="G6" s="104"/>
      <c r="H6" s="60"/>
    </row>
    <row r="7" spans="1:8">
      <c r="A7" s="64" t="s">
        <v>294</v>
      </c>
      <c r="B7" s="66" t="s">
        <v>278</v>
      </c>
      <c r="C7" s="67" t="s">
        <v>563</v>
      </c>
      <c r="D7" s="37"/>
      <c r="E7" s="89"/>
      <c r="F7" s="76" t="s">
        <v>564</v>
      </c>
      <c r="G7" s="104"/>
      <c r="H7" s="60"/>
    </row>
    <row r="8" spans="1:8">
      <c r="A8" s="64" t="s">
        <v>294</v>
      </c>
      <c r="B8" s="66" t="s">
        <v>278</v>
      </c>
      <c r="C8" s="67" t="s">
        <v>565</v>
      </c>
      <c r="D8" s="37"/>
      <c r="E8" s="89"/>
      <c r="F8" s="37" t="s">
        <v>566</v>
      </c>
      <c r="G8" s="104"/>
      <c r="H8" s="60"/>
    </row>
    <row r="9" spans="1:8">
      <c r="A9" s="64" t="s">
        <v>294</v>
      </c>
      <c r="B9" s="66" t="s">
        <v>278</v>
      </c>
      <c r="C9" s="67" t="s">
        <v>567</v>
      </c>
      <c r="D9" s="37"/>
      <c r="E9" s="89"/>
      <c r="F9" s="37" t="s">
        <v>568</v>
      </c>
      <c r="G9" s="104"/>
      <c r="H9" s="60"/>
    </row>
    <row r="10" spans="1:8">
      <c r="A10" s="64" t="s">
        <v>294</v>
      </c>
      <c r="B10" s="66" t="s">
        <v>278</v>
      </c>
      <c r="C10" s="67" t="s">
        <v>569</v>
      </c>
      <c r="D10" s="37"/>
      <c r="E10" s="89"/>
      <c r="F10" s="37" t="s">
        <v>570</v>
      </c>
      <c r="G10" s="104"/>
      <c r="H10" s="60"/>
    </row>
    <row r="11" spans="1:8">
      <c r="A11" s="64" t="s">
        <v>294</v>
      </c>
      <c r="B11" s="66" t="s">
        <v>278</v>
      </c>
      <c r="C11" s="67" t="s">
        <v>571</v>
      </c>
      <c r="D11" s="37"/>
      <c r="E11" s="89"/>
      <c r="F11" s="37" t="s">
        <v>572</v>
      </c>
      <c r="G11" s="104"/>
      <c r="H11" s="60"/>
    </row>
    <row r="12" spans="1:8">
      <c r="A12" s="64" t="s">
        <v>294</v>
      </c>
      <c r="B12" s="66" t="s">
        <v>278</v>
      </c>
      <c r="C12" s="67" t="s">
        <v>573</v>
      </c>
      <c r="D12" s="37" t="s">
        <v>497</v>
      </c>
      <c r="E12" s="37" t="s">
        <v>296</v>
      </c>
      <c r="F12" s="37" t="s">
        <v>296</v>
      </c>
      <c r="G12" s="104"/>
      <c r="H12" s="60"/>
    </row>
    <row r="13" spans="1:8" ht="100.8">
      <c r="A13" s="64" t="s">
        <v>294</v>
      </c>
      <c r="B13" s="66" t="s">
        <v>278</v>
      </c>
      <c r="C13" s="67" t="s">
        <v>574</v>
      </c>
      <c r="D13" s="37" t="s">
        <v>497</v>
      </c>
      <c r="E13" s="89" t="s">
        <v>354</v>
      </c>
      <c r="F13" s="89" t="s">
        <v>575</v>
      </c>
      <c r="G13" s="104"/>
      <c r="H13" s="60"/>
    </row>
    <row r="14" spans="1:8" ht="57.6">
      <c r="A14" s="64" t="s">
        <v>294</v>
      </c>
      <c r="B14" s="66" t="s">
        <v>278</v>
      </c>
      <c r="C14" s="67" t="s">
        <v>576</v>
      </c>
      <c r="D14" s="37" t="s">
        <v>497</v>
      </c>
      <c r="E14" s="37" t="s">
        <v>351</v>
      </c>
      <c r="F14" s="37" t="s">
        <v>577</v>
      </c>
      <c r="G14" s="104"/>
      <c r="H14" s="60"/>
    </row>
    <row r="15" spans="1:8">
      <c r="A15" s="64" t="s">
        <v>294</v>
      </c>
      <c r="B15" s="66" t="s">
        <v>278</v>
      </c>
      <c r="C15" s="67" t="s">
        <v>578</v>
      </c>
      <c r="D15" s="37"/>
      <c r="E15" s="89"/>
      <c r="F15" s="37" t="s">
        <v>579</v>
      </c>
      <c r="G15" s="104"/>
      <c r="H15" s="60"/>
    </row>
    <row r="16" spans="1:8" ht="57.6">
      <c r="A16" s="64" t="s">
        <v>294</v>
      </c>
      <c r="B16" s="66" t="s">
        <v>278</v>
      </c>
      <c r="C16" s="67" t="s">
        <v>580</v>
      </c>
      <c r="D16" s="37" t="s">
        <v>497</v>
      </c>
      <c r="E16" s="89" t="s">
        <v>314</v>
      </c>
      <c r="F16" s="37" t="s">
        <v>581</v>
      </c>
      <c r="G16" s="104"/>
      <c r="H16" s="60"/>
    </row>
    <row r="17" spans="1:8" ht="57.6">
      <c r="A17" s="64" t="s">
        <v>294</v>
      </c>
      <c r="B17" s="66" t="s">
        <v>278</v>
      </c>
      <c r="C17" s="67" t="s">
        <v>582</v>
      </c>
      <c r="D17" s="37" t="s">
        <v>497</v>
      </c>
      <c r="E17" s="37" t="s">
        <v>335</v>
      </c>
      <c r="F17" s="37" t="s">
        <v>583</v>
      </c>
      <c r="G17" s="104"/>
      <c r="H17" s="60"/>
    </row>
    <row r="18" spans="1:8" ht="57.6">
      <c r="A18" s="64" t="s">
        <v>294</v>
      </c>
      <c r="B18" s="66" t="s">
        <v>278</v>
      </c>
      <c r="C18" s="67" t="s">
        <v>584</v>
      </c>
      <c r="D18" s="37" t="s">
        <v>497</v>
      </c>
      <c r="E18" s="37" t="s">
        <v>332</v>
      </c>
      <c r="F18" s="37" t="s">
        <v>585</v>
      </c>
      <c r="G18" s="104"/>
      <c r="H18" s="60"/>
    </row>
    <row r="19" spans="1:8" ht="57.6">
      <c r="A19" s="64" t="s">
        <v>294</v>
      </c>
      <c r="B19" s="66" t="s">
        <v>278</v>
      </c>
      <c r="C19" s="67" t="s">
        <v>586</v>
      </c>
      <c r="D19" s="37" t="s">
        <v>497</v>
      </c>
      <c r="E19" s="37" t="s">
        <v>386</v>
      </c>
      <c r="F19" s="37" t="s">
        <v>587</v>
      </c>
      <c r="G19" s="104"/>
      <c r="H19" s="60"/>
    </row>
    <row r="20" spans="1:8" ht="57.6">
      <c r="A20" s="64" t="s">
        <v>294</v>
      </c>
      <c r="B20" s="66" t="s">
        <v>278</v>
      </c>
      <c r="C20" s="67" t="s">
        <v>588</v>
      </c>
      <c r="D20" s="37" t="s">
        <v>497</v>
      </c>
      <c r="E20" s="37" t="s">
        <v>383</v>
      </c>
      <c r="F20" s="37" t="s">
        <v>589</v>
      </c>
      <c r="G20" s="104"/>
      <c r="H20" s="60"/>
    </row>
    <row r="21" spans="1:8" ht="57.6">
      <c r="A21" s="64" t="s">
        <v>294</v>
      </c>
      <c r="B21" s="66" t="s">
        <v>278</v>
      </c>
      <c r="C21" s="67" t="s">
        <v>590</v>
      </c>
      <c r="D21" s="37" t="s">
        <v>497</v>
      </c>
      <c r="E21" s="89" t="s">
        <v>327</v>
      </c>
      <c r="F21" s="37" t="s">
        <v>591</v>
      </c>
      <c r="G21" s="104"/>
      <c r="H21" s="60" t="s">
        <v>592</v>
      </c>
    </row>
    <row r="22" spans="1:8" ht="57.6">
      <c r="A22" s="64" t="s">
        <v>294</v>
      </c>
      <c r="B22" s="66" t="s">
        <v>278</v>
      </c>
      <c r="C22" s="67" t="s">
        <v>593</v>
      </c>
      <c r="D22" s="37" t="s">
        <v>497</v>
      </c>
      <c r="E22" s="37" t="s">
        <v>375</v>
      </c>
      <c r="F22" s="37" t="s">
        <v>594</v>
      </c>
      <c r="G22" s="104"/>
      <c r="H22" s="60"/>
    </row>
    <row r="23" spans="1:8" ht="57.6">
      <c r="A23" s="64" t="s">
        <v>294</v>
      </c>
      <c r="B23" s="66" t="s">
        <v>278</v>
      </c>
      <c r="C23" s="67" t="s">
        <v>595</v>
      </c>
      <c r="D23" s="37" t="s">
        <v>497</v>
      </c>
      <c r="E23" s="89" t="s">
        <v>380</v>
      </c>
      <c r="F23" s="89" t="s">
        <v>596</v>
      </c>
      <c r="G23" s="104"/>
      <c r="H23" s="60"/>
    </row>
    <row r="24" spans="1:8" ht="57.6">
      <c r="A24" s="64" t="s">
        <v>294</v>
      </c>
      <c r="B24" s="66" t="s">
        <v>278</v>
      </c>
      <c r="C24" s="67" t="s">
        <v>597</v>
      </c>
      <c r="D24" s="37" t="s">
        <v>497</v>
      </c>
      <c r="E24" s="37" t="s">
        <v>402</v>
      </c>
      <c r="F24" s="37" t="s">
        <v>598</v>
      </c>
      <c r="G24" s="104"/>
      <c r="H24" s="60"/>
    </row>
    <row r="25" spans="1:8" ht="57.6">
      <c r="A25" s="64" t="s">
        <v>294</v>
      </c>
      <c r="B25" s="66" t="s">
        <v>278</v>
      </c>
      <c r="C25" s="67" t="s">
        <v>599</v>
      </c>
      <c r="D25" s="37" t="s">
        <v>497</v>
      </c>
      <c r="E25" s="37" t="s">
        <v>411</v>
      </c>
      <c r="F25" s="37" t="s">
        <v>600</v>
      </c>
      <c r="G25" s="104"/>
      <c r="H25" s="60"/>
    </row>
    <row r="26" spans="1:8" ht="100.8">
      <c r="A26" s="64" t="s">
        <v>294</v>
      </c>
      <c r="B26" s="66" t="s">
        <v>278</v>
      </c>
      <c r="C26" s="67" t="s">
        <v>601</v>
      </c>
      <c r="D26" s="37" t="s">
        <v>497</v>
      </c>
      <c r="E26" s="37" t="s">
        <v>602</v>
      </c>
      <c r="F26" s="37" t="s">
        <v>603</v>
      </c>
      <c r="G26" s="104"/>
      <c r="H26" s="60" t="s">
        <v>604</v>
      </c>
    </row>
    <row r="27" spans="1:8" ht="57.6">
      <c r="A27" s="64" t="s">
        <v>294</v>
      </c>
      <c r="B27" s="66" t="s">
        <v>278</v>
      </c>
      <c r="C27" s="67" t="s">
        <v>605</v>
      </c>
      <c r="D27" s="37" t="s">
        <v>497</v>
      </c>
      <c r="E27" s="89" t="s">
        <v>389</v>
      </c>
      <c r="F27" s="89" t="s">
        <v>606</v>
      </c>
      <c r="G27" s="104"/>
      <c r="H27" s="60"/>
    </row>
    <row r="28" spans="1:8" ht="57.6">
      <c r="A28" s="64" t="s">
        <v>294</v>
      </c>
      <c r="B28" s="66" t="s">
        <v>278</v>
      </c>
      <c r="C28" s="67" t="s">
        <v>607</v>
      </c>
      <c r="D28" s="37" t="s">
        <v>497</v>
      </c>
      <c r="E28" s="89" t="s">
        <v>338</v>
      </c>
      <c r="F28" s="89" t="s">
        <v>608</v>
      </c>
      <c r="G28" s="104"/>
      <c r="H28" s="60"/>
    </row>
    <row r="29" spans="1:8" ht="57.6">
      <c r="A29" s="64" t="s">
        <v>294</v>
      </c>
      <c r="B29" s="66" t="s">
        <v>278</v>
      </c>
      <c r="C29" s="67" t="s">
        <v>609</v>
      </c>
      <c r="D29" s="37" t="s">
        <v>497</v>
      </c>
      <c r="E29" s="75" t="s">
        <v>310</v>
      </c>
      <c r="F29" s="89" t="s">
        <v>610</v>
      </c>
      <c r="G29" s="104"/>
      <c r="H29" s="60"/>
    </row>
    <row r="30" spans="1:8" ht="57.6">
      <c r="A30" s="64" t="s">
        <v>294</v>
      </c>
      <c r="B30" s="66" t="s">
        <v>278</v>
      </c>
      <c r="C30" s="67" t="s">
        <v>611</v>
      </c>
      <c r="D30" s="37" t="s">
        <v>497</v>
      </c>
      <c r="E30" s="89" t="s">
        <v>438</v>
      </c>
      <c r="F30" s="89" t="s">
        <v>612</v>
      </c>
      <c r="G30" s="104"/>
      <c r="H30" s="60"/>
    </row>
    <row r="31" spans="1:8" ht="57.6">
      <c r="A31" s="64" t="s">
        <v>294</v>
      </c>
      <c r="B31" s="66" t="s">
        <v>278</v>
      </c>
      <c r="C31" s="67" t="s">
        <v>613</v>
      </c>
      <c r="D31" s="37" t="s">
        <v>497</v>
      </c>
      <c r="E31" s="89" t="s">
        <v>357</v>
      </c>
      <c r="F31" s="89" t="s">
        <v>614</v>
      </c>
      <c r="G31" s="104"/>
      <c r="H31" s="60"/>
    </row>
    <row r="32" spans="1:8" ht="57.6">
      <c r="A32" s="64" t="s">
        <v>294</v>
      </c>
      <c r="B32" s="66" t="s">
        <v>278</v>
      </c>
      <c r="C32" s="67" t="s">
        <v>615</v>
      </c>
      <c r="D32" s="37" t="s">
        <v>497</v>
      </c>
      <c r="E32" s="89" t="s">
        <v>396</v>
      </c>
      <c r="F32" s="89" t="s">
        <v>616</v>
      </c>
      <c r="G32" s="104"/>
      <c r="H32" s="60"/>
    </row>
    <row r="33" spans="1:8" ht="57.6">
      <c r="A33" s="64" t="s">
        <v>294</v>
      </c>
      <c r="B33" s="66" t="s">
        <v>278</v>
      </c>
      <c r="C33" s="67" t="s">
        <v>617</v>
      </c>
      <c r="D33" s="37" t="s">
        <v>497</v>
      </c>
      <c r="E33" s="89" t="s">
        <v>392</v>
      </c>
      <c r="F33" s="89" t="s">
        <v>618</v>
      </c>
      <c r="G33" s="104"/>
      <c r="H33" s="60"/>
    </row>
    <row r="34" spans="1:8">
      <c r="A34" s="64" t="s">
        <v>294</v>
      </c>
      <c r="B34" s="66" t="s">
        <v>278</v>
      </c>
      <c r="C34" s="67" t="s">
        <v>619</v>
      </c>
      <c r="D34" s="93"/>
      <c r="E34" s="89"/>
      <c r="F34" s="93" t="s">
        <v>620</v>
      </c>
      <c r="G34" s="104"/>
      <c r="H34" s="60"/>
    </row>
    <row r="35" spans="1:8">
      <c r="A35" s="64" t="s">
        <v>294</v>
      </c>
      <c r="B35" s="66" t="s">
        <v>278</v>
      </c>
      <c r="C35" s="67" t="s">
        <v>621</v>
      </c>
      <c r="D35" s="93"/>
      <c r="E35" s="89"/>
      <c r="F35" s="93" t="s">
        <v>620</v>
      </c>
      <c r="G35" s="104"/>
      <c r="H35" s="60"/>
    </row>
    <row r="36" spans="1:8">
      <c r="A36" s="64" t="s">
        <v>294</v>
      </c>
      <c r="B36" s="66" t="s">
        <v>278</v>
      </c>
      <c r="C36" s="67" t="s">
        <v>622</v>
      </c>
      <c r="D36" s="37" t="s">
        <v>497</v>
      </c>
      <c r="E36" s="89" t="s">
        <v>623</v>
      </c>
      <c r="F36" s="93" t="s">
        <v>624</v>
      </c>
      <c r="G36" s="104"/>
      <c r="H36" s="60"/>
    </row>
    <row r="37" spans="1:8" ht="115.2">
      <c r="A37" s="64" t="s">
        <v>294</v>
      </c>
      <c r="B37" s="66" t="s">
        <v>278</v>
      </c>
      <c r="C37" s="67" t="s">
        <v>625</v>
      </c>
      <c r="D37" s="37" t="s">
        <v>497</v>
      </c>
      <c r="E37" s="89" t="s">
        <v>626</v>
      </c>
      <c r="F37" s="89" t="s">
        <v>627</v>
      </c>
      <c r="G37" s="104"/>
      <c r="H37" s="60"/>
    </row>
    <row r="38" spans="1:8" ht="57.6">
      <c r="A38" s="64" t="s">
        <v>294</v>
      </c>
      <c r="B38" s="66" t="s">
        <v>278</v>
      </c>
      <c r="C38" s="67" t="s">
        <v>628</v>
      </c>
      <c r="D38" s="37" t="s">
        <v>497</v>
      </c>
      <c r="E38" s="89" t="s">
        <v>398</v>
      </c>
      <c r="F38" s="89" t="str">
        <f>"select
"&amp;E38&amp;"
from bi_riesgo.dv_consolidacion_contracargo
where fecha_contracargo &gt;= &lt;fecha_inicio&gt; and fecha_contracargo &lt;= &lt;fecha_fin&gt;"</f>
        <v>select
cod_terminal
from bi_riesgo.dv_consolidacion_contracargo
where fecha_contracargo &gt;= &lt;fecha_inicio&gt; and fecha_contracargo &lt;= &lt;fecha_fin&gt;</v>
      </c>
      <c r="G38" s="104"/>
      <c r="H38" s="60"/>
    </row>
    <row r="39" spans="1:8" ht="57.6">
      <c r="A39" s="64" t="s">
        <v>294</v>
      </c>
      <c r="B39" s="66" t="s">
        <v>278</v>
      </c>
      <c r="C39" s="67" t="s">
        <v>629</v>
      </c>
      <c r="D39" s="37" t="s">
        <v>497</v>
      </c>
      <c r="E39" s="89" t="s">
        <v>400</v>
      </c>
      <c r="F39" s="89" t="str">
        <f t="shared" ref="F39:F47" si="0">"select
"&amp;E39&amp;"
from bi_riesgo.dv_consolidacion_contracargo
where fecha_contracargo &gt;= &lt;fecha_inicio&gt; and fecha_contracargo &lt;= &lt;fecha_fin&gt;"</f>
        <v>select
referencia
from bi_riesgo.dv_consolidacion_contracargo
where fecha_contracargo &gt;= &lt;fecha_inicio&gt; and fecha_contracargo &lt;= &lt;fecha_fin&gt;</v>
      </c>
      <c r="G39" s="104"/>
      <c r="H39" s="60"/>
    </row>
    <row r="40" spans="1:8" ht="86.4">
      <c r="A40" s="64" t="s">
        <v>294</v>
      </c>
      <c r="B40" s="66" t="s">
        <v>278</v>
      </c>
      <c r="C40" s="68" t="s">
        <v>630</v>
      </c>
      <c r="D40" s="37" t="s">
        <v>631</v>
      </c>
      <c r="E40" s="89" t="s">
        <v>632</v>
      </c>
      <c r="F40" s="89" t="s">
        <v>633</v>
      </c>
      <c r="G40" s="104"/>
      <c r="H40" s="60"/>
    </row>
    <row r="41" spans="1:8" ht="57.6">
      <c r="A41" s="64" t="s">
        <v>294</v>
      </c>
      <c r="B41" s="66" t="s">
        <v>278</v>
      </c>
      <c r="C41" s="67" t="s">
        <v>634</v>
      </c>
      <c r="D41" s="37" t="s">
        <v>497</v>
      </c>
      <c r="E41" s="93" t="s">
        <v>324</v>
      </c>
      <c r="F41" s="89" t="str">
        <f t="shared" si="0"/>
        <v>select
cod_funcion
from bi_riesgo.dv_consolidacion_contracargo
where fecha_contracargo &gt;= &lt;fecha_inicio&gt; and fecha_contracargo &lt;= &lt;fecha_fin&gt;</v>
      </c>
      <c r="G41" s="104"/>
      <c r="H41" s="60"/>
    </row>
    <row r="42" spans="1:8" ht="57.6">
      <c r="A42" s="64" t="s">
        <v>294</v>
      </c>
      <c r="B42" s="66" t="s">
        <v>278</v>
      </c>
      <c r="C42" s="67" t="s">
        <v>635</v>
      </c>
      <c r="D42" s="37" t="s">
        <v>497</v>
      </c>
      <c r="E42" s="93" t="s">
        <v>458</v>
      </c>
      <c r="F42" s="89" t="str">
        <f t="shared" si="0"/>
        <v>select
linea_atencion
from bi_riesgo.dv_consolidacion_contracargo
where fecha_contracargo &gt;= &lt;fecha_inicio&gt; and fecha_contracargo &lt;= &lt;fecha_fin&gt;</v>
      </c>
      <c r="G42" s="104"/>
      <c r="H42" s="60"/>
    </row>
    <row r="43" spans="1:8" ht="57.6">
      <c r="A43" s="64" t="s">
        <v>294</v>
      </c>
      <c r="B43" s="66" t="s">
        <v>278</v>
      </c>
      <c r="C43" s="67" t="s">
        <v>636</v>
      </c>
      <c r="D43" s="37" t="s">
        <v>497</v>
      </c>
      <c r="E43" s="93" t="s">
        <v>484</v>
      </c>
      <c r="F43" s="89" t="str">
        <f t="shared" si="0"/>
        <v>select
flag_correo
from bi_riesgo.dv_consolidacion_contracargo
where fecha_contracargo &gt;= &lt;fecha_inicio&gt; and fecha_contracargo &lt;= &lt;fecha_fin&gt;</v>
      </c>
      <c r="G43" s="104"/>
      <c r="H43" s="60"/>
    </row>
    <row r="44" spans="1:8" ht="57.6">
      <c r="A44" s="64" t="s">
        <v>294</v>
      </c>
      <c r="B44" s="66" t="s">
        <v>278</v>
      </c>
      <c r="C44" s="67" t="s">
        <v>637</v>
      </c>
      <c r="D44" s="37" t="s">
        <v>497</v>
      </c>
      <c r="E44" s="93" t="s">
        <v>461</v>
      </c>
      <c r="F44" s="89" t="str">
        <f t="shared" si="0"/>
        <v>select
atencion_tica
from bi_riesgo.dv_consolidacion_contracargo
where fecha_contracargo &gt;= &lt;fecha_inicio&gt; and fecha_contracargo &lt;= &lt;fecha_fin&gt;</v>
      </c>
      <c r="G44" s="104"/>
      <c r="H44" s="60"/>
    </row>
    <row r="45" spans="1:8" ht="57.6">
      <c r="A45" s="64" t="s">
        <v>294</v>
      </c>
      <c r="B45" s="66" t="s">
        <v>278</v>
      </c>
      <c r="C45" s="67" t="s">
        <v>638</v>
      </c>
      <c r="D45" s="37" t="s">
        <v>497</v>
      </c>
      <c r="E45" s="93" t="s">
        <v>463</v>
      </c>
      <c r="F45" s="89" t="str">
        <f t="shared" si="0"/>
        <v>select
atencion_importe
from bi_riesgo.dv_consolidacion_contracargo
where fecha_contracargo &gt;= &lt;fecha_inicio&gt; and fecha_contracargo &lt;= &lt;fecha_fin&gt;</v>
      </c>
      <c r="G45" s="104"/>
      <c r="H45" s="60"/>
    </row>
    <row r="46" spans="1:8" ht="57.6">
      <c r="A46" s="64" t="s">
        <v>294</v>
      </c>
      <c r="B46" s="66" t="s">
        <v>278</v>
      </c>
      <c r="C46" s="67" t="s">
        <v>639</v>
      </c>
      <c r="D46" s="37" t="s">
        <v>497</v>
      </c>
      <c r="E46" s="93" t="s">
        <v>487</v>
      </c>
      <c r="F46" s="89" t="str">
        <f t="shared" si="0"/>
        <v>select
flag_atencion_gestion_datos
from bi_riesgo.dv_consolidacion_contracargo
where fecha_contracargo &gt;= &lt;fecha_inicio&gt; and fecha_contracargo &lt;= &lt;fecha_fin&gt;</v>
      </c>
      <c r="G46" s="104"/>
      <c r="H46" s="60"/>
    </row>
    <row r="47" spans="1:8" ht="57.6">
      <c r="A47" s="64" t="s">
        <v>294</v>
      </c>
      <c r="B47" s="66" t="s">
        <v>278</v>
      </c>
      <c r="C47" s="67" t="s">
        <v>640</v>
      </c>
      <c r="D47" s="37" t="s">
        <v>497</v>
      </c>
      <c r="E47" s="93" t="s">
        <v>444</v>
      </c>
      <c r="F47" s="89" t="str">
        <f t="shared" si="0"/>
        <v>select
orden_cc
from bi_riesgo.dv_consolidacion_contracargo
where fecha_contracargo &gt;= &lt;fecha_inicio&gt; and fecha_contracargo &lt;= &lt;fecha_fin&gt;</v>
      </c>
      <c r="G47" s="104"/>
      <c r="H47" s="60"/>
    </row>
    <row r="48" spans="1:8" ht="57.6">
      <c r="A48" s="64" t="s">
        <v>294</v>
      </c>
      <c r="B48" s="66" t="s">
        <v>278</v>
      </c>
      <c r="C48" s="68" t="s">
        <v>641</v>
      </c>
      <c r="D48" s="37" t="s">
        <v>509</v>
      </c>
      <c r="E48" s="93" t="s">
        <v>465</v>
      </c>
      <c r="F48" s="89" t="s">
        <v>642</v>
      </c>
      <c r="G48" s="104"/>
      <c r="H48" s="60"/>
    </row>
    <row r="49" spans="1:8">
      <c r="A49" s="64" t="s">
        <v>294</v>
      </c>
      <c r="B49" s="66" t="s">
        <v>278</v>
      </c>
      <c r="C49" s="67" t="s">
        <v>490</v>
      </c>
      <c r="D49" s="93"/>
      <c r="E49" s="89"/>
      <c r="F49" s="93" t="s">
        <v>491</v>
      </c>
      <c r="G49" s="104"/>
      <c r="H49" s="60"/>
    </row>
    <row r="50" spans="1:8">
      <c r="A50" s="64" t="s">
        <v>294</v>
      </c>
      <c r="B50" s="66" t="s">
        <v>278</v>
      </c>
      <c r="C50" s="67" t="s">
        <v>64</v>
      </c>
      <c r="D50" s="93"/>
      <c r="E50" s="89"/>
      <c r="F50" s="93" t="s">
        <v>492</v>
      </c>
      <c r="G50" s="104"/>
      <c r="H50" s="60"/>
    </row>
    <row r="51" spans="1:8">
      <c r="A51" s="64" t="s">
        <v>294</v>
      </c>
      <c r="B51" s="66" t="s">
        <v>278</v>
      </c>
      <c r="C51" s="67" t="s">
        <v>493</v>
      </c>
      <c r="D51" s="93"/>
      <c r="E51" s="89"/>
      <c r="F51" s="93" t="s">
        <v>494</v>
      </c>
      <c r="G51" s="105"/>
      <c r="H51" s="60"/>
    </row>
  </sheetData>
  <autoFilter ref="A1:F51" xr:uid="{8A190D11-2D7E-4993-BBC6-4C0C966A758D}"/>
  <mergeCells count="1">
    <mergeCell ref="G2:G51"/>
  </mergeCells>
  <pageMargins left="0.7" right="0.7" top="0.75" bottom="0.75" header="0" footer="0"/>
  <pageSetup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BF5A-E833-4263-BC1E-CE4657F3B3E5}">
  <sheetPr codeName="Hoja9"/>
  <dimension ref="A1:H33"/>
  <sheetViews>
    <sheetView showGridLines="0" topLeftCell="B1" zoomScaleNormal="100" workbookViewId="0">
      <pane ySplit="1" topLeftCell="A2" activePane="bottomLeft" state="frozen"/>
      <selection pane="bottomLeft" activeCell="F8" sqref="F8"/>
    </sheetView>
  </sheetViews>
  <sheetFormatPr baseColWidth="10" defaultColWidth="14.44140625" defaultRowHeight="14.4"/>
  <cols>
    <col min="1" max="1" width="11.5546875" style="57" bestFit="1" customWidth="1"/>
    <col min="2" max="2" width="17.88671875" style="57" bestFit="1" customWidth="1"/>
    <col min="3" max="3" width="18.5546875" style="57" bestFit="1" customWidth="1"/>
    <col min="4" max="4" width="34.33203125" style="57" bestFit="1" customWidth="1"/>
    <col min="5" max="5" width="26.6640625" style="77" bestFit="1" customWidth="1"/>
    <col min="6" max="6" width="84" style="57" bestFit="1" customWidth="1"/>
    <col min="7" max="7" width="45.5546875" style="57" bestFit="1" customWidth="1"/>
    <col min="8" max="8" width="42.109375" style="88" customWidth="1"/>
    <col min="9" max="11" width="8.6640625" style="57" customWidth="1"/>
    <col min="12" max="16384" width="14.44140625" style="57"/>
  </cols>
  <sheetData>
    <row r="1" spans="1:8">
      <c r="A1" s="35" t="s">
        <v>287</v>
      </c>
      <c r="B1" s="56" t="s">
        <v>288</v>
      </c>
      <c r="C1" s="35" t="s">
        <v>289</v>
      </c>
      <c r="D1" s="35" t="s">
        <v>290</v>
      </c>
      <c r="E1" s="36" t="s">
        <v>291</v>
      </c>
      <c r="F1" s="78" t="s">
        <v>292</v>
      </c>
      <c r="G1" s="78" t="s">
        <v>292</v>
      </c>
      <c r="H1" s="87" t="s">
        <v>292</v>
      </c>
    </row>
    <row r="2" spans="1:8" ht="14.4" customHeight="1">
      <c r="A2" s="64" t="s">
        <v>294</v>
      </c>
      <c r="B2" s="66" t="s">
        <v>281</v>
      </c>
      <c r="C2" s="67" t="s">
        <v>45</v>
      </c>
      <c r="D2" s="37"/>
      <c r="E2" s="89"/>
      <c r="F2" s="79" t="s">
        <v>495</v>
      </c>
      <c r="G2" s="103" t="s">
        <v>643</v>
      </c>
      <c r="H2" s="60"/>
    </row>
    <row r="3" spans="1:8" ht="43.2">
      <c r="A3" s="64" t="s">
        <v>294</v>
      </c>
      <c r="B3" s="66" t="s">
        <v>281</v>
      </c>
      <c r="C3" s="80" t="s">
        <v>644</v>
      </c>
      <c r="D3" s="37" t="s">
        <v>497</v>
      </c>
      <c r="E3" s="37" t="s">
        <v>345</v>
      </c>
      <c r="F3" s="37" t="s">
        <v>645</v>
      </c>
      <c r="G3" s="104"/>
      <c r="H3" s="60"/>
    </row>
    <row r="4" spans="1:8" ht="100.8">
      <c r="A4" s="64" t="s">
        <v>294</v>
      </c>
      <c r="B4" s="66" t="s">
        <v>281</v>
      </c>
      <c r="C4" s="80" t="s">
        <v>646</v>
      </c>
      <c r="D4" s="37" t="s">
        <v>497</v>
      </c>
      <c r="E4" s="89" t="s">
        <v>327</v>
      </c>
      <c r="F4" s="37" t="s">
        <v>647</v>
      </c>
      <c r="G4" s="104"/>
      <c r="H4" s="60" t="s">
        <v>592</v>
      </c>
    </row>
    <row r="5" spans="1:8" ht="43.2">
      <c r="A5" s="64" t="s">
        <v>294</v>
      </c>
      <c r="B5" s="66" t="s">
        <v>281</v>
      </c>
      <c r="C5" s="80" t="s">
        <v>648</v>
      </c>
      <c r="D5" s="37" t="s">
        <v>497</v>
      </c>
      <c r="E5" s="89" t="s">
        <v>348</v>
      </c>
      <c r="F5" s="37" t="s">
        <v>649</v>
      </c>
      <c r="G5" s="104"/>
      <c r="H5" s="60"/>
    </row>
    <row r="6" spans="1:8" ht="43.2">
      <c r="A6" s="64" t="s">
        <v>294</v>
      </c>
      <c r="B6" s="66" t="s">
        <v>281</v>
      </c>
      <c r="C6" s="80" t="s">
        <v>650</v>
      </c>
      <c r="D6" s="37" t="s">
        <v>497</v>
      </c>
      <c r="E6" s="37" t="s">
        <v>383</v>
      </c>
      <c r="F6" s="37" t="s">
        <v>651</v>
      </c>
      <c r="G6" s="104"/>
      <c r="H6" s="60"/>
    </row>
    <row r="7" spans="1:8" ht="43.2">
      <c r="A7" s="64" t="s">
        <v>294</v>
      </c>
      <c r="B7" s="66" t="s">
        <v>281</v>
      </c>
      <c r="C7" s="80" t="s">
        <v>652</v>
      </c>
      <c r="D7" s="37" t="s">
        <v>497</v>
      </c>
      <c r="E7" s="89" t="s">
        <v>386</v>
      </c>
      <c r="F7" s="76" t="s">
        <v>653</v>
      </c>
      <c r="G7" s="104"/>
      <c r="H7" s="60"/>
    </row>
    <row r="8" spans="1:8" ht="43.2">
      <c r="A8" s="64" t="s">
        <v>294</v>
      </c>
      <c r="B8" s="66" t="s">
        <v>281</v>
      </c>
      <c r="C8" s="80" t="s">
        <v>654</v>
      </c>
      <c r="D8" s="37" t="s">
        <v>497</v>
      </c>
      <c r="E8" s="89" t="s">
        <v>375</v>
      </c>
      <c r="F8" s="37" t="s">
        <v>655</v>
      </c>
      <c r="G8" s="104"/>
      <c r="H8" s="60"/>
    </row>
    <row r="9" spans="1:8" ht="43.2">
      <c r="A9" s="64" t="s">
        <v>294</v>
      </c>
      <c r="B9" s="66" t="s">
        <v>281</v>
      </c>
      <c r="C9" s="80" t="s">
        <v>656</v>
      </c>
      <c r="D9" s="37" t="s">
        <v>497</v>
      </c>
      <c r="E9" s="89" t="s">
        <v>338</v>
      </c>
      <c r="F9" s="37" t="s">
        <v>657</v>
      </c>
      <c r="G9" s="104"/>
      <c r="H9" s="60"/>
    </row>
    <row r="10" spans="1:8" ht="43.2">
      <c r="A10" s="64" t="s">
        <v>294</v>
      </c>
      <c r="B10" s="66" t="s">
        <v>281</v>
      </c>
      <c r="C10" s="80" t="s">
        <v>658</v>
      </c>
      <c r="D10" s="37" t="s">
        <v>497</v>
      </c>
      <c r="E10" s="89" t="s">
        <v>438</v>
      </c>
      <c r="F10" s="37" t="s">
        <v>659</v>
      </c>
      <c r="G10" s="104"/>
      <c r="H10" s="60"/>
    </row>
    <row r="11" spans="1:8" ht="43.2">
      <c r="A11" s="64" t="s">
        <v>294</v>
      </c>
      <c r="B11" s="66" t="s">
        <v>281</v>
      </c>
      <c r="C11" s="80" t="s">
        <v>615</v>
      </c>
      <c r="D11" s="37" t="s">
        <v>497</v>
      </c>
      <c r="E11" s="89" t="s">
        <v>396</v>
      </c>
      <c r="F11" s="37" t="s">
        <v>660</v>
      </c>
      <c r="G11" s="104"/>
      <c r="H11" s="60"/>
    </row>
    <row r="12" spans="1:8" ht="43.2">
      <c r="A12" s="64" t="s">
        <v>294</v>
      </c>
      <c r="B12" s="66" t="s">
        <v>281</v>
      </c>
      <c r="C12" s="80" t="s">
        <v>629</v>
      </c>
      <c r="D12" s="37" t="s">
        <v>497</v>
      </c>
      <c r="E12" s="37" t="s">
        <v>400</v>
      </c>
      <c r="F12" s="37" t="s">
        <v>661</v>
      </c>
      <c r="G12" s="104"/>
      <c r="H12" s="60"/>
    </row>
    <row r="13" spans="1:8" ht="43.2">
      <c r="A13" s="64" t="s">
        <v>294</v>
      </c>
      <c r="B13" s="66" t="s">
        <v>281</v>
      </c>
      <c r="C13" s="80" t="s">
        <v>662</v>
      </c>
      <c r="D13" s="37" t="s">
        <v>497</v>
      </c>
      <c r="E13" s="37" t="s">
        <v>411</v>
      </c>
      <c r="F13" s="37" t="s">
        <v>663</v>
      </c>
      <c r="G13" s="104"/>
      <c r="H13" s="60"/>
    </row>
    <row r="14" spans="1:8" ht="86.4">
      <c r="A14" s="64" t="s">
        <v>294</v>
      </c>
      <c r="B14" s="66" t="s">
        <v>281</v>
      </c>
      <c r="C14" s="95" t="s">
        <v>664</v>
      </c>
      <c r="D14" s="37" t="s">
        <v>509</v>
      </c>
      <c r="E14" s="89" t="s">
        <v>421</v>
      </c>
      <c r="F14" s="89" t="s">
        <v>665</v>
      </c>
      <c r="G14" s="104"/>
      <c r="H14" s="60"/>
    </row>
    <row r="15" spans="1:8" ht="43.2">
      <c r="A15" s="64" t="s">
        <v>294</v>
      </c>
      <c r="B15" s="66" t="s">
        <v>281</v>
      </c>
      <c r="C15" s="80" t="s">
        <v>666</v>
      </c>
      <c r="D15" s="37" t="s">
        <v>497</v>
      </c>
      <c r="E15" s="89" t="s">
        <v>667</v>
      </c>
      <c r="F15" s="37" t="s">
        <v>668</v>
      </c>
      <c r="G15" s="104"/>
      <c r="H15" s="60"/>
    </row>
    <row r="16" spans="1:8" ht="43.2">
      <c r="A16" s="64" t="s">
        <v>294</v>
      </c>
      <c r="B16" s="66" t="s">
        <v>281</v>
      </c>
      <c r="C16" s="80" t="s">
        <v>669</v>
      </c>
      <c r="D16" s="37" t="s">
        <v>497</v>
      </c>
      <c r="E16" s="37" t="s">
        <v>332</v>
      </c>
      <c r="F16" s="37" t="s">
        <v>670</v>
      </c>
      <c r="G16" s="104"/>
      <c r="H16" s="60"/>
    </row>
    <row r="17" spans="1:8" ht="43.2">
      <c r="A17" s="64" t="s">
        <v>294</v>
      </c>
      <c r="B17" s="66" t="s">
        <v>281</v>
      </c>
      <c r="C17" s="80" t="s">
        <v>671</v>
      </c>
      <c r="D17" s="37" t="s">
        <v>497</v>
      </c>
      <c r="E17" s="37" t="s">
        <v>335</v>
      </c>
      <c r="F17" s="37" t="s">
        <v>672</v>
      </c>
      <c r="G17" s="104"/>
      <c r="H17" s="60"/>
    </row>
    <row r="18" spans="1:8" ht="43.2">
      <c r="A18" s="64" t="s">
        <v>294</v>
      </c>
      <c r="B18" s="66" t="s">
        <v>281</v>
      </c>
      <c r="C18" s="80" t="s">
        <v>673</v>
      </c>
      <c r="D18" s="37" t="s">
        <v>497</v>
      </c>
      <c r="E18" s="37" t="s">
        <v>342</v>
      </c>
      <c r="F18" s="37" t="s">
        <v>674</v>
      </c>
      <c r="G18" s="104"/>
      <c r="H18" s="60"/>
    </row>
    <row r="19" spans="1:8" ht="43.2">
      <c r="A19" s="64" t="s">
        <v>294</v>
      </c>
      <c r="B19" s="66" t="s">
        <v>281</v>
      </c>
      <c r="C19" s="80" t="s">
        <v>675</v>
      </c>
      <c r="D19" s="37" t="s">
        <v>497</v>
      </c>
      <c r="E19" s="89" t="s">
        <v>314</v>
      </c>
      <c r="F19" s="37" t="s">
        <v>676</v>
      </c>
      <c r="G19" s="104"/>
      <c r="H19" s="60"/>
    </row>
    <row r="20" spans="1:8" ht="43.2">
      <c r="A20" s="64" t="s">
        <v>294</v>
      </c>
      <c r="B20" s="66" t="s">
        <v>281</v>
      </c>
      <c r="C20" s="80" t="s">
        <v>617</v>
      </c>
      <c r="D20" s="37" t="s">
        <v>497</v>
      </c>
      <c r="E20" s="89" t="s">
        <v>392</v>
      </c>
      <c r="F20" s="37" t="s">
        <v>677</v>
      </c>
      <c r="G20" s="104"/>
      <c r="H20" s="60"/>
    </row>
    <row r="21" spans="1:8" ht="43.2">
      <c r="A21" s="64" t="s">
        <v>294</v>
      </c>
      <c r="B21" s="66" t="s">
        <v>281</v>
      </c>
      <c r="C21" s="80" t="s">
        <v>678</v>
      </c>
      <c r="D21" s="37" t="s">
        <v>497</v>
      </c>
      <c r="E21" s="37" t="s">
        <v>679</v>
      </c>
      <c r="F21" s="37" t="s">
        <v>680</v>
      </c>
      <c r="G21" s="104"/>
      <c r="H21" s="60"/>
    </row>
    <row r="22" spans="1:8" ht="43.2">
      <c r="A22" s="64" t="s">
        <v>294</v>
      </c>
      <c r="B22" s="66" t="s">
        <v>281</v>
      </c>
      <c r="C22" s="80" t="s">
        <v>640</v>
      </c>
      <c r="D22" s="37" t="s">
        <v>497</v>
      </c>
      <c r="E22" s="89" t="s">
        <v>444</v>
      </c>
      <c r="F22" s="89" t="s">
        <v>681</v>
      </c>
      <c r="G22" s="104"/>
      <c r="H22" s="60"/>
    </row>
    <row r="23" spans="1:8" ht="43.2">
      <c r="A23" s="64" t="s">
        <v>294</v>
      </c>
      <c r="B23" s="66" t="s">
        <v>281</v>
      </c>
      <c r="C23" s="80" t="s">
        <v>628</v>
      </c>
      <c r="D23" s="37" t="s">
        <v>497</v>
      </c>
      <c r="E23" s="37" t="s">
        <v>398</v>
      </c>
      <c r="F23" s="37" t="s">
        <v>682</v>
      </c>
      <c r="G23" s="104"/>
      <c r="H23" s="60"/>
    </row>
    <row r="24" spans="1:8" ht="129.6">
      <c r="A24" s="64" t="s">
        <v>294</v>
      </c>
      <c r="B24" s="66" t="s">
        <v>281</v>
      </c>
      <c r="C24" s="80" t="s">
        <v>683</v>
      </c>
      <c r="D24" s="37" t="s">
        <v>497</v>
      </c>
      <c r="E24" s="37" t="s">
        <v>684</v>
      </c>
      <c r="F24" s="37" t="s">
        <v>685</v>
      </c>
      <c r="G24" s="104"/>
      <c r="H24" s="60"/>
    </row>
    <row r="25" spans="1:8" ht="43.2">
      <c r="A25" s="64" t="s">
        <v>294</v>
      </c>
      <c r="B25" s="66" t="s">
        <v>281</v>
      </c>
      <c r="C25" s="80" t="s">
        <v>686</v>
      </c>
      <c r="D25" s="37" t="s">
        <v>497</v>
      </c>
      <c r="E25" s="37" t="s">
        <v>686</v>
      </c>
      <c r="F25" s="37" t="s">
        <v>687</v>
      </c>
      <c r="G25" s="104"/>
      <c r="H25" s="60"/>
    </row>
    <row r="26" spans="1:8" ht="86.4">
      <c r="A26" s="64" t="s">
        <v>294</v>
      </c>
      <c r="B26" s="66" t="s">
        <v>281</v>
      </c>
      <c r="C26" s="81" t="s">
        <v>688</v>
      </c>
      <c r="D26" s="37" t="s">
        <v>497</v>
      </c>
      <c r="E26" s="93" t="s">
        <v>465</v>
      </c>
      <c r="F26" s="89" t="s">
        <v>689</v>
      </c>
      <c r="G26" s="104"/>
      <c r="H26" s="60"/>
    </row>
    <row r="27" spans="1:8" ht="43.2">
      <c r="A27" s="64" t="s">
        <v>294</v>
      </c>
      <c r="B27" s="66" t="s">
        <v>281</v>
      </c>
      <c r="C27" s="80" t="s">
        <v>635</v>
      </c>
      <c r="D27" s="37" t="s">
        <v>497</v>
      </c>
      <c r="E27" s="89" t="s">
        <v>635</v>
      </c>
      <c r="F27" s="89" t="s">
        <v>690</v>
      </c>
      <c r="G27" s="104"/>
      <c r="H27" s="60"/>
    </row>
    <row r="28" spans="1:8" ht="86.4">
      <c r="A28" s="64" t="s">
        <v>294</v>
      </c>
      <c r="B28" s="66" t="s">
        <v>281</v>
      </c>
      <c r="C28" s="81" t="s">
        <v>691</v>
      </c>
      <c r="D28" s="37" t="s">
        <v>509</v>
      </c>
      <c r="E28" s="89" t="s">
        <v>691</v>
      </c>
      <c r="F28" s="89" t="s">
        <v>692</v>
      </c>
      <c r="G28" s="104"/>
      <c r="H28" s="60"/>
    </row>
    <row r="29" spans="1:8" ht="43.2">
      <c r="A29" s="64" t="s">
        <v>294</v>
      </c>
      <c r="B29" s="66" t="s">
        <v>281</v>
      </c>
      <c r="C29" s="80" t="s">
        <v>636</v>
      </c>
      <c r="D29" s="37" t="s">
        <v>497</v>
      </c>
      <c r="E29" s="89" t="s">
        <v>636</v>
      </c>
      <c r="F29" s="89" t="s">
        <v>693</v>
      </c>
      <c r="G29" s="104"/>
      <c r="H29" s="60"/>
    </row>
    <row r="30" spans="1:8" ht="57.6">
      <c r="A30" s="64" t="s">
        <v>294</v>
      </c>
      <c r="B30" s="66" t="s">
        <v>281</v>
      </c>
      <c r="C30" s="81" t="s">
        <v>630</v>
      </c>
      <c r="D30" s="37" t="s">
        <v>497</v>
      </c>
      <c r="E30" s="89" t="s">
        <v>694</v>
      </c>
      <c r="F30" s="89" t="s">
        <v>695</v>
      </c>
      <c r="G30" s="104"/>
      <c r="H30" s="60"/>
    </row>
    <row r="31" spans="1:8">
      <c r="A31" s="64" t="s">
        <v>294</v>
      </c>
      <c r="B31" s="66" t="s">
        <v>281</v>
      </c>
      <c r="C31" s="67" t="s">
        <v>490</v>
      </c>
      <c r="D31" s="93"/>
      <c r="E31" s="89"/>
      <c r="F31" s="93" t="s">
        <v>491</v>
      </c>
      <c r="G31" s="104"/>
      <c r="H31" s="60"/>
    </row>
    <row r="32" spans="1:8">
      <c r="A32" s="64" t="s">
        <v>294</v>
      </c>
      <c r="B32" s="66" t="s">
        <v>281</v>
      </c>
      <c r="C32" s="67" t="s">
        <v>64</v>
      </c>
      <c r="D32" s="93"/>
      <c r="E32" s="89"/>
      <c r="F32" s="93" t="s">
        <v>492</v>
      </c>
      <c r="G32" s="104"/>
      <c r="H32" s="60"/>
    </row>
    <row r="33" spans="1:8">
      <c r="A33" s="64" t="s">
        <v>294</v>
      </c>
      <c r="B33" s="66" t="s">
        <v>281</v>
      </c>
      <c r="C33" s="67" t="s">
        <v>493</v>
      </c>
      <c r="D33" s="93"/>
      <c r="E33" s="89"/>
      <c r="F33" s="93" t="s">
        <v>494</v>
      </c>
      <c r="G33" s="105"/>
      <c r="H33" s="60"/>
    </row>
  </sheetData>
  <autoFilter ref="A1:H33" xr:uid="{935BBF5A-E833-4263-BC1E-CE4657F3B3E5}"/>
  <mergeCells count="1">
    <mergeCell ref="G2:G33"/>
  </mergeCells>
  <pageMargins left="0.7" right="0.7" top="0.75" bottom="0.75" header="0" footer="0"/>
  <pageSetup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8E8FA-98DB-4213-AB7D-7F7A3C0F5A25}">
  <sheetPr codeName="Hoja10"/>
  <dimension ref="A1:H33"/>
  <sheetViews>
    <sheetView showGridLines="0" zoomScale="85" zoomScaleNormal="85" workbookViewId="0">
      <pane ySplit="1" topLeftCell="A2" activePane="bottomLeft" state="frozen"/>
      <selection pane="bottomLeft"/>
    </sheetView>
  </sheetViews>
  <sheetFormatPr baseColWidth="10" defaultColWidth="14.44140625" defaultRowHeight="14.4"/>
  <cols>
    <col min="1" max="1" width="11.5546875" style="57" bestFit="1" customWidth="1"/>
    <col min="2" max="2" width="28.6640625" style="57" bestFit="1" customWidth="1"/>
    <col min="3" max="3" width="26.88671875" style="57" bestFit="1" customWidth="1"/>
    <col min="4" max="4" width="36.33203125" style="57" customWidth="1"/>
    <col min="5" max="5" width="36.6640625" style="77" bestFit="1" customWidth="1"/>
    <col min="6" max="6" width="139.6640625" style="57" customWidth="1"/>
    <col min="7" max="8" width="65.33203125" style="57" customWidth="1"/>
    <col min="9" max="11" width="8.6640625" style="57" customWidth="1"/>
    <col min="12" max="16384" width="14.44140625" style="57"/>
  </cols>
  <sheetData>
    <row r="1" spans="1:8">
      <c r="A1" s="35" t="s">
        <v>287</v>
      </c>
      <c r="B1" s="56" t="s">
        <v>288</v>
      </c>
      <c r="C1" s="35" t="s">
        <v>289</v>
      </c>
      <c r="D1" s="35" t="s">
        <v>290</v>
      </c>
      <c r="E1" s="36" t="s">
        <v>291</v>
      </c>
      <c r="F1" s="78" t="s">
        <v>292</v>
      </c>
      <c r="G1" s="78" t="s">
        <v>292</v>
      </c>
      <c r="H1" s="78" t="s">
        <v>293</v>
      </c>
    </row>
    <row r="2" spans="1:8" ht="14.4" customHeight="1">
      <c r="A2" s="64" t="s">
        <v>294</v>
      </c>
      <c r="B2" s="66" t="s">
        <v>284</v>
      </c>
      <c r="C2" s="67" t="s">
        <v>45</v>
      </c>
      <c r="D2" s="37"/>
      <c r="E2" s="89"/>
      <c r="F2" s="79" t="s">
        <v>495</v>
      </c>
      <c r="G2" s="103" t="s">
        <v>696</v>
      </c>
      <c r="H2" s="60" t="s">
        <v>696</v>
      </c>
    </row>
    <row r="3" spans="1:8" ht="244.8">
      <c r="A3" s="64" t="s">
        <v>294</v>
      </c>
      <c r="B3" s="66" t="s">
        <v>284</v>
      </c>
      <c r="C3" s="80" t="s">
        <v>644</v>
      </c>
      <c r="D3" s="37" t="s">
        <v>497</v>
      </c>
      <c r="E3" s="37" t="s">
        <v>345</v>
      </c>
      <c r="F3" s="37" t="s">
        <v>697</v>
      </c>
      <c r="G3" s="104"/>
      <c r="H3" s="60"/>
    </row>
    <row r="4" spans="1:8" ht="273.60000000000002">
      <c r="A4" s="64" t="s">
        <v>294</v>
      </c>
      <c r="B4" s="66" t="s">
        <v>284</v>
      </c>
      <c r="C4" s="80" t="s">
        <v>646</v>
      </c>
      <c r="D4" s="37" t="s">
        <v>497</v>
      </c>
      <c r="E4" s="89" t="s">
        <v>327</v>
      </c>
      <c r="F4" s="37" t="s">
        <v>698</v>
      </c>
      <c r="G4" s="104"/>
      <c r="H4" s="60" t="s">
        <v>309</v>
      </c>
    </row>
    <row r="5" spans="1:8" ht="230.4">
      <c r="A5" s="64" t="s">
        <v>294</v>
      </c>
      <c r="B5" s="66" t="s">
        <v>284</v>
      </c>
      <c r="C5" s="80" t="s">
        <v>648</v>
      </c>
      <c r="D5" s="37" t="s">
        <v>497</v>
      </c>
      <c r="E5" s="89" t="s">
        <v>348</v>
      </c>
      <c r="F5" s="37" t="s">
        <v>699</v>
      </c>
      <c r="G5" s="104"/>
      <c r="H5" s="60"/>
    </row>
    <row r="6" spans="1:8" ht="230.4">
      <c r="A6" s="64" t="s">
        <v>294</v>
      </c>
      <c r="B6" s="66" t="s">
        <v>284</v>
      </c>
      <c r="C6" s="80" t="s">
        <v>650</v>
      </c>
      <c r="D6" s="37" t="s">
        <v>497</v>
      </c>
      <c r="E6" s="37" t="s">
        <v>383</v>
      </c>
      <c r="F6" s="37" t="s">
        <v>700</v>
      </c>
      <c r="G6" s="104"/>
      <c r="H6" s="60"/>
    </row>
    <row r="7" spans="1:8" ht="230.4">
      <c r="A7" s="64" t="s">
        <v>294</v>
      </c>
      <c r="B7" s="66" t="s">
        <v>284</v>
      </c>
      <c r="C7" s="80" t="s">
        <v>652</v>
      </c>
      <c r="D7" s="37" t="s">
        <v>497</v>
      </c>
      <c r="E7" s="89" t="s">
        <v>386</v>
      </c>
      <c r="F7" s="76" t="s">
        <v>701</v>
      </c>
      <c r="G7" s="104"/>
      <c r="H7" s="60"/>
    </row>
    <row r="8" spans="1:8" ht="230.4">
      <c r="A8" s="64" t="s">
        <v>294</v>
      </c>
      <c r="B8" s="66" t="s">
        <v>284</v>
      </c>
      <c r="C8" s="80" t="s">
        <v>654</v>
      </c>
      <c r="D8" s="37" t="s">
        <v>497</v>
      </c>
      <c r="E8" s="89" t="s">
        <v>375</v>
      </c>
      <c r="F8" s="37" t="s">
        <v>702</v>
      </c>
      <c r="G8" s="104"/>
      <c r="H8" s="60"/>
    </row>
    <row r="9" spans="1:8" ht="230.4">
      <c r="A9" s="64" t="s">
        <v>294</v>
      </c>
      <c r="B9" s="66" t="s">
        <v>284</v>
      </c>
      <c r="C9" s="80" t="s">
        <v>656</v>
      </c>
      <c r="D9" s="37" t="s">
        <v>497</v>
      </c>
      <c r="E9" s="89" t="s">
        <v>338</v>
      </c>
      <c r="F9" s="37" t="s">
        <v>703</v>
      </c>
      <c r="G9" s="104"/>
      <c r="H9" s="60"/>
    </row>
    <row r="10" spans="1:8" ht="230.4">
      <c r="A10" s="64" t="s">
        <v>294</v>
      </c>
      <c r="B10" s="66" t="s">
        <v>284</v>
      </c>
      <c r="C10" s="80" t="s">
        <v>658</v>
      </c>
      <c r="D10" s="37" t="s">
        <v>497</v>
      </c>
      <c r="E10" s="89" t="s">
        <v>438</v>
      </c>
      <c r="F10" s="37" t="s">
        <v>704</v>
      </c>
      <c r="G10" s="104"/>
      <c r="H10" s="60"/>
    </row>
    <row r="11" spans="1:8" ht="230.4">
      <c r="A11" s="64" t="s">
        <v>294</v>
      </c>
      <c r="B11" s="66" t="s">
        <v>284</v>
      </c>
      <c r="C11" s="80" t="s">
        <v>615</v>
      </c>
      <c r="D11" s="37" t="s">
        <v>497</v>
      </c>
      <c r="E11" s="89" t="s">
        <v>396</v>
      </c>
      <c r="F11" s="37" t="s">
        <v>705</v>
      </c>
      <c r="G11" s="104"/>
      <c r="H11" s="60"/>
    </row>
    <row r="12" spans="1:8" ht="230.4">
      <c r="A12" s="64" t="s">
        <v>294</v>
      </c>
      <c r="B12" s="66" t="s">
        <v>284</v>
      </c>
      <c r="C12" s="80" t="s">
        <v>629</v>
      </c>
      <c r="D12" s="37" t="s">
        <v>497</v>
      </c>
      <c r="E12" s="37" t="s">
        <v>400</v>
      </c>
      <c r="F12" s="37" t="s">
        <v>706</v>
      </c>
      <c r="G12" s="104"/>
      <c r="H12" s="60"/>
    </row>
    <row r="13" spans="1:8" ht="230.4">
      <c r="A13" s="64" t="s">
        <v>294</v>
      </c>
      <c r="B13" s="66" t="s">
        <v>284</v>
      </c>
      <c r="C13" s="80" t="s">
        <v>662</v>
      </c>
      <c r="D13" s="37" t="s">
        <v>497</v>
      </c>
      <c r="E13" s="37" t="s">
        <v>411</v>
      </c>
      <c r="F13" s="37" t="s">
        <v>707</v>
      </c>
      <c r="G13" s="104"/>
      <c r="H13" s="60"/>
    </row>
    <row r="14" spans="1:8" ht="244.8">
      <c r="A14" s="82" t="s">
        <v>294</v>
      </c>
      <c r="B14" s="83" t="s">
        <v>284</v>
      </c>
      <c r="C14" s="81" t="s">
        <v>664</v>
      </c>
      <c r="D14" s="52" t="s">
        <v>509</v>
      </c>
      <c r="E14" s="96" t="s">
        <v>421</v>
      </c>
      <c r="F14" s="96" t="s">
        <v>708</v>
      </c>
      <c r="G14" s="104"/>
      <c r="H14" s="60"/>
    </row>
    <row r="15" spans="1:8" ht="230.4">
      <c r="A15" s="64" t="s">
        <v>294</v>
      </c>
      <c r="B15" s="66" t="s">
        <v>284</v>
      </c>
      <c r="C15" s="80" t="s">
        <v>666</v>
      </c>
      <c r="D15" s="37" t="s">
        <v>497</v>
      </c>
      <c r="E15" s="89" t="s">
        <v>667</v>
      </c>
      <c r="F15" s="37" t="s">
        <v>709</v>
      </c>
      <c r="G15" s="104"/>
      <c r="H15" s="60"/>
    </row>
    <row r="16" spans="1:8" ht="230.4">
      <c r="A16" s="64" t="s">
        <v>294</v>
      </c>
      <c r="B16" s="66" t="s">
        <v>284</v>
      </c>
      <c r="C16" s="80" t="s">
        <v>669</v>
      </c>
      <c r="D16" s="37" t="s">
        <v>497</v>
      </c>
      <c r="E16" s="37" t="s">
        <v>332</v>
      </c>
      <c r="F16" s="37" t="s">
        <v>710</v>
      </c>
      <c r="G16" s="104"/>
      <c r="H16" s="60"/>
    </row>
    <row r="17" spans="1:8" ht="230.4">
      <c r="A17" s="64" t="s">
        <v>294</v>
      </c>
      <c r="B17" s="66" t="s">
        <v>284</v>
      </c>
      <c r="C17" s="80" t="s">
        <v>671</v>
      </c>
      <c r="D17" s="37" t="s">
        <v>497</v>
      </c>
      <c r="E17" s="37" t="s">
        <v>335</v>
      </c>
      <c r="F17" s="37" t="s">
        <v>711</v>
      </c>
      <c r="G17" s="104"/>
      <c r="H17" s="60"/>
    </row>
    <row r="18" spans="1:8" ht="230.4">
      <c r="A18" s="64" t="s">
        <v>294</v>
      </c>
      <c r="B18" s="66" t="s">
        <v>284</v>
      </c>
      <c r="C18" s="80" t="s">
        <v>673</v>
      </c>
      <c r="D18" s="37" t="s">
        <v>497</v>
      </c>
      <c r="E18" s="37" t="s">
        <v>342</v>
      </c>
      <c r="F18" s="37" t="s">
        <v>712</v>
      </c>
      <c r="G18" s="104"/>
      <c r="H18" s="60"/>
    </row>
    <row r="19" spans="1:8" ht="230.4">
      <c r="A19" s="64" t="s">
        <v>294</v>
      </c>
      <c r="B19" s="66" t="s">
        <v>284</v>
      </c>
      <c r="C19" s="80" t="s">
        <v>675</v>
      </c>
      <c r="D19" s="37" t="s">
        <v>497</v>
      </c>
      <c r="E19" s="89" t="s">
        <v>314</v>
      </c>
      <c r="F19" s="37" t="s">
        <v>713</v>
      </c>
      <c r="G19" s="104"/>
      <c r="H19" s="60"/>
    </row>
    <row r="20" spans="1:8" ht="230.4">
      <c r="A20" s="64" t="s">
        <v>294</v>
      </c>
      <c r="B20" s="66" t="s">
        <v>284</v>
      </c>
      <c r="C20" s="80" t="s">
        <v>617</v>
      </c>
      <c r="D20" s="37" t="s">
        <v>497</v>
      </c>
      <c r="E20" s="89" t="s">
        <v>392</v>
      </c>
      <c r="F20" s="37" t="s">
        <v>714</v>
      </c>
      <c r="G20" s="104"/>
      <c r="H20" s="60"/>
    </row>
    <row r="21" spans="1:8" ht="230.4">
      <c r="A21" s="64" t="s">
        <v>294</v>
      </c>
      <c r="B21" s="66" t="s">
        <v>284</v>
      </c>
      <c r="C21" s="80" t="s">
        <v>678</v>
      </c>
      <c r="D21" s="37" t="s">
        <v>497</v>
      </c>
      <c r="E21" s="37" t="s">
        <v>679</v>
      </c>
      <c r="F21" s="37" t="s">
        <v>715</v>
      </c>
      <c r="G21" s="104"/>
      <c r="H21" s="60"/>
    </row>
    <row r="22" spans="1:8" ht="230.4">
      <c r="A22" s="64" t="s">
        <v>294</v>
      </c>
      <c r="B22" s="66" t="s">
        <v>284</v>
      </c>
      <c r="C22" s="80" t="s">
        <v>640</v>
      </c>
      <c r="D22" s="37" t="s">
        <v>497</v>
      </c>
      <c r="E22" s="89" t="s">
        <v>444</v>
      </c>
      <c r="F22" s="89" t="s">
        <v>716</v>
      </c>
      <c r="G22" s="104"/>
      <c r="H22" s="60"/>
    </row>
    <row r="23" spans="1:8" ht="230.4">
      <c r="A23" s="64" t="s">
        <v>294</v>
      </c>
      <c r="B23" s="66" t="s">
        <v>284</v>
      </c>
      <c r="C23" s="80" t="s">
        <v>628</v>
      </c>
      <c r="D23" s="37" t="s">
        <v>497</v>
      </c>
      <c r="E23" s="37" t="s">
        <v>398</v>
      </c>
      <c r="F23" s="37" t="s">
        <v>717</v>
      </c>
      <c r="G23" s="104"/>
      <c r="H23" s="60"/>
    </row>
    <row r="24" spans="1:8" ht="302.39999999999998">
      <c r="A24" s="64" t="s">
        <v>294</v>
      </c>
      <c r="B24" s="66" t="s">
        <v>284</v>
      </c>
      <c r="C24" s="80" t="s">
        <v>683</v>
      </c>
      <c r="D24" s="37" t="s">
        <v>497</v>
      </c>
      <c r="E24" s="37" t="s">
        <v>684</v>
      </c>
      <c r="F24" s="37" t="s">
        <v>718</v>
      </c>
      <c r="G24" s="104"/>
      <c r="H24" s="60"/>
    </row>
    <row r="25" spans="1:8" ht="230.4">
      <c r="A25" s="64" t="s">
        <v>294</v>
      </c>
      <c r="B25" s="66" t="s">
        <v>284</v>
      </c>
      <c r="C25" s="80" t="s">
        <v>686</v>
      </c>
      <c r="D25" s="37" t="s">
        <v>497</v>
      </c>
      <c r="E25" s="37" t="s">
        <v>686</v>
      </c>
      <c r="F25" s="37" t="s">
        <v>719</v>
      </c>
      <c r="G25" s="104"/>
      <c r="H25" s="60"/>
    </row>
    <row r="26" spans="1:8" ht="230.4">
      <c r="A26" s="82" t="s">
        <v>294</v>
      </c>
      <c r="B26" s="83" t="s">
        <v>284</v>
      </c>
      <c r="C26" s="81" t="s">
        <v>688</v>
      </c>
      <c r="D26" s="52" t="s">
        <v>497</v>
      </c>
      <c r="E26" s="95" t="s">
        <v>465</v>
      </c>
      <c r="F26" s="96" t="s">
        <v>720</v>
      </c>
      <c r="G26" s="104"/>
      <c r="H26" s="60"/>
    </row>
    <row r="27" spans="1:8" ht="230.4">
      <c r="A27" s="64" t="s">
        <v>294</v>
      </c>
      <c r="B27" s="66" t="s">
        <v>284</v>
      </c>
      <c r="C27" s="80" t="s">
        <v>635</v>
      </c>
      <c r="D27" s="37" t="s">
        <v>497</v>
      </c>
      <c r="E27" s="89" t="s">
        <v>635</v>
      </c>
      <c r="F27" s="89" t="s">
        <v>721</v>
      </c>
      <c r="G27" s="104"/>
      <c r="H27" s="60"/>
    </row>
    <row r="28" spans="1:8" ht="230.4">
      <c r="A28" s="82" t="s">
        <v>294</v>
      </c>
      <c r="B28" s="83" t="s">
        <v>284</v>
      </c>
      <c r="C28" s="81" t="s">
        <v>691</v>
      </c>
      <c r="D28" s="52" t="s">
        <v>509</v>
      </c>
      <c r="E28" s="96" t="s">
        <v>691</v>
      </c>
      <c r="F28" s="96" t="s">
        <v>722</v>
      </c>
      <c r="G28" s="104"/>
      <c r="H28" s="60"/>
    </row>
    <row r="29" spans="1:8" ht="230.4">
      <c r="A29" s="64" t="s">
        <v>294</v>
      </c>
      <c r="B29" s="66" t="s">
        <v>284</v>
      </c>
      <c r="C29" s="80" t="s">
        <v>636</v>
      </c>
      <c r="D29" s="37" t="s">
        <v>497</v>
      </c>
      <c r="E29" s="89" t="s">
        <v>636</v>
      </c>
      <c r="F29" s="89" t="s">
        <v>723</v>
      </c>
      <c r="G29" s="104"/>
      <c r="H29" s="60"/>
    </row>
    <row r="30" spans="1:8" ht="230.4">
      <c r="A30" s="64" t="s">
        <v>294</v>
      </c>
      <c r="B30" s="66" t="s">
        <v>284</v>
      </c>
      <c r="C30" s="80" t="s">
        <v>630</v>
      </c>
      <c r="D30" s="37" t="s">
        <v>497</v>
      </c>
      <c r="E30" s="89" t="s">
        <v>694</v>
      </c>
      <c r="F30" s="89" t="s">
        <v>724</v>
      </c>
      <c r="G30" s="104"/>
      <c r="H30" s="60"/>
    </row>
    <row r="31" spans="1:8">
      <c r="A31" s="64" t="s">
        <v>294</v>
      </c>
      <c r="B31" s="66" t="s">
        <v>284</v>
      </c>
      <c r="C31" s="67" t="s">
        <v>490</v>
      </c>
      <c r="D31" s="93"/>
      <c r="E31" s="89"/>
      <c r="F31" s="93" t="s">
        <v>491</v>
      </c>
      <c r="G31" s="104"/>
      <c r="H31" s="60"/>
    </row>
    <row r="32" spans="1:8">
      <c r="A32" s="64" t="s">
        <v>294</v>
      </c>
      <c r="B32" s="66" t="s">
        <v>284</v>
      </c>
      <c r="C32" s="67" t="s">
        <v>64</v>
      </c>
      <c r="D32" s="93"/>
      <c r="E32" s="89"/>
      <c r="F32" s="93" t="s">
        <v>492</v>
      </c>
      <c r="G32" s="104"/>
      <c r="H32" s="60"/>
    </row>
    <row r="33" spans="1:8">
      <c r="A33" s="64" t="s">
        <v>294</v>
      </c>
      <c r="B33" s="66" t="s">
        <v>284</v>
      </c>
      <c r="C33" s="67" t="s">
        <v>493</v>
      </c>
      <c r="D33" s="93"/>
      <c r="E33" s="89"/>
      <c r="F33" s="93" t="s">
        <v>494</v>
      </c>
      <c r="G33" s="105"/>
      <c r="H33" s="60"/>
    </row>
  </sheetData>
  <autoFilter ref="A1:H33" xr:uid="{1E18E8FA-98DB-4213-AB7D-7F7A3C0F5A25}"/>
  <mergeCells count="1">
    <mergeCell ref="G2:G33"/>
  </mergeCells>
  <pageMargins left="0.7" right="0.7" top="0.75" bottom="0.75" header="0" footer="0"/>
  <pageSetup orientation="landscape"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sheetPr codeName="Hoja11"/>
  <dimension ref="A1:I5614"/>
  <sheetViews>
    <sheetView showGridLines="0" workbookViewId="0">
      <selection activeCell="E8" sqref="E8"/>
    </sheetView>
  </sheetViews>
  <sheetFormatPr baseColWidth="10" defaultColWidth="14.44140625" defaultRowHeight="15" customHeight="1"/>
  <cols>
    <col min="1" max="1" width="18.44140625" customWidth="1"/>
    <col min="2" max="2" width="18" customWidth="1"/>
    <col min="3" max="3" width="27.44140625" customWidth="1"/>
    <col min="4" max="4" width="37.109375" customWidth="1"/>
    <col min="5" max="5" width="34.88671875" customWidth="1"/>
    <col min="6" max="6" width="77.109375" customWidth="1"/>
    <col min="7" max="7" width="5.6640625" customWidth="1"/>
    <col min="8" max="14" width="8.6640625" customWidth="1"/>
  </cols>
  <sheetData>
    <row r="1" spans="1:9" ht="14.25" customHeight="1">
      <c r="A1" s="36" t="s">
        <v>287</v>
      </c>
      <c r="B1" s="36" t="s">
        <v>288</v>
      </c>
      <c r="C1" s="36" t="s">
        <v>289</v>
      </c>
      <c r="D1" s="36" t="s">
        <v>290</v>
      </c>
      <c r="E1" s="36" t="s">
        <v>291</v>
      </c>
      <c r="F1" s="34" t="s">
        <v>292</v>
      </c>
    </row>
    <row r="2" spans="1:9" ht="14.25" customHeight="1">
      <c r="A2" s="97" t="s">
        <v>725</v>
      </c>
      <c r="B2" s="97" t="s">
        <v>726</v>
      </c>
      <c r="C2" s="98" t="s">
        <v>45</v>
      </c>
      <c r="D2" s="40"/>
      <c r="E2" s="38"/>
      <c r="F2" s="39" t="s">
        <v>727</v>
      </c>
    </row>
    <row r="3" spans="1:9" ht="14.25" customHeight="1">
      <c r="A3" s="97" t="s">
        <v>725</v>
      </c>
      <c r="B3" s="97" t="s">
        <v>726</v>
      </c>
      <c r="C3" s="98" t="s">
        <v>50</v>
      </c>
      <c r="D3" s="40"/>
      <c r="E3" s="40"/>
      <c r="F3" s="41" t="s">
        <v>728</v>
      </c>
    </row>
    <row r="4" spans="1:9" ht="14.25" customHeight="1">
      <c r="A4" s="97" t="s">
        <v>725</v>
      </c>
      <c r="B4" s="97" t="s">
        <v>726</v>
      </c>
      <c r="C4" s="98" t="s">
        <v>729</v>
      </c>
      <c r="D4" s="40"/>
      <c r="E4" s="40"/>
      <c r="F4" s="41" t="s">
        <v>730</v>
      </c>
    </row>
    <row r="5" spans="1:9" ht="36">
      <c r="A5" s="97" t="s">
        <v>725</v>
      </c>
      <c r="B5" s="97" t="s">
        <v>726</v>
      </c>
      <c r="C5" s="99" t="s">
        <v>731</v>
      </c>
      <c r="D5" s="37" t="s">
        <v>732</v>
      </c>
      <c r="E5" s="37" t="s">
        <v>731</v>
      </c>
      <c r="F5" s="42" t="s">
        <v>733</v>
      </c>
      <c r="I5" t="s">
        <v>734</v>
      </c>
    </row>
    <row r="6" spans="1:9" ht="73.5" customHeight="1">
      <c r="A6" s="97" t="s">
        <v>725</v>
      </c>
      <c r="B6" s="97" t="s">
        <v>726</v>
      </c>
      <c r="C6" s="99" t="s">
        <v>735</v>
      </c>
      <c r="D6" s="37" t="s">
        <v>736</v>
      </c>
      <c r="E6" s="37" t="s">
        <v>737</v>
      </c>
      <c r="F6" s="51" t="s">
        <v>738</v>
      </c>
      <c r="I6" s="54" t="s">
        <v>739</v>
      </c>
    </row>
    <row r="7" spans="1:9" ht="291.75" customHeight="1">
      <c r="A7" s="97" t="s">
        <v>725</v>
      </c>
      <c r="B7" s="97" t="s">
        <v>726</v>
      </c>
      <c r="C7" s="99" t="s">
        <v>740</v>
      </c>
      <c r="D7" s="37" t="s">
        <v>741</v>
      </c>
      <c r="E7" s="37"/>
      <c r="F7" s="42" t="s">
        <v>742</v>
      </c>
      <c r="I7" s="54" t="s">
        <v>743</v>
      </c>
    </row>
    <row r="8" spans="1:9" ht="156">
      <c r="A8" s="97" t="s">
        <v>725</v>
      </c>
      <c r="B8" s="97" t="s">
        <v>726</v>
      </c>
      <c r="C8" s="99" t="s">
        <v>744</v>
      </c>
      <c r="D8" s="52" t="s">
        <v>736</v>
      </c>
      <c r="E8" s="55" t="s">
        <v>745</v>
      </c>
      <c r="F8" s="53" t="s">
        <v>746</v>
      </c>
      <c r="H8" t="s">
        <v>747</v>
      </c>
    </row>
    <row r="9" spans="1:9" ht="14.25" customHeight="1">
      <c r="A9" s="97" t="s">
        <v>725</v>
      </c>
      <c r="B9" s="97" t="s">
        <v>726</v>
      </c>
      <c r="C9" s="99" t="s">
        <v>748</v>
      </c>
      <c r="D9" s="37" t="s">
        <v>732</v>
      </c>
      <c r="E9" s="33" t="s">
        <v>748</v>
      </c>
      <c r="F9" s="32"/>
    </row>
    <row r="10" spans="1:9" ht="14.25" customHeight="1">
      <c r="A10" s="97" t="s">
        <v>725</v>
      </c>
      <c r="B10" s="97" t="s">
        <v>726</v>
      </c>
      <c r="C10" s="99" t="s">
        <v>749</v>
      </c>
      <c r="D10" s="37" t="s">
        <v>732</v>
      </c>
      <c r="E10" s="33" t="s">
        <v>749</v>
      </c>
      <c r="F10" s="32"/>
    </row>
    <row r="11" spans="1:9" ht="14.25" customHeight="1">
      <c r="A11" s="97" t="s">
        <v>725</v>
      </c>
      <c r="B11" s="97" t="s">
        <v>726</v>
      </c>
      <c r="C11" s="99" t="s">
        <v>750</v>
      </c>
      <c r="D11" s="37" t="s">
        <v>732</v>
      </c>
      <c r="E11" s="37" t="s">
        <v>750</v>
      </c>
      <c r="F11" s="32"/>
    </row>
    <row r="12" spans="1:9" ht="14.4">
      <c r="A12" s="97" t="s">
        <v>725</v>
      </c>
      <c r="B12" s="97" t="s">
        <v>726</v>
      </c>
      <c r="C12" s="99" t="s">
        <v>751</v>
      </c>
      <c r="D12" s="97" t="s">
        <v>752</v>
      </c>
      <c r="E12" s="37" t="s">
        <v>752</v>
      </c>
      <c r="F12" s="42" t="s">
        <v>753</v>
      </c>
    </row>
    <row r="13" spans="1:9" ht="74.400000000000006">
      <c r="A13" s="97" t="s">
        <v>725</v>
      </c>
      <c r="B13" s="97" t="s">
        <v>726</v>
      </c>
      <c r="C13" s="99" t="s">
        <v>754</v>
      </c>
      <c r="D13" s="97" t="s">
        <v>726</v>
      </c>
      <c r="E13" s="37" t="s">
        <v>740</v>
      </c>
      <c r="F13" s="51" t="s">
        <v>755</v>
      </c>
      <c r="H13" t="s">
        <v>756</v>
      </c>
    </row>
    <row r="14" spans="1:9" ht="14.25" customHeight="1">
      <c r="A14" s="97" t="s">
        <v>725</v>
      </c>
      <c r="B14" s="97" t="s">
        <v>726</v>
      </c>
      <c r="C14" s="98" t="s">
        <v>757</v>
      </c>
      <c r="D14" s="40"/>
      <c r="E14" s="38"/>
      <c r="F14" s="39"/>
    </row>
    <row r="15" spans="1:9" ht="14.25" customHeight="1">
      <c r="A15" s="97" t="s">
        <v>725</v>
      </c>
      <c r="B15" s="97" t="s">
        <v>726</v>
      </c>
      <c r="C15" s="98" t="s">
        <v>758</v>
      </c>
      <c r="D15" s="40"/>
      <c r="E15" s="38"/>
      <c r="F15" s="39"/>
    </row>
    <row r="16" spans="1:9" ht="14.25" customHeight="1">
      <c r="A16" s="97" t="s">
        <v>725</v>
      </c>
      <c r="B16" s="97" t="s">
        <v>726</v>
      </c>
      <c r="C16" s="98" t="s">
        <v>759</v>
      </c>
      <c r="D16" s="40"/>
      <c r="E16" s="38"/>
      <c r="F16" s="39"/>
    </row>
    <row r="17" spans="1:6" ht="14.25" customHeight="1">
      <c r="A17" s="97" t="s">
        <v>725</v>
      </c>
      <c r="B17" s="97" t="s">
        <v>726</v>
      </c>
      <c r="C17" s="98" t="s">
        <v>760</v>
      </c>
      <c r="D17" s="40"/>
      <c r="E17" s="40"/>
      <c r="F17" s="39"/>
    </row>
    <row r="18" spans="1:6" ht="14.25" customHeight="1">
      <c r="A18" s="97" t="s">
        <v>725</v>
      </c>
      <c r="B18" s="97" t="s">
        <v>726</v>
      </c>
      <c r="C18" s="98" t="s">
        <v>761</v>
      </c>
      <c r="D18" s="40"/>
      <c r="E18" s="40"/>
      <c r="F18" s="39"/>
    </row>
    <row r="19" spans="1:6" ht="14.25" customHeight="1">
      <c r="A19" s="97" t="s">
        <v>725</v>
      </c>
      <c r="B19" s="97" t="s">
        <v>726</v>
      </c>
      <c r="C19" s="98" t="s">
        <v>762</v>
      </c>
      <c r="D19" s="40"/>
      <c r="E19" s="40"/>
      <c r="F19" s="39"/>
    </row>
    <row r="20" spans="1:6" ht="14.25" customHeight="1">
      <c r="A20" s="97" t="s">
        <v>725</v>
      </c>
      <c r="B20" s="97" t="s">
        <v>726</v>
      </c>
      <c r="C20" s="98" t="s">
        <v>763</v>
      </c>
      <c r="D20" s="40"/>
      <c r="E20" s="38"/>
      <c r="F20" s="39"/>
    </row>
    <row r="21" spans="1:6" ht="14.25" customHeight="1">
      <c r="A21" s="97" t="s">
        <v>725</v>
      </c>
      <c r="B21" s="97" t="s">
        <v>726</v>
      </c>
      <c r="C21" s="98" t="s">
        <v>490</v>
      </c>
      <c r="D21" s="40"/>
      <c r="E21" s="38"/>
      <c r="F21" s="39"/>
    </row>
    <row r="22" spans="1:6" ht="14.25" customHeight="1">
      <c r="A22" s="97" t="s">
        <v>725</v>
      </c>
      <c r="B22" s="97" t="s">
        <v>726</v>
      </c>
      <c r="C22" s="98" t="s">
        <v>64</v>
      </c>
      <c r="D22" s="40"/>
      <c r="E22" s="38"/>
      <c r="F22" s="39"/>
    </row>
    <row r="23" spans="1:6" ht="14.25" customHeight="1">
      <c r="A23" s="97" t="s">
        <v>725</v>
      </c>
      <c r="B23" s="97" t="s">
        <v>726</v>
      </c>
      <c r="C23" s="98" t="s">
        <v>493</v>
      </c>
      <c r="D23" s="40"/>
      <c r="E23" s="40"/>
      <c r="F23" s="39"/>
    </row>
    <row r="5614" spans="4:5" ht="15" customHeight="1">
      <c r="D5614" t="s">
        <v>764</v>
      </c>
      <c r="E5614" t="s">
        <v>765</v>
      </c>
    </row>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2">
    <outlinePr summaryBelow="0" summaryRight="0"/>
  </sheetPr>
  <dimension ref="A1:L281"/>
  <sheetViews>
    <sheetView workbookViewId="0">
      <selection activeCell="M1" sqref="M1"/>
    </sheetView>
  </sheetViews>
  <sheetFormatPr baseColWidth="10" defaultColWidth="14.44140625" defaultRowHeight="15" customHeight="1"/>
  <cols>
    <col min="1" max="1" width="16.6640625" customWidth="1"/>
    <col min="6" max="6" width="21.33203125" customWidth="1"/>
  </cols>
  <sheetData>
    <row r="1" spans="1:12">
      <c r="A1" s="21" t="s">
        <v>766</v>
      </c>
      <c r="B1" s="22" t="s">
        <v>767</v>
      </c>
      <c r="C1" s="22" t="s">
        <v>768</v>
      </c>
      <c r="D1" s="22" t="s">
        <v>769</v>
      </c>
      <c r="E1" s="22" t="s">
        <v>770</v>
      </c>
      <c r="F1" s="22" t="s">
        <v>771</v>
      </c>
      <c r="G1" s="22" t="s">
        <v>772</v>
      </c>
      <c r="H1" s="22" t="s">
        <v>773</v>
      </c>
      <c r="I1" s="22" t="s">
        <v>774</v>
      </c>
      <c r="J1" s="23" t="s">
        <v>775</v>
      </c>
      <c r="K1" s="23" t="s">
        <v>776</v>
      </c>
      <c r="L1" s="23" t="s">
        <v>777</v>
      </c>
    </row>
    <row r="2" spans="1:12">
      <c r="A2" s="22" t="s">
        <v>778</v>
      </c>
      <c r="B2" s="24" t="s">
        <v>779</v>
      </c>
      <c r="C2" s="24" t="s">
        <v>780</v>
      </c>
      <c r="D2" s="24" t="s">
        <v>781</v>
      </c>
      <c r="E2" s="25" t="s">
        <v>782</v>
      </c>
      <c r="F2" s="25" t="s">
        <v>783</v>
      </c>
      <c r="G2" s="26" t="s">
        <v>784</v>
      </c>
      <c r="H2" s="25" t="s">
        <v>785</v>
      </c>
      <c r="I2" s="25" t="s">
        <v>786</v>
      </c>
      <c r="J2" s="108" t="s">
        <v>787</v>
      </c>
      <c r="K2" s="27" t="s">
        <v>788</v>
      </c>
      <c r="L2" s="25" t="s">
        <v>789</v>
      </c>
    </row>
    <row r="3" spans="1:12">
      <c r="A3" s="22" t="s">
        <v>778</v>
      </c>
      <c r="B3" s="24" t="s">
        <v>779</v>
      </c>
      <c r="C3" s="24" t="s">
        <v>780</v>
      </c>
      <c r="D3" s="24" t="s">
        <v>781</v>
      </c>
      <c r="E3" s="25" t="s">
        <v>782</v>
      </c>
      <c r="F3" s="25" t="s">
        <v>790</v>
      </c>
      <c r="G3" s="26" t="s">
        <v>791</v>
      </c>
      <c r="H3" s="25" t="s">
        <v>792</v>
      </c>
      <c r="I3" s="25" t="s">
        <v>793</v>
      </c>
      <c r="J3" s="109"/>
      <c r="K3" s="27" t="s">
        <v>794</v>
      </c>
      <c r="L3" s="25" t="s">
        <v>795</v>
      </c>
    </row>
    <row r="4" spans="1:12">
      <c r="A4" s="22" t="s">
        <v>778</v>
      </c>
      <c r="B4" s="24" t="s">
        <v>779</v>
      </c>
      <c r="C4" s="24" t="s">
        <v>780</v>
      </c>
      <c r="D4" s="24" t="s">
        <v>781</v>
      </c>
      <c r="E4" s="25" t="s">
        <v>782</v>
      </c>
      <c r="F4" s="25" t="s">
        <v>790</v>
      </c>
      <c r="G4" s="26" t="s">
        <v>796</v>
      </c>
      <c r="H4" s="25" t="s">
        <v>797</v>
      </c>
      <c r="I4" s="25" t="s">
        <v>798</v>
      </c>
      <c r="J4" s="109"/>
      <c r="K4" s="27" t="s">
        <v>794</v>
      </c>
      <c r="L4" s="25" t="s">
        <v>799</v>
      </c>
    </row>
    <row r="5" spans="1:12">
      <c r="A5" s="22" t="s">
        <v>778</v>
      </c>
      <c r="B5" s="24" t="s">
        <v>779</v>
      </c>
      <c r="C5" s="24" t="s">
        <v>780</v>
      </c>
      <c r="D5" s="24" t="s">
        <v>781</v>
      </c>
      <c r="E5" s="25" t="s">
        <v>782</v>
      </c>
      <c r="F5" s="25" t="s">
        <v>800</v>
      </c>
      <c r="G5" s="26" t="s">
        <v>801</v>
      </c>
      <c r="H5" s="25" t="s">
        <v>802</v>
      </c>
      <c r="I5" s="25" t="s">
        <v>803</v>
      </c>
      <c r="J5" s="109"/>
      <c r="K5" s="27" t="s">
        <v>788</v>
      </c>
      <c r="L5" s="25" t="s">
        <v>804</v>
      </c>
    </row>
    <row r="6" spans="1:12">
      <c r="A6" s="22" t="s">
        <v>778</v>
      </c>
      <c r="B6" s="24" t="s">
        <v>779</v>
      </c>
      <c r="C6" s="24" t="s">
        <v>780</v>
      </c>
      <c r="D6" s="24" t="s">
        <v>781</v>
      </c>
      <c r="E6" s="25" t="s">
        <v>782</v>
      </c>
      <c r="F6" s="25" t="s">
        <v>805</v>
      </c>
      <c r="G6" s="26" t="s">
        <v>806</v>
      </c>
      <c r="H6" s="25" t="s">
        <v>807</v>
      </c>
      <c r="I6" s="25" t="s">
        <v>808</v>
      </c>
      <c r="J6" s="109"/>
      <c r="K6" s="27" t="s">
        <v>788</v>
      </c>
      <c r="L6" s="25" t="s">
        <v>809</v>
      </c>
    </row>
    <row r="7" spans="1:12">
      <c r="A7" s="22" t="s">
        <v>778</v>
      </c>
      <c r="B7" s="24" t="s">
        <v>779</v>
      </c>
      <c r="C7" s="24" t="s">
        <v>780</v>
      </c>
      <c r="D7" s="24" t="s">
        <v>781</v>
      </c>
      <c r="E7" s="25" t="s">
        <v>782</v>
      </c>
      <c r="F7" s="25" t="s">
        <v>810</v>
      </c>
      <c r="G7" s="26" t="s">
        <v>811</v>
      </c>
      <c r="H7" s="25" t="s">
        <v>812</v>
      </c>
      <c r="I7" s="25" t="s">
        <v>813</v>
      </c>
      <c r="J7" s="107"/>
      <c r="K7" s="27" t="s">
        <v>814</v>
      </c>
      <c r="L7" s="25" t="s">
        <v>815</v>
      </c>
    </row>
    <row r="8" spans="1:12">
      <c r="A8" s="22" t="s">
        <v>816</v>
      </c>
      <c r="B8" s="24" t="s">
        <v>271</v>
      </c>
      <c r="C8" s="24" t="s">
        <v>780</v>
      </c>
      <c r="D8" s="25" t="s">
        <v>817</v>
      </c>
      <c r="E8" s="25" t="s">
        <v>818</v>
      </c>
      <c r="F8" s="25" t="s">
        <v>819</v>
      </c>
      <c r="G8" s="26" t="s">
        <v>784</v>
      </c>
      <c r="H8" s="25" t="s">
        <v>785</v>
      </c>
      <c r="I8" s="25" t="s">
        <v>786</v>
      </c>
      <c r="J8" s="110" t="s">
        <v>820</v>
      </c>
      <c r="K8" s="27" t="s">
        <v>821</v>
      </c>
      <c r="L8" s="25" t="s">
        <v>789</v>
      </c>
    </row>
    <row r="9" spans="1:12">
      <c r="A9" s="22" t="s">
        <v>816</v>
      </c>
      <c r="B9" s="24" t="s">
        <v>271</v>
      </c>
      <c r="C9" s="24" t="s">
        <v>780</v>
      </c>
      <c r="D9" s="25" t="s">
        <v>817</v>
      </c>
      <c r="E9" s="25" t="s">
        <v>818</v>
      </c>
      <c r="F9" s="25" t="s">
        <v>819</v>
      </c>
      <c r="G9" s="26" t="s">
        <v>801</v>
      </c>
      <c r="H9" s="25" t="s">
        <v>802</v>
      </c>
      <c r="I9" s="25" t="s">
        <v>803</v>
      </c>
      <c r="J9" s="109"/>
      <c r="K9" s="27" t="s">
        <v>821</v>
      </c>
      <c r="L9" s="25" t="s">
        <v>804</v>
      </c>
    </row>
    <row r="10" spans="1:12">
      <c r="A10" s="22" t="s">
        <v>816</v>
      </c>
      <c r="B10" s="24" t="s">
        <v>271</v>
      </c>
      <c r="C10" s="24" t="s">
        <v>780</v>
      </c>
      <c r="D10" s="25" t="s">
        <v>817</v>
      </c>
      <c r="E10" s="25" t="s">
        <v>818</v>
      </c>
      <c r="F10" s="25" t="s">
        <v>819</v>
      </c>
      <c r="G10" s="26" t="s">
        <v>806</v>
      </c>
      <c r="H10" s="25" t="s">
        <v>807</v>
      </c>
      <c r="I10" s="25" t="s">
        <v>808</v>
      </c>
      <c r="J10" s="109"/>
      <c r="K10" s="27" t="s">
        <v>821</v>
      </c>
      <c r="L10" s="25" t="s">
        <v>809</v>
      </c>
    </row>
    <row r="11" spans="1:12">
      <c r="A11" s="22" t="s">
        <v>816</v>
      </c>
      <c r="B11" s="24" t="s">
        <v>271</v>
      </c>
      <c r="C11" s="24" t="s">
        <v>780</v>
      </c>
      <c r="D11" s="25" t="s">
        <v>817</v>
      </c>
      <c r="E11" s="25" t="s">
        <v>818</v>
      </c>
      <c r="F11" s="25" t="s">
        <v>819</v>
      </c>
      <c r="G11" s="26" t="s">
        <v>791</v>
      </c>
      <c r="H11" s="25" t="s">
        <v>792</v>
      </c>
      <c r="I11" s="25" t="s">
        <v>793</v>
      </c>
      <c r="J11" s="109"/>
      <c r="K11" s="27" t="s">
        <v>822</v>
      </c>
      <c r="L11" s="25" t="s">
        <v>795</v>
      </c>
    </row>
    <row r="12" spans="1:12">
      <c r="A12" s="22" t="s">
        <v>816</v>
      </c>
      <c r="B12" s="24" t="s">
        <v>271</v>
      </c>
      <c r="C12" s="24" t="s">
        <v>780</v>
      </c>
      <c r="D12" s="25" t="s">
        <v>817</v>
      </c>
      <c r="E12" s="25" t="s">
        <v>818</v>
      </c>
      <c r="F12" s="25" t="s">
        <v>819</v>
      </c>
      <c r="G12" s="26" t="s">
        <v>796</v>
      </c>
      <c r="H12" s="25" t="s">
        <v>797</v>
      </c>
      <c r="I12" s="25" t="s">
        <v>798</v>
      </c>
      <c r="J12" s="109"/>
      <c r="K12" s="27" t="s">
        <v>822</v>
      </c>
      <c r="L12" s="25" t="s">
        <v>799</v>
      </c>
    </row>
    <row r="13" spans="1:12">
      <c r="A13" s="22" t="s">
        <v>816</v>
      </c>
      <c r="B13" s="24" t="s">
        <v>271</v>
      </c>
      <c r="C13" s="24" t="s">
        <v>780</v>
      </c>
      <c r="D13" s="25" t="s">
        <v>817</v>
      </c>
      <c r="E13" s="25" t="s">
        <v>818</v>
      </c>
      <c r="F13" s="25" t="s">
        <v>819</v>
      </c>
      <c r="G13" s="26" t="s">
        <v>811</v>
      </c>
      <c r="H13" s="25" t="s">
        <v>812</v>
      </c>
      <c r="I13" s="25" t="s">
        <v>813</v>
      </c>
      <c r="J13" s="109"/>
      <c r="K13" s="27" t="s">
        <v>823</v>
      </c>
      <c r="L13" s="25" t="s">
        <v>815</v>
      </c>
    </row>
    <row r="14" spans="1:12">
      <c r="A14" s="22" t="s">
        <v>816</v>
      </c>
      <c r="B14" s="24" t="s">
        <v>271</v>
      </c>
      <c r="C14" s="24" t="s">
        <v>780</v>
      </c>
      <c r="D14" s="25" t="s">
        <v>817</v>
      </c>
      <c r="E14" s="25" t="s">
        <v>818</v>
      </c>
      <c r="F14" s="25" t="s">
        <v>819</v>
      </c>
      <c r="G14" s="26" t="s">
        <v>811</v>
      </c>
      <c r="H14" s="25" t="s">
        <v>824</v>
      </c>
      <c r="I14" s="25" t="s">
        <v>825</v>
      </c>
      <c r="J14" s="109"/>
      <c r="K14" s="27" t="s">
        <v>823</v>
      </c>
      <c r="L14" s="25" t="s">
        <v>826</v>
      </c>
    </row>
    <row r="15" spans="1:12">
      <c r="A15" s="22" t="s">
        <v>816</v>
      </c>
      <c r="B15" s="24" t="s">
        <v>271</v>
      </c>
      <c r="C15" s="24" t="s">
        <v>780</v>
      </c>
      <c r="D15" s="25" t="s">
        <v>817</v>
      </c>
      <c r="E15" s="25" t="s">
        <v>818</v>
      </c>
      <c r="F15" s="25" t="s">
        <v>819</v>
      </c>
      <c r="G15" s="26" t="s">
        <v>811</v>
      </c>
      <c r="H15" s="25" t="s">
        <v>827</v>
      </c>
      <c r="I15" s="25" t="s">
        <v>828</v>
      </c>
      <c r="J15" s="109"/>
      <c r="K15" s="27" t="s">
        <v>823</v>
      </c>
      <c r="L15" s="25" t="s">
        <v>829</v>
      </c>
    </row>
    <row r="16" spans="1:12">
      <c r="A16" s="22" t="s">
        <v>816</v>
      </c>
      <c r="B16" s="24" t="s">
        <v>271</v>
      </c>
      <c r="C16" s="24" t="s">
        <v>780</v>
      </c>
      <c r="D16" s="25" t="s">
        <v>817</v>
      </c>
      <c r="E16" s="25" t="s">
        <v>818</v>
      </c>
      <c r="F16" s="25" t="s">
        <v>819</v>
      </c>
      <c r="G16" s="26" t="s">
        <v>811</v>
      </c>
      <c r="H16" s="25" t="s">
        <v>830</v>
      </c>
      <c r="I16" s="25" t="s">
        <v>831</v>
      </c>
      <c r="J16" s="109"/>
      <c r="K16" s="27" t="s">
        <v>823</v>
      </c>
      <c r="L16" s="25" t="s">
        <v>832</v>
      </c>
    </row>
    <row r="17" spans="1:12">
      <c r="A17" s="22" t="s">
        <v>816</v>
      </c>
      <c r="B17" s="24" t="s">
        <v>271</v>
      </c>
      <c r="C17" s="24" t="s">
        <v>780</v>
      </c>
      <c r="D17" s="25" t="s">
        <v>817</v>
      </c>
      <c r="E17" s="25" t="s">
        <v>818</v>
      </c>
      <c r="F17" s="25" t="s">
        <v>819</v>
      </c>
      <c r="G17" s="26" t="s">
        <v>811</v>
      </c>
      <c r="H17" s="25" t="s">
        <v>833</v>
      </c>
      <c r="I17" s="25" t="s">
        <v>834</v>
      </c>
      <c r="J17" s="109"/>
      <c r="K17" s="27" t="s">
        <v>823</v>
      </c>
      <c r="L17" s="25" t="s">
        <v>835</v>
      </c>
    </row>
    <row r="18" spans="1:12">
      <c r="A18" s="22" t="s">
        <v>816</v>
      </c>
      <c r="B18" s="24" t="s">
        <v>271</v>
      </c>
      <c r="C18" s="24" t="s">
        <v>780</v>
      </c>
      <c r="D18" s="25" t="s">
        <v>817</v>
      </c>
      <c r="E18" s="25" t="s">
        <v>818</v>
      </c>
      <c r="F18" s="25" t="s">
        <v>819</v>
      </c>
      <c r="G18" s="26" t="s">
        <v>811</v>
      </c>
      <c r="H18" s="25" t="s">
        <v>836</v>
      </c>
      <c r="I18" s="25" t="s">
        <v>837</v>
      </c>
      <c r="J18" s="109"/>
      <c r="K18" s="27" t="s">
        <v>823</v>
      </c>
      <c r="L18" s="25" t="s">
        <v>838</v>
      </c>
    </row>
    <row r="19" spans="1:12">
      <c r="A19" s="22" t="s">
        <v>816</v>
      </c>
      <c r="B19" s="24" t="s">
        <v>271</v>
      </c>
      <c r="C19" s="24" t="s">
        <v>780</v>
      </c>
      <c r="D19" s="25" t="s">
        <v>817</v>
      </c>
      <c r="E19" s="25" t="s">
        <v>818</v>
      </c>
      <c r="F19" s="25" t="s">
        <v>819</v>
      </c>
      <c r="G19" s="26" t="s">
        <v>839</v>
      </c>
      <c r="H19" s="25" t="s">
        <v>840</v>
      </c>
      <c r="I19" s="25" t="s">
        <v>841</v>
      </c>
      <c r="J19" s="109"/>
      <c r="K19" s="27" t="s">
        <v>842</v>
      </c>
      <c r="L19" s="25" t="s">
        <v>843</v>
      </c>
    </row>
    <row r="20" spans="1:12">
      <c r="A20" s="22" t="s">
        <v>816</v>
      </c>
      <c r="B20" s="24" t="s">
        <v>271</v>
      </c>
      <c r="C20" s="24" t="s">
        <v>780</v>
      </c>
      <c r="D20" s="25" t="s">
        <v>817</v>
      </c>
      <c r="E20" s="25" t="s">
        <v>818</v>
      </c>
      <c r="F20" s="25" t="s">
        <v>819</v>
      </c>
      <c r="G20" s="26" t="s">
        <v>844</v>
      </c>
      <c r="H20" s="25" t="s">
        <v>845</v>
      </c>
      <c r="I20" s="25" t="s">
        <v>846</v>
      </c>
      <c r="J20" s="109"/>
      <c r="K20" s="27" t="s">
        <v>847</v>
      </c>
      <c r="L20" s="25" t="s">
        <v>848</v>
      </c>
    </row>
    <row r="21" spans="1:12">
      <c r="A21" s="22" t="s">
        <v>816</v>
      </c>
      <c r="B21" s="24" t="s">
        <v>271</v>
      </c>
      <c r="C21" s="24" t="s">
        <v>780</v>
      </c>
      <c r="D21" s="25" t="s">
        <v>817</v>
      </c>
      <c r="E21" s="25" t="s">
        <v>818</v>
      </c>
      <c r="F21" s="25" t="s">
        <v>819</v>
      </c>
      <c r="G21" s="26" t="s">
        <v>844</v>
      </c>
      <c r="H21" s="25" t="s">
        <v>849</v>
      </c>
      <c r="I21" s="25" t="s">
        <v>850</v>
      </c>
      <c r="J21" s="109"/>
      <c r="K21" s="27" t="s">
        <v>847</v>
      </c>
      <c r="L21" s="25" t="s">
        <v>851</v>
      </c>
    </row>
    <row r="22" spans="1:12">
      <c r="A22" s="22" t="s">
        <v>816</v>
      </c>
      <c r="B22" s="24" t="s">
        <v>271</v>
      </c>
      <c r="C22" s="24" t="s">
        <v>780</v>
      </c>
      <c r="D22" s="25" t="s">
        <v>817</v>
      </c>
      <c r="E22" s="25" t="s">
        <v>818</v>
      </c>
      <c r="F22" s="25" t="s">
        <v>819</v>
      </c>
      <c r="G22" s="26" t="s">
        <v>844</v>
      </c>
      <c r="H22" s="25" t="s">
        <v>852</v>
      </c>
      <c r="I22" s="25" t="s">
        <v>853</v>
      </c>
      <c r="J22" s="109"/>
      <c r="K22" s="27" t="s">
        <v>847</v>
      </c>
      <c r="L22" s="25" t="s">
        <v>854</v>
      </c>
    </row>
    <row r="23" spans="1:12">
      <c r="A23" s="22" t="s">
        <v>816</v>
      </c>
      <c r="B23" s="24" t="s">
        <v>271</v>
      </c>
      <c r="C23" s="24" t="s">
        <v>780</v>
      </c>
      <c r="D23" s="25" t="s">
        <v>817</v>
      </c>
      <c r="E23" s="25" t="s">
        <v>818</v>
      </c>
      <c r="F23" s="25" t="s">
        <v>819</v>
      </c>
      <c r="G23" s="26" t="s">
        <v>844</v>
      </c>
      <c r="H23" s="25" t="s">
        <v>855</v>
      </c>
      <c r="I23" s="25" t="s">
        <v>856</v>
      </c>
      <c r="J23" s="109"/>
      <c r="K23" s="27" t="s">
        <v>847</v>
      </c>
      <c r="L23" s="25" t="s">
        <v>857</v>
      </c>
    </row>
    <row r="24" spans="1:12">
      <c r="A24" s="22" t="s">
        <v>816</v>
      </c>
      <c r="B24" s="24" t="s">
        <v>271</v>
      </c>
      <c r="C24" s="24" t="s">
        <v>780</v>
      </c>
      <c r="D24" s="25" t="s">
        <v>817</v>
      </c>
      <c r="E24" s="25" t="s">
        <v>818</v>
      </c>
      <c r="F24" s="25" t="s">
        <v>819</v>
      </c>
      <c r="G24" s="26" t="s">
        <v>844</v>
      </c>
      <c r="H24" s="25" t="s">
        <v>858</v>
      </c>
      <c r="I24" s="25" t="s">
        <v>859</v>
      </c>
      <c r="J24" s="109"/>
      <c r="K24" s="27" t="s">
        <v>847</v>
      </c>
      <c r="L24" s="25" t="s">
        <v>860</v>
      </c>
    </row>
    <row r="25" spans="1:12">
      <c r="A25" s="22" t="s">
        <v>816</v>
      </c>
      <c r="B25" s="24" t="s">
        <v>271</v>
      </c>
      <c r="C25" s="24" t="s">
        <v>780</v>
      </c>
      <c r="D25" s="25" t="s">
        <v>817</v>
      </c>
      <c r="E25" s="25" t="s">
        <v>818</v>
      </c>
      <c r="F25" s="25" t="s">
        <v>819</v>
      </c>
      <c r="G25" s="26" t="s">
        <v>844</v>
      </c>
      <c r="H25" s="25" t="s">
        <v>861</v>
      </c>
      <c r="I25" s="25" t="s">
        <v>862</v>
      </c>
      <c r="J25" s="109"/>
      <c r="K25" s="27" t="s">
        <v>847</v>
      </c>
      <c r="L25" s="25" t="s">
        <v>863</v>
      </c>
    </row>
    <row r="26" spans="1:12">
      <c r="A26" s="22" t="s">
        <v>816</v>
      </c>
      <c r="B26" s="24" t="s">
        <v>271</v>
      </c>
      <c r="C26" s="24" t="s">
        <v>780</v>
      </c>
      <c r="D26" s="25" t="s">
        <v>817</v>
      </c>
      <c r="E26" s="25" t="s">
        <v>818</v>
      </c>
      <c r="F26" s="25" t="s">
        <v>819</v>
      </c>
      <c r="G26" s="26" t="s">
        <v>844</v>
      </c>
      <c r="H26" s="25" t="s">
        <v>864</v>
      </c>
      <c r="I26" s="25" t="s">
        <v>865</v>
      </c>
      <c r="J26" s="109"/>
      <c r="K26" s="27" t="s">
        <v>847</v>
      </c>
      <c r="L26" s="25" t="s">
        <v>866</v>
      </c>
    </row>
    <row r="27" spans="1:12">
      <c r="A27" s="22" t="s">
        <v>816</v>
      </c>
      <c r="B27" s="24" t="s">
        <v>271</v>
      </c>
      <c r="C27" s="24" t="s">
        <v>780</v>
      </c>
      <c r="D27" s="25" t="s">
        <v>817</v>
      </c>
      <c r="E27" s="25" t="s">
        <v>818</v>
      </c>
      <c r="F27" s="25" t="s">
        <v>819</v>
      </c>
      <c r="G27" s="26" t="s">
        <v>844</v>
      </c>
      <c r="H27" s="25" t="s">
        <v>867</v>
      </c>
      <c r="I27" s="25" t="s">
        <v>868</v>
      </c>
      <c r="J27" s="109"/>
      <c r="K27" s="27" t="s">
        <v>847</v>
      </c>
      <c r="L27" s="25" t="s">
        <v>869</v>
      </c>
    </row>
    <row r="28" spans="1:12">
      <c r="A28" s="22" t="s">
        <v>816</v>
      </c>
      <c r="B28" s="24" t="s">
        <v>271</v>
      </c>
      <c r="C28" s="24" t="s">
        <v>780</v>
      </c>
      <c r="D28" s="25" t="s">
        <v>817</v>
      </c>
      <c r="E28" s="25" t="s">
        <v>818</v>
      </c>
      <c r="F28" s="25" t="s">
        <v>819</v>
      </c>
      <c r="G28" s="26" t="s">
        <v>844</v>
      </c>
      <c r="H28" s="25" t="s">
        <v>870</v>
      </c>
      <c r="I28" s="25" t="s">
        <v>871</v>
      </c>
      <c r="J28" s="109"/>
      <c r="K28" s="27" t="s">
        <v>847</v>
      </c>
      <c r="L28" s="25" t="s">
        <v>872</v>
      </c>
    </row>
    <row r="29" spans="1:12">
      <c r="A29" s="22" t="s">
        <v>816</v>
      </c>
      <c r="B29" s="24" t="s">
        <v>271</v>
      </c>
      <c r="C29" s="24" t="s">
        <v>780</v>
      </c>
      <c r="D29" s="25" t="s">
        <v>817</v>
      </c>
      <c r="E29" s="25" t="s">
        <v>818</v>
      </c>
      <c r="F29" s="25" t="s">
        <v>819</v>
      </c>
      <c r="G29" s="26" t="s">
        <v>844</v>
      </c>
      <c r="H29" s="25" t="s">
        <v>873</v>
      </c>
      <c r="I29" s="25" t="s">
        <v>874</v>
      </c>
      <c r="J29" s="109"/>
      <c r="K29" s="27" t="s">
        <v>847</v>
      </c>
      <c r="L29" s="25" t="s">
        <v>875</v>
      </c>
    </row>
    <row r="30" spans="1:12">
      <c r="A30" s="22" t="s">
        <v>816</v>
      </c>
      <c r="B30" s="24" t="s">
        <v>271</v>
      </c>
      <c r="C30" s="24" t="s">
        <v>780</v>
      </c>
      <c r="D30" s="25" t="s">
        <v>817</v>
      </c>
      <c r="E30" s="25" t="s">
        <v>818</v>
      </c>
      <c r="F30" s="25" t="s">
        <v>819</v>
      </c>
      <c r="G30" s="26" t="s">
        <v>844</v>
      </c>
      <c r="H30" s="25" t="s">
        <v>876</v>
      </c>
      <c r="I30" s="25" t="s">
        <v>877</v>
      </c>
      <c r="J30" s="109"/>
      <c r="K30" s="27" t="s">
        <v>878</v>
      </c>
      <c r="L30" s="25" t="s">
        <v>879</v>
      </c>
    </row>
    <row r="31" spans="1:12">
      <c r="A31" s="22" t="s">
        <v>816</v>
      </c>
      <c r="B31" s="24" t="s">
        <v>271</v>
      </c>
      <c r="C31" s="24" t="s">
        <v>780</v>
      </c>
      <c r="D31" s="25" t="s">
        <v>817</v>
      </c>
      <c r="E31" s="25" t="s">
        <v>818</v>
      </c>
      <c r="F31" s="25" t="s">
        <v>819</v>
      </c>
      <c r="G31" s="26" t="s">
        <v>844</v>
      </c>
      <c r="H31" s="25" t="s">
        <v>880</v>
      </c>
      <c r="I31" s="25" t="s">
        <v>881</v>
      </c>
      <c r="J31" s="109"/>
      <c r="K31" s="27" t="s">
        <v>878</v>
      </c>
      <c r="L31" s="25" t="s">
        <v>882</v>
      </c>
    </row>
    <row r="32" spans="1:12">
      <c r="A32" s="22" t="s">
        <v>816</v>
      </c>
      <c r="B32" s="24" t="s">
        <v>271</v>
      </c>
      <c r="C32" s="24" t="s">
        <v>780</v>
      </c>
      <c r="D32" s="25" t="s">
        <v>817</v>
      </c>
      <c r="E32" s="25" t="s">
        <v>818</v>
      </c>
      <c r="F32" s="25" t="s">
        <v>819</v>
      </c>
      <c r="G32" s="26" t="s">
        <v>844</v>
      </c>
      <c r="H32" s="25" t="s">
        <v>883</v>
      </c>
      <c r="I32" s="25" t="s">
        <v>884</v>
      </c>
      <c r="J32" s="109"/>
      <c r="K32" s="27" t="s">
        <v>878</v>
      </c>
      <c r="L32" s="25" t="s">
        <v>885</v>
      </c>
    </row>
    <row r="33" spans="1:12">
      <c r="A33" s="22" t="s">
        <v>816</v>
      </c>
      <c r="B33" s="24" t="s">
        <v>271</v>
      </c>
      <c r="C33" s="24" t="s">
        <v>780</v>
      </c>
      <c r="D33" s="25" t="s">
        <v>817</v>
      </c>
      <c r="E33" s="25" t="s">
        <v>818</v>
      </c>
      <c r="F33" s="25" t="s">
        <v>819</v>
      </c>
      <c r="G33" s="26" t="s">
        <v>844</v>
      </c>
      <c r="H33" s="25" t="s">
        <v>886</v>
      </c>
      <c r="I33" s="25" t="s">
        <v>887</v>
      </c>
      <c r="J33" s="109"/>
      <c r="K33" s="27" t="s">
        <v>878</v>
      </c>
      <c r="L33" s="25" t="s">
        <v>888</v>
      </c>
    </row>
    <row r="34" spans="1:12">
      <c r="A34" s="22" t="s">
        <v>816</v>
      </c>
      <c r="B34" s="24" t="s">
        <v>271</v>
      </c>
      <c r="C34" s="24" t="s">
        <v>780</v>
      </c>
      <c r="D34" s="25" t="s">
        <v>817</v>
      </c>
      <c r="E34" s="25" t="s">
        <v>818</v>
      </c>
      <c r="F34" s="25" t="s">
        <v>819</v>
      </c>
      <c r="G34" s="26" t="s">
        <v>844</v>
      </c>
      <c r="H34" s="25" t="s">
        <v>889</v>
      </c>
      <c r="I34" s="25" t="s">
        <v>890</v>
      </c>
      <c r="J34" s="109"/>
      <c r="K34" s="27" t="s">
        <v>878</v>
      </c>
      <c r="L34" s="25" t="s">
        <v>891</v>
      </c>
    </row>
    <row r="35" spans="1:12">
      <c r="A35" s="22" t="s">
        <v>816</v>
      </c>
      <c r="B35" s="24" t="s">
        <v>271</v>
      </c>
      <c r="C35" s="24" t="s">
        <v>780</v>
      </c>
      <c r="D35" s="25" t="s">
        <v>817</v>
      </c>
      <c r="E35" s="25" t="s">
        <v>818</v>
      </c>
      <c r="F35" s="25" t="s">
        <v>819</v>
      </c>
      <c r="G35" s="26" t="s">
        <v>844</v>
      </c>
      <c r="H35" s="25" t="s">
        <v>892</v>
      </c>
      <c r="I35" s="25" t="s">
        <v>893</v>
      </c>
      <c r="J35" s="109"/>
      <c r="K35" s="27" t="s">
        <v>878</v>
      </c>
      <c r="L35" s="25" t="s">
        <v>894</v>
      </c>
    </row>
    <row r="36" spans="1:12">
      <c r="A36" s="22" t="s">
        <v>816</v>
      </c>
      <c r="B36" s="24" t="s">
        <v>271</v>
      </c>
      <c r="C36" s="24" t="s">
        <v>780</v>
      </c>
      <c r="D36" s="25" t="s">
        <v>817</v>
      </c>
      <c r="E36" s="25" t="s">
        <v>818</v>
      </c>
      <c r="F36" s="25" t="s">
        <v>819</v>
      </c>
      <c r="G36" s="26" t="s">
        <v>844</v>
      </c>
      <c r="H36" s="25" t="s">
        <v>895</v>
      </c>
      <c r="I36" s="25" t="s">
        <v>896</v>
      </c>
      <c r="J36" s="109"/>
      <c r="K36" s="27" t="s">
        <v>878</v>
      </c>
      <c r="L36" s="25" t="s">
        <v>897</v>
      </c>
    </row>
    <row r="37" spans="1:12">
      <c r="A37" s="22" t="s">
        <v>816</v>
      </c>
      <c r="B37" s="24" t="s">
        <v>271</v>
      </c>
      <c r="C37" s="24" t="s">
        <v>780</v>
      </c>
      <c r="D37" s="25" t="s">
        <v>817</v>
      </c>
      <c r="E37" s="25" t="s">
        <v>818</v>
      </c>
      <c r="F37" s="25" t="s">
        <v>819</v>
      </c>
      <c r="G37" s="26" t="s">
        <v>844</v>
      </c>
      <c r="H37" s="25" t="s">
        <v>898</v>
      </c>
      <c r="I37" s="25" t="s">
        <v>899</v>
      </c>
      <c r="J37" s="109"/>
      <c r="K37" s="27" t="s">
        <v>878</v>
      </c>
      <c r="L37" s="25" t="s">
        <v>900</v>
      </c>
    </row>
    <row r="38" spans="1:12">
      <c r="A38" s="22" t="s">
        <v>816</v>
      </c>
      <c r="B38" s="24" t="s">
        <v>271</v>
      </c>
      <c r="C38" s="24" t="s">
        <v>780</v>
      </c>
      <c r="D38" s="25" t="s">
        <v>817</v>
      </c>
      <c r="E38" s="25" t="s">
        <v>818</v>
      </c>
      <c r="F38" s="25" t="s">
        <v>819</v>
      </c>
      <c r="G38" s="26" t="s">
        <v>844</v>
      </c>
      <c r="H38" s="25" t="s">
        <v>901</v>
      </c>
      <c r="I38" s="25" t="s">
        <v>902</v>
      </c>
      <c r="J38" s="109"/>
      <c r="K38" s="27" t="s">
        <v>878</v>
      </c>
      <c r="L38" s="25" t="s">
        <v>903</v>
      </c>
    </row>
    <row r="39" spans="1:12">
      <c r="A39" s="22" t="s">
        <v>816</v>
      </c>
      <c r="B39" s="24" t="s">
        <v>271</v>
      </c>
      <c r="C39" s="24" t="s">
        <v>780</v>
      </c>
      <c r="D39" s="25" t="s">
        <v>817</v>
      </c>
      <c r="E39" s="25" t="s">
        <v>818</v>
      </c>
      <c r="F39" s="25" t="s">
        <v>819</v>
      </c>
      <c r="G39" s="26" t="s">
        <v>844</v>
      </c>
      <c r="H39" s="25" t="s">
        <v>904</v>
      </c>
      <c r="I39" s="25" t="s">
        <v>905</v>
      </c>
      <c r="J39" s="107"/>
      <c r="K39" s="27" t="s">
        <v>878</v>
      </c>
      <c r="L39" s="25" t="s">
        <v>906</v>
      </c>
    </row>
    <row r="40" spans="1:12">
      <c r="A40" s="22" t="s">
        <v>816</v>
      </c>
      <c r="B40" s="24" t="s">
        <v>907</v>
      </c>
      <c r="C40" s="24" t="s">
        <v>780</v>
      </c>
      <c r="D40" s="25" t="s">
        <v>817</v>
      </c>
      <c r="E40" s="25" t="s">
        <v>908</v>
      </c>
      <c r="F40" s="25" t="s">
        <v>909</v>
      </c>
      <c r="G40" s="26" t="s">
        <v>784</v>
      </c>
      <c r="H40" s="25" t="s">
        <v>785</v>
      </c>
      <c r="I40" s="25" t="s">
        <v>786</v>
      </c>
      <c r="J40" s="110" t="s">
        <v>910</v>
      </c>
      <c r="K40" s="27" t="s">
        <v>911</v>
      </c>
      <c r="L40" s="25" t="s">
        <v>912</v>
      </c>
    </row>
    <row r="41" spans="1:12">
      <c r="A41" s="22" t="s">
        <v>816</v>
      </c>
      <c r="B41" s="24" t="s">
        <v>907</v>
      </c>
      <c r="C41" s="24" t="s">
        <v>780</v>
      </c>
      <c r="D41" s="25" t="s">
        <v>817</v>
      </c>
      <c r="E41" s="25" t="s">
        <v>908</v>
      </c>
      <c r="F41" s="25" t="s">
        <v>909</v>
      </c>
      <c r="G41" s="26" t="s">
        <v>801</v>
      </c>
      <c r="H41" s="25" t="s">
        <v>802</v>
      </c>
      <c r="I41" s="25" t="s">
        <v>803</v>
      </c>
      <c r="J41" s="109"/>
      <c r="K41" s="27" t="s">
        <v>911</v>
      </c>
      <c r="L41" s="25" t="s">
        <v>913</v>
      </c>
    </row>
    <row r="42" spans="1:12">
      <c r="A42" s="22" t="s">
        <v>816</v>
      </c>
      <c r="B42" s="24" t="s">
        <v>907</v>
      </c>
      <c r="C42" s="24" t="s">
        <v>780</v>
      </c>
      <c r="D42" s="25" t="s">
        <v>817</v>
      </c>
      <c r="E42" s="25" t="s">
        <v>908</v>
      </c>
      <c r="F42" s="25" t="s">
        <v>909</v>
      </c>
      <c r="G42" s="26" t="s">
        <v>806</v>
      </c>
      <c r="H42" s="25" t="s">
        <v>807</v>
      </c>
      <c r="I42" s="25" t="s">
        <v>808</v>
      </c>
      <c r="J42" s="109"/>
      <c r="K42" s="27" t="s">
        <v>911</v>
      </c>
      <c r="L42" s="25" t="s">
        <v>914</v>
      </c>
    </row>
    <row r="43" spans="1:12">
      <c r="A43" s="22" t="s">
        <v>816</v>
      </c>
      <c r="B43" s="24" t="s">
        <v>907</v>
      </c>
      <c r="C43" s="24" t="s">
        <v>780</v>
      </c>
      <c r="D43" s="25" t="s">
        <v>817</v>
      </c>
      <c r="E43" s="25" t="s">
        <v>908</v>
      </c>
      <c r="F43" s="25" t="s">
        <v>909</v>
      </c>
      <c r="G43" s="26" t="s">
        <v>791</v>
      </c>
      <c r="H43" s="25" t="s">
        <v>792</v>
      </c>
      <c r="I43" s="25" t="s">
        <v>793</v>
      </c>
      <c r="J43" s="109"/>
      <c r="K43" s="27" t="s">
        <v>915</v>
      </c>
      <c r="L43" s="25" t="s">
        <v>916</v>
      </c>
    </row>
    <row r="44" spans="1:12">
      <c r="A44" s="22" t="s">
        <v>816</v>
      </c>
      <c r="B44" s="24" t="s">
        <v>907</v>
      </c>
      <c r="C44" s="24" t="s">
        <v>780</v>
      </c>
      <c r="D44" s="25" t="s">
        <v>817</v>
      </c>
      <c r="E44" s="25" t="s">
        <v>908</v>
      </c>
      <c r="F44" s="25" t="s">
        <v>909</v>
      </c>
      <c r="G44" s="26" t="s">
        <v>796</v>
      </c>
      <c r="H44" s="25" t="s">
        <v>797</v>
      </c>
      <c r="I44" s="25" t="s">
        <v>798</v>
      </c>
      <c r="J44" s="109"/>
      <c r="K44" s="27" t="s">
        <v>915</v>
      </c>
      <c r="L44" s="25" t="s">
        <v>917</v>
      </c>
    </row>
    <row r="45" spans="1:12">
      <c r="A45" s="22" t="s">
        <v>816</v>
      </c>
      <c r="B45" s="24" t="s">
        <v>907</v>
      </c>
      <c r="C45" s="24" t="s">
        <v>780</v>
      </c>
      <c r="D45" s="25" t="s">
        <v>817</v>
      </c>
      <c r="E45" s="25" t="s">
        <v>908</v>
      </c>
      <c r="F45" s="25" t="s">
        <v>909</v>
      </c>
      <c r="G45" s="26" t="s">
        <v>918</v>
      </c>
      <c r="H45" s="25" t="s">
        <v>919</v>
      </c>
      <c r="I45" s="25" t="s">
        <v>920</v>
      </c>
      <c r="J45" s="109"/>
      <c r="K45" s="27" t="s">
        <v>915</v>
      </c>
      <c r="L45" s="25" t="s">
        <v>921</v>
      </c>
    </row>
    <row r="46" spans="1:12">
      <c r="A46" s="22" t="s">
        <v>816</v>
      </c>
      <c r="B46" s="24" t="s">
        <v>907</v>
      </c>
      <c r="C46" s="24" t="s">
        <v>780</v>
      </c>
      <c r="D46" s="25" t="s">
        <v>817</v>
      </c>
      <c r="E46" s="25" t="s">
        <v>908</v>
      </c>
      <c r="F46" s="25" t="s">
        <v>909</v>
      </c>
      <c r="G46" s="26" t="s">
        <v>811</v>
      </c>
      <c r="H46" s="25" t="s">
        <v>812</v>
      </c>
      <c r="I46" s="25" t="s">
        <v>813</v>
      </c>
      <c r="J46" s="109"/>
      <c r="K46" s="27" t="s">
        <v>922</v>
      </c>
      <c r="L46" s="25" t="s">
        <v>923</v>
      </c>
    </row>
    <row r="47" spans="1:12">
      <c r="A47" s="22" t="s">
        <v>816</v>
      </c>
      <c r="B47" s="24" t="s">
        <v>907</v>
      </c>
      <c r="C47" s="24" t="s">
        <v>780</v>
      </c>
      <c r="D47" s="25" t="s">
        <v>817</v>
      </c>
      <c r="E47" s="25" t="s">
        <v>908</v>
      </c>
      <c r="F47" s="25" t="s">
        <v>909</v>
      </c>
      <c r="G47" s="26" t="s">
        <v>811</v>
      </c>
      <c r="H47" s="25" t="s">
        <v>824</v>
      </c>
      <c r="I47" s="25" t="s">
        <v>825</v>
      </c>
      <c r="J47" s="109"/>
      <c r="K47" s="27" t="s">
        <v>922</v>
      </c>
      <c r="L47" s="25" t="s">
        <v>924</v>
      </c>
    </row>
    <row r="48" spans="1:12">
      <c r="A48" s="22" t="s">
        <v>816</v>
      </c>
      <c r="B48" s="24" t="s">
        <v>907</v>
      </c>
      <c r="C48" s="24" t="s">
        <v>780</v>
      </c>
      <c r="D48" s="25" t="s">
        <v>817</v>
      </c>
      <c r="E48" s="25" t="s">
        <v>908</v>
      </c>
      <c r="F48" s="25" t="s">
        <v>909</v>
      </c>
      <c r="G48" s="26" t="s">
        <v>811</v>
      </c>
      <c r="H48" s="25" t="s">
        <v>827</v>
      </c>
      <c r="I48" s="25" t="s">
        <v>828</v>
      </c>
      <c r="J48" s="109"/>
      <c r="K48" s="27" t="s">
        <v>922</v>
      </c>
      <c r="L48" s="25" t="s">
        <v>925</v>
      </c>
    </row>
    <row r="49" spans="1:12">
      <c r="A49" s="22" t="s">
        <v>816</v>
      </c>
      <c r="B49" s="24" t="s">
        <v>907</v>
      </c>
      <c r="C49" s="24" t="s">
        <v>780</v>
      </c>
      <c r="D49" s="25" t="s">
        <v>817</v>
      </c>
      <c r="E49" s="25" t="s">
        <v>908</v>
      </c>
      <c r="F49" s="25" t="s">
        <v>909</v>
      </c>
      <c r="G49" s="26" t="s">
        <v>811</v>
      </c>
      <c r="H49" s="25" t="s">
        <v>830</v>
      </c>
      <c r="I49" s="25" t="s">
        <v>831</v>
      </c>
      <c r="J49" s="109"/>
      <c r="K49" s="27" t="s">
        <v>922</v>
      </c>
      <c r="L49" s="25" t="s">
        <v>926</v>
      </c>
    </row>
    <row r="50" spans="1:12">
      <c r="A50" s="22" t="s">
        <v>816</v>
      </c>
      <c r="B50" s="24" t="s">
        <v>907</v>
      </c>
      <c r="C50" s="24" t="s">
        <v>780</v>
      </c>
      <c r="D50" s="25" t="s">
        <v>817</v>
      </c>
      <c r="E50" s="25" t="s">
        <v>908</v>
      </c>
      <c r="F50" s="25" t="s">
        <v>909</v>
      </c>
      <c r="G50" s="26" t="s">
        <v>811</v>
      </c>
      <c r="H50" s="25" t="s">
        <v>833</v>
      </c>
      <c r="I50" s="25" t="s">
        <v>834</v>
      </c>
      <c r="J50" s="109"/>
      <c r="K50" s="27" t="s">
        <v>922</v>
      </c>
      <c r="L50" s="25" t="s">
        <v>927</v>
      </c>
    </row>
    <row r="51" spans="1:12">
      <c r="A51" s="22" t="s">
        <v>816</v>
      </c>
      <c r="B51" s="24" t="s">
        <v>907</v>
      </c>
      <c r="C51" s="24" t="s">
        <v>780</v>
      </c>
      <c r="D51" s="25" t="s">
        <v>817</v>
      </c>
      <c r="E51" s="25" t="s">
        <v>908</v>
      </c>
      <c r="F51" s="25" t="s">
        <v>909</v>
      </c>
      <c r="G51" s="26" t="s">
        <v>811</v>
      </c>
      <c r="H51" s="25" t="s">
        <v>836</v>
      </c>
      <c r="I51" s="25" t="s">
        <v>837</v>
      </c>
      <c r="J51" s="107"/>
      <c r="K51" s="27" t="s">
        <v>922</v>
      </c>
      <c r="L51" s="25" t="s">
        <v>928</v>
      </c>
    </row>
    <row r="52" spans="1:12">
      <c r="A52" s="22" t="s">
        <v>816</v>
      </c>
      <c r="B52" s="24" t="s">
        <v>907</v>
      </c>
      <c r="C52" s="24" t="s">
        <v>780</v>
      </c>
      <c r="D52" s="25" t="s">
        <v>817</v>
      </c>
      <c r="E52" s="25" t="s">
        <v>929</v>
      </c>
      <c r="F52" s="25" t="s">
        <v>930</v>
      </c>
      <c r="G52" s="26" t="s">
        <v>784</v>
      </c>
      <c r="H52" s="25" t="s">
        <v>785</v>
      </c>
      <c r="I52" s="25" t="s">
        <v>786</v>
      </c>
      <c r="J52" s="111" t="s">
        <v>931</v>
      </c>
      <c r="K52" s="27" t="s">
        <v>911</v>
      </c>
      <c r="L52" s="25" t="s">
        <v>912</v>
      </c>
    </row>
    <row r="53" spans="1:12">
      <c r="A53" s="22" t="s">
        <v>816</v>
      </c>
      <c r="B53" s="24" t="s">
        <v>907</v>
      </c>
      <c r="C53" s="24" t="s">
        <v>780</v>
      </c>
      <c r="D53" s="25" t="s">
        <v>817</v>
      </c>
      <c r="E53" s="25" t="s">
        <v>929</v>
      </c>
      <c r="F53" s="25" t="s">
        <v>930</v>
      </c>
      <c r="G53" s="26" t="s">
        <v>801</v>
      </c>
      <c r="H53" s="25" t="s">
        <v>802</v>
      </c>
      <c r="I53" s="25" t="s">
        <v>803</v>
      </c>
      <c r="J53" s="109"/>
      <c r="K53" s="27" t="s">
        <v>911</v>
      </c>
      <c r="L53" s="25" t="s">
        <v>913</v>
      </c>
    </row>
    <row r="54" spans="1:12">
      <c r="A54" s="22" t="s">
        <v>816</v>
      </c>
      <c r="B54" s="24" t="s">
        <v>907</v>
      </c>
      <c r="C54" s="24" t="s">
        <v>780</v>
      </c>
      <c r="D54" s="25" t="s">
        <v>817</v>
      </c>
      <c r="E54" s="25" t="s">
        <v>929</v>
      </c>
      <c r="F54" s="25" t="s">
        <v>930</v>
      </c>
      <c r="G54" s="26" t="s">
        <v>806</v>
      </c>
      <c r="H54" s="25" t="s">
        <v>807</v>
      </c>
      <c r="I54" s="25" t="s">
        <v>808</v>
      </c>
      <c r="J54" s="109"/>
      <c r="K54" s="27" t="s">
        <v>911</v>
      </c>
      <c r="L54" s="25" t="s">
        <v>914</v>
      </c>
    </row>
    <row r="55" spans="1:12">
      <c r="A55" s="22" t="s">
        <v>816</v>
      </c>
      <c r="B55" s="24" t="s">
        <v>907</v>
      </c>
      <c r="C55" s="24" t="s">
        <v>780</v>
      </c>
      <c r="D55" s="25" t="s">
        <v>817</v>
      </c>
      <c r="E55" s="25" t="s">
        <v>929</v>
      </c>
      <c r="F55" s="25" t="s">
        <v>930</v>
      </c>
      <c r="G55" s="26" t="s">
        <v>791</v>
      </c>
      <c r="H55" s="25" t="s">
        <v>792</v>
      </c>
      <c r="I55" s="25" t="s">
        <v>793</v>
      </c>
      <c r="J55" s="109"/>
      <c r="K55" s="27" t="s">
        <v>915</v>
      </c>
      <c r="L55" s="25" t="s">
        <v>916</v>
      </c>
    </row>
    <row r="56" spans="1:12">
      <c r="A56" s="22" t="s">
        <v>816</v>
      </c>
      <c r="B56" s="24" t="s">
        <v>907</v>
      </c>
      <c r="C56" s="24" t="s">
        <v>780</v>
      </c>
      <c r="D56" s="25" t="s">
        <v>817</v>
      </c>
      <c r="E56" s="25" t="s">
        <v>929</v>
      </c>
      <c r="F56" s="25" t="s">
        <v>930</v>
      </c>
      <c r="G56" s="26" t="s">
        <v>796</v>
      </c>
      <c r="H56" s="25" t="s">
        <v>797</v>
      </c>
      <c r="I56" s="25" t="s">
        <v>798</v>
      </c>
      <c r="J56" s="109"/>
      <c r="K56" s="27" t="s">
        <v>915</v>
      </c>
      <c r="L56" s="25" t="s">
        <v>917</v>
      </c>
    </row>
    <row r="57" spans="1:12">
      <c r="A57" s="22" t="s">
        <v>816</v>
      </c>
      <c r="B57" s="24" t="s">
        <v>907</v>
      </c>
      <c r="C57" s="24" t="s">
        <v>780</v>
      </c>
      <c r="D57" s="25" t="s">
        <v>817</v>
      </c>
      <c r="E57" s="25" t="s">
        <v>929</v>
      </c>
      <c r="F57" s="25" t="s">
        <v>930</v>
      </c>
      <c r="G57" s="26" t="s">
        <v>918</v>
      </c>
      <c r="H57" s="25" t="s">
        <v>919</v>
      </c>
      <c r="I57" s="25" t="s">
        <v>920</v>
      </c>
      <c r="J57" s="109"/>
      <c r="K57" s="27" t="s">
        <v>915</v>
      </c>
      <c r="L57" s="25" t="s">
        <v>921</v>
      </c>
    </row>
    <row r="58" spans="1:12">
      <c r="A58" s="22" t="s">
        <v>816</v>
      </c>
      <c r="B58" s="24" t="s">
        <v>907</v>
      </c>
      <c r="C58" s="24" t="s">
        <v>780</v>
      </c>
      <c r="D58" s="25" t="s">
        <v>817</v>
      </c>
      <c r="E58" s="25" t="s">
        <v>929</v>
      </c>
      <c r="F58" s="25" t="s">
        <v>930</v>
      </c>
      <c r="G58" s="26" t="s">
        <v>811</v>
      </c>
      <c r="H58" s="25" t="s">
        <v>812</v>
      </c>
      <c r="I58" s="25" t="s">
        <v>813</v>
      </c>
      <c r="J58" s="109"/>
      <c r="K58" s="27" t="s">
        <v>922</v>
      </c>
      <c r="L58" s="25" t="s">
        <v>923</v>
      </c>
    </row>
    <row r="59" spans="1:12">
      <c r="A59" s="22" t="s">
        <v>816</v>
      </c>
      <c r="B59" s="24" t="s">
        <v>907</v>
      </c>
      <c r="C59" s="24" t="s">
        <v>780</v>
      </c>
      <c r="D59" s="25" t="s">
        <v>817</v>
      </c>
      <c r="E59" s="25" t="s">
        <v>929</v>
      </c>
      <c r="F59" s="25" t="s">
        <v>930</v>
      </c>
      <c r="G59" s="26" t="s">
        <v>811</v>
      </c>
      <c r="H59" s="25" t="s">
        <v>824</v>
      </c>
      <c r="I59" s="25" t="s">
        <v>825</v>
      </c>
      <c r="J59" s="109"/>
      <c r="K59" s="27" t="s">
        <v>922</v>
      </c>
      <c r="L59" s="25" t="s">
        <v>924</v>
      </c>
    </row>
    <row r="60" spans="1:12">
      <c r="A60" s="22" t="s">
        <v>816</v>
      </c>
      <c r="B60" s="24" t="s">
        <v>907</v>
      </c>
      <c r="C60" s="24" t="s">
        <v>780</v>
      </c>
      <c r="D60" s="25" t="s">
        <v>817</v>
      </c>
      <c r="E60" s="25" t="s">
        <v>929</v>
      </c>
      <c r="F60" s="25" t="s">
        <v>930</v>
      </c>
      <c r="G60" s="26" t="s">
        <v>811</v>
      </c>
      <c r="H60" s="25" t="s">
        <v>827</v>
      </c>
      <c r="I60" s="25" t="s">
        <v>828</v>
      </c>
      <c r="J60" s="109"/>
      <c r="K60" s="27" t="s">
        <v>922</v>
      </c>
      <c r="L60" s="25" t="s">
        <v>925</v>
      </c>
    </row>
    <row r="61" spans="1:12">
      <c r="A61" s="22" t="s">
        <v>816</v>
      </c>
      <c r="B61" s="24" t="s">
        <v>907</v>
      </c>
      <c r="C61" s="24" t="s">
        <v>780</v>
      </c>
      <c r="D61" s="25" t="s">
        <v>817</v>
      </c>
      <c r="E61" s="25" t="s">
        <v>929</v>
      </c>
      <c r="F61" s="25" t="s">
        <v>930</v>
      </c>
      <c r="G61" s="26" t="s">
        <v>811</v>
      </c>
      <c r="H61" s="25" t="s">
        <v>830</v>
      </c>
      <c r="I61" s="25" t="s">
        <v>831</v>
      </c>
      <c r="J61" s="109"/>
      <c r="K61" s="27" t="s">
        <v>922</v>
      </c>
      <c r="L61" s="25" t="s">
        <v>926</v>
      </c>
    </row>
    <row r="62" spans="1:12">
      <c r="A62" s="22" t="s">
        <v>816</v>
      </c>
      <c r="B62" s="24" t="s">
        <v>907</v>
      </c>
      <c r="C62" s="24" t="s">
        <v>780</v>
      </c>
      <c r="D62" s="25" t="s">
        <v>817</v>
      </c>
      <c r="E62" s="25" t="s">
        <v>929</v>
      </c>
      <c r="F62" s="25" t="s">
        <v>930</v>
      </c>
      <c r="G62" s="26" t="s">
        <v>811</v>
      </c>
      <c r="H62" s="25" t="s">
        <v>833</v>
      </c>
      <c r="I62" s="25" t="s">
        <v>834</v>
      </c>
      <c r="J62" s="109"/>
      <c r="K62" s="27" t="s">
        <v>922</v>
      </c>
      <c r="L62" s="25" t="s">
        <v>927</v>
      </c>
    </row>
    <row r="63" spans="1:12">
      <c r="A63" s="22" t="s">
        <v>816</v>
      </c>
      <c r="B63" s="24" t="s">
        <v>907</v>
      </c>
      <c r="C63" s="24" t="s">
        <v>780</v>
      </c>
      <c r="D63" s="25" t="s">
        <v>817</v>
      </c>
      <c r="E63" s="25" t="s">
        <v>929</v>
      </c>
      <c r="F63" s="25" t="s">
        <v>930</v>
      </c>
      <c r="G63" s="26" t="s">
        <v>811</v>
      </c>
      <c r="H63" s="25" t="s">
        <v>836</v>
      </c>
      <c r="I63" s="25" t="s">
        <v>837</v>
      </c>
      <c r="J63" s="107"/>
      <c r="K63" s="27" t="s">
        <v>922</v>
      </c>
      <c r="L63" s="25" t="s">
        <v>928</v>
      </c>
    </row>
    <row r="64" spans="1:12">
      <c r="A64" s="22" t="s">
        <v>816</v>
      </c>
      <c r="B64" s="24" t="s">
        <v>907</v>
      </c>
      <c r="C64" s="24" t="s">
        <v>780</v>
      </c>
      <c r="D64" s="25" t="s">
        <v>817</v>
      </c>
      <c r="E64" s="25" t="s">
        <v>932</v>
      </c>
      <c r="F64" s="28" t="s">
        <v>933</v>
      </c>
      <c r="G64" s="26" t="s">
        <v>784</v>
      </c>
      <c r="H64" s="25" t="s">
        <v>785</v>
      </c>
      <c r="I64" s="25" t="s">
        <v>786</v>
      </c>
      <c r="J64" s="110" t="s">
        <v>934</v>
      </c>
      <c r="K64" s="27" t="s">
        <v>935</v>
      </c>
      <c r="L64" s="25" t="s">
        <v>912</v>
      </c>
    </row>
    <row r="65" spans="1:12">
      <c r="A65" s="22" t="s">
        <v>816</v>
      </c>
      <c r="B65" s="24" t="s">
        <v>907</v>
      </c>
      <c r="C65" s="24" t="s">
        <v>780</v>
      </c>
      <c r="D65" s="25" t="s">
        <v>817</v>
      </c>
      <c r="E65" s="25" t="s">
        <v>932</v>
      </c>
      <c r="F65" s="28" t="s">
        <v>933</v>
      </c>
      <c r="G65" s="26" t="s">
        <v>801</v>
      </c>
      <c r="H65" s="25" t="s">
        <v>802</v>
      </c>
      <c r="I65" s="25" t="s">
        <v>803</v>
      </c>
      <c r="J65" s="109"/>
      <c r="K65" s="27" t="s">
        <v>935</v>
      </c>
      <c r="L65" s="25" t="s">
        <v>913</v>
      </c>
    </row>
    <row r="66" spans="1:12">
      <c r="A66" s="22" t="s">
        <v>816</v>
      </c>
      <c r="B66" s="24" t="s">
        <v>907</v>
      </c>
      <c r="C66" s="24" t="s">
        <v>780</v>
      </c>
      <c r="D66" s="25" t="s">
        <v>817</v>
      </c>
      <c r="E66" s="25" t="s">
        <v>932</v>
      </c>
      <c r="F66" s="28" t="s">
        <v>933</v>
      </c>
      <c r="G66" s="26" t="s">
        <v>806</v>
      </c>
      <c r="H66" s="25" t="s">
        <v>807</v>
      </c>
      <c r="I66" s="25" t="s">
        <v>808</v>
      </c>
      <c r="J66" s="109"/>
      <c r="K66" s="27" t="s">
        <v>935</v>
      </c>
      <c r="L66" s="25" t="s">
        <v>914</v>
      </c>
    </row>
    <row r="67" spans="1:12">
      <c r="A67" s="22" t="s">
        <v>816</v>
      </c>
      <c r="B67" s="24" t="s">
        <v>907</v>
      </c>
      <c r="C67" s="24" t="s">
        <v>780</v>
      </c>
      <c r="D67" s="25" t="s">
        <v>817</v>
      </c>
      <c r="E67" s="25" t="s">
        <v>932</v>
      </c>
      <c r="F67" s="28" t="s">
        <v>933</v>
      </c>
      <c r="G67" s="26" t="s">
        <v>791</v>
      </c>
      <c r="H67" s="25" t="s">
        <v>792</v>
      </c>
      <c r="I67" s="25" t="s">
        <v>793</v>
      </c>
      <c r="J67" s="109"/>
      <c r="K67" s="27" t="s">
        <v>936</v>
      </c>
      <c r="L67" s="25" t="s">
        <v>916</v>
      </c>
    </row>
    <row r="68" spans="1:12">
      <c r="A68" s="22" t="s">
        <v>816</v>
      </c>
      <c r="B68" s="24" t="s">
        <v>907</v>
      </c>
      <c r="C68" s="24" t="s">
        <v>780</v>
      </c>
      <c r="D68" s="25" t="s">
        <v>817</v>
      </c>
      <c r="E68" s="25" t="s">
        <v>932</v>
      </c>
      <c r="F68" s="28" t="s">
        <v>933</v>
      </c>
      <c r="G68" s="26" t="s">
        <v>796</v>
      </c>
      <c r="H68" s="25" t="s">
        <v>797</v>
      </c>
      <c r="I68" s="25" t="s">
        <v>798</v>
      </c>
      <c r="J68" s="109"/>
      <c r="K68" s="27" t="s">
        <v>936</v>
      </c>
      <c r="L68" s="25" t="s">
        <v>917</v>
      </c>
    </row>
    <row r="69" spans="1:12">
      <c r="A69" s="22" t="s">
        <v>816</v>
      </c>
      <c r="B69" s="24" t="s">
        <v>907</v>
      </c>
      <c r="C69" s="24" t="s">
        <v>780</v>
      </c>
      <c r="D69" s="25" t="s">
        <v>817</v>
      </c>
      <c r="E69" s="25" t="s">
        <v>932</v>
      </c>
      <c r="F69" s="28" t="s">
        <v>933</v>
      </c>
      <c r="G69" s="26" t="s">
        <v>918</v>
      </c>
      <c r="H69" s="25" t="s">
        <v>919</v>
      </c>
      <c r="I69" s="25" t="s">
        <v>920</v>
      </c>
      <c r="J69" s="109"/>
      <c r="K69" s="27" t="s">
        <v>936</v>
      </c>
      <c r="L69" s="25" t="s">
        <v>921</v>
      </c>
    </row>
    <row r="70" spans="1:12">
      <c r="A70" s="22" t="s">
        <v>816</v>
      </c>
      <c r="B70" s="24" t="s">
        <v>907</v>
      </c>
      <c r="C70" s="24" t="s">
        <v>780</v>
      </c>
      <c r="D70" s="25" t="s">
        <v>817</v>
      </c>
      <c r="E70" s="25" t="s">
        <v>932</v>
      </c>
      <c r="F70" s="28" t="s">
        <v>933</v>
      </c>
      <c r="G70" s="26" t="s">
        <v>811</v>
      </c>
      <c r="H70" s="25" t="s">
        <v>812</v>
      </c>
      <c r="I70" s="25" t="s">
        <v>813</v>
      </c>
      <c r="J70" s="109"/>
      <c r="K70" s="27" t="s">
        <v>937</v>
      </c>
      <c r="L70" s="25" t="s">
        <v>923</v>
      </c>
    </row>
    <row r="71" spans="1:12">
      <c r="A71" s="22" t="s">
        <v>816</v>
      </c>
      <c r="B71" s="24" t="s">
        <v>907</v>
      </c>
      <c r="C71" s="24" t="s">
        <v>780</v>
      </c>
      <c r="D71" s="25" t="s">
        <v>817</v>
      </c>
      <c r="E71" s="25" t="s">
        <v>932</v>
      </c>
      <c r="F71" s="28" t="s">
        <v>933</v>
      </c>
      <c r="G71" s="26" t="s">
        <v>811</v>
      </c>
      <c r="H71" s="25" t="s">
        <v>824</v>
      </c>
      <c r="I71" s="25" t="s">
        <v>825</v>
      </c>
      <c r="J71" s="109"/>
      <c r="K71" s="27" t="s">
        <v>937</v>
      </c>
      <c r="L71" s="25" t="s">
        <v>924</v>
      </c>
    </row>
    <row r="72" spans="1:12">
      <c r="A72" s="22" t="s">
        <v>816</v>
      </c>
      <c r="B72" s="24" t="s">
        <v>907</v>
      </c>
      <c r="C72" s="24" t="s">
        <v>780</v>
      </c>
      <c r="D72" s="25" t="s">
        <v>817</v>
      </c>
      <c r="E72" s="25" t="s">
        <v>932</v>
      </c>
      <c r="F72" s="28" t="s">
        <v>933</v>
      </c>
      <c r="G72" s="26" t="s">
        <v>811</v>
      </c>
      <c r="H72" s="25" t="s">
        <v>827</v>
      </c>
      <c r="I72" s="25" t="s">
        <v>828</v>
      </c>
      <c r="J72" s="109"/>
      <c r="K72" s="27" t="s">
        <v>937</v>
      </c>
      <c r="L72" s="25" t="s">
        <v>925</v>
      </c>
    </row>
    <row r="73" spans="1:12">
      <c r="A73" s="22" t="s">
        <v>816</v>
      </c>
      <c r="B73" s="24" t="s">
        <v>907</v>
      </c>
      <c r="C73" s="24" t="s">
        <v>780</v>
      </c>
      <c r="D73" s="25" t="s">
        <v>817</v>
      </c>
      <c r="E73" s="25" t="s">
        <v>932</v>
      </c>
      <c r="F73" s="28" t="s">
        <v>933</v>
      </c>
      <c r="G73" s="26" t="s">
        <v>811</v>
      </c>
      <c r="H73" s="25" t="s">
        <v>830</v>
      </c>
      <c r="I73" s="25" t="s">
        <v>831</v>
      </c>
      <c r="J73" s="109"/>
      <c r="K73" s="27" t="s">
        <v>937</v>
      </c>
      <c r="L73" s="25" t="s">
        <v>926</v>
      </c>
    </row>
    <row r="74" spans="1:12">
      <c r="A74" s="22" t="s">
        <v>816</v>
      </c>
      <c r="B74" s="24" t="s">
        <v>907</v>
      </c>
      <c r="C74" s="24" t="s">
        <v>780</v>
      </c>
      <c r="D74" s="25" t="s">
        <v>817</v>
      </c>
      <c r="E74" s="25" t="s">
        <v>932</v>
      </c>
      <c r="F74" s="28" t="s">
        <v>933</v>
      </c>
      <c r="G74" s="26" t="s">
        <v>811</v>
      </c>
      <c r="H74" s="25" t="s">
        <v>833</v>
      </c>
      <c r="I74" s="25" t="s">
        <v>834</v>
      </c>
      <c r="J74" s="109"/>
      <c r="K74" s="27" t="s">
        <v>937</v>
      </c>
      <c r="L74" s="25" t="s">
        <v>927</v>
      </c>
    </row>
    <row r="75" spans="1:12">
      <c r="A75" s="22" t="s">
        <v>816</v>
      </c>
      <c r="B75" s="24" t="s">
        <v>907</v>
      </c>
      <c r="C75" s="24" t="s">
        <v>780</v>
      </c>
      <c r="D75" s="25" t="s">
        <v>817</v>
      </c>
      <c r="E75" s="25" t="s">
        <v>932</v>
      </c>
      <c r="F75" s="28" t="s">
        <v>933</v>
      </c>
      <c r="G75" s="26" t="s">
        <v>811</v>
      </c>
      <c r="H75" s="25" t="s">
        <v>836</v>
      </c>
      <c r="I75" s="25" t="s">
        <v>837</v>
      </c>
      <c r="J75" s="107"/>
      <c r="K75" s="27" t="s">
        <v>937</v>
      </c>
      <c r="L75" s="25" t="s">
        <v>928</v>
      </c>
    </row>
    <row r="76" spans="1:12">
      <c r="A76" s="22" t="s">
        <v>816</v>
      </c>
      <c r="B76" s="24" t="s">
        <v>907</v>
      </c>
      <c r="C76" s="24" t="s">
        <v>780</v>
      </c>
      <c r="D76" s="25" t="s">
        <v>817</v>
      </c>
      <c r="E76" s="25" t="s">
        <v>938</v>
      </c>
      <c r="F76" s="25" t="s">
        <v>939</v>
      </c>
      <c r="G76" s="26" t="s">
        <v>784</v>
      </c>
      <c r="H76" s="25" t="s">
        <v>785</v>
      </c>
      <c r="I76" s="25" t="s">
        <v>786</v>
      </c>
      <c r="J76" s="110" t="s">
        <v>940</v>
      </c>
      <c r="K76" s="27" t="s">
        <v>941</v>
      </c>
      <c r="L76" s="25" t="s">
        <v>912</v>
      </c>
    </row>
    <row r="77" spans="1:12">
      <c r="A77" s="22" t="s">
        <v>816</v>
      </c>
      <c r="B77" s="24" t="s">
        <v>907</v>
      </c>
      <c r="C77" s="24" t="s">
        <v>780</v>
      </c>
      <c r="D77" s="25" t="s">
        <v>817</v>
      </c>
      <c r="E77" s="25" t="s">
        <v>938</v>
      </c>
      <c r="F77" s="25" t="s">
        <v>939</v>
      </c>
      <c r="G77" s="26" t="s">
        <v>801</v>
      </c>
      <c r="H77" s="25" t="s">
        <v>802</v>
      </c>
      <c r="I77" s="25" t="s">
        <v>803</v>
      </c>
      <c r="J77" s="109"/>
      <c r="K77" s="27" t="s">
        <v>941</v>
      </c>
      <c r="L77" s="25" t="s">
        <v>913</v>
      </c>
    </row>
    <row r="78" spans="1:12">
      <c r="A78" s="22" t="s">
        <v>816</v>
      </c>
      <c r="B78" s="24" t="s">
        <v>907</v>
      </c>
      <c r="C78" s="24" t="s">
        <v>780</v>
      </c>
      <c r="D78" s="25" t="s">
        <v>817</v>
      </c>
      <c r="E78" s="25" t="s">
        <v>938</v>
      </c>
      <c r="F78" s="25" t="s">
        <v>939</v>
      </c>
      <c r="G78" s="26" t="s">
        <v>806</v>
      </c>
      <c r="H78" s="25" t="s">
        <v>807</v>
      </c>
      <c r="I78" s="25" t="s">
        <v>808</v>
      </c>
      <c r="J78" s="109"/>
      <c r="K78" s="27" t="s">
        <v>941</v>
      </c>
      <c r="L78" s="25" t="s">
        <v>914</v>
      </c>
    </row>
    <row r="79" spans="1:12">
      <c r="A79" s="22" t="s">
        <v>816</v>
      </c>
      <c r="B79" s="24" t="s">
        <v>907</v>
      </c>
      <c r="C79" s="24" t="s">
        <v>780</v>
      </c>
      <c r="D79" s="25" t="s">
        <v>817</v>
      </c>
      <c r="E79" s="25" t="s">
        <v>938</v>
      </c>
      <c r="F79" s="25" t="s">
        <v>939</v>
      </c>
      <c r="G79" s="26" t="s">
        <v>791</v>
      </c>
      <c r="H79" s="25" t="s">
        <v>792</v>
      </c>
      <c r="I79" s="25" t="s">
        <v>793</v>
      </c>
      <c r="J79" s="109"/>
      <c r="K79" s="27" t="s">
        <v>942</v>
      </c>
      <c r="L79" s="25" t="s">
        <v>916</v>
      </c>
    </row>
    <row r="80" spans="1:12">
      <c r="A80" s="22" t="s">
        <v>816</v>
      </c>
      <c r="B80" s="24" t="s">
        <v>907</v>
      </c>
      <c r="C80" s="24" t="s">
        <v>780</v>
      </c>
      <c r="D80" s="25" t="s">
        <v>817</v>
      </c>
      <c r="E80" s="25" t="s">
        <v>938</v>
      </c>
      <c r="F80" s="25" t="s">
        <v>939</v>
      </c>
      <c r="G80" s="26" t="s">
        <v>796</v>
      </c>
      <c r="H80" s="25" t="s">
        <v>797</v>
      </c>
      <c r="I80" s="25" t="s">
        <v>798</v>
      </c>
      <c r="J80" s="109"/>
      <c r="K80" s="27" t="s">
        <v>942</v>
      </c>
      <c r="L80" s="25" t="s">
        <v>917</v>
      </c>
    </row>
    <row r="81" spans="1:12">
      <c r="A81" s="22" t="s">
        <v>816</v>
      </c>
      <c r="B81" s="24" t="s">
        <v>907</v>
      </c>
      <c r="C81" s="24" t="s">
        <v>780</v>
      </c>
      <c r="D81" s="25" t="s">
        <v>817</v>
      </c>
      <c r="E81" s="25" t="s">
        <v>938</v>
      </c>
      <c r="F81" s="25" t="s">
        <v>939</v>
      </c>
      <c r="G81" s="26" t="s">
        <v>918</v>
      </c>
      <c r="H81" s="25" t="s">
        <v>919</v>
      </c>
      <c r="I81" s="25" t="s">
        <v>920</v>
      </c>
      <c r="J81" s="109"/>
      <c r="K81" s="27" t="s">
        <v>942</v>
      </c>
      <c r="L81" s="25" t="s">
        <v>921</v>
      </c>
    </row>
    <row r="82" spans="1:12">
      <c r="A82" s="22" t="s">
        <v>816</v>
      </c>
      <c r="B82" s="24" t="s">
        <v>907</v>
      </c>
      <c r="C82" s="24" t="s">
        <v>780</v>
      </c>
      <c r="D82" s="25" t="s">
        <v>817</v>
      </c>
      <c r="E82" s="25" t="s">
        <v>938</v>
      </c>
      <c r="F82" s="25" t="s">
        <v>939</v>
      </c>
      <c r="G82" s="26" t="s">
        <v>811</v>
      </c>
      <c r="H82" s="25" t="s">
        <v>812</v>
      </c>
      <c r="I82" s="25" t="s">
        <v>813</v>
      </c>
      <c r="J82" s="109"/>
      <c r="K82" s="27" t="s">
        <v>943</v>
      </c>
      <c r="L82" s="25" t="s">
        <v>923</v>
      </c>
    </row>
    <row r="83" spans="1:12">
      <c r="A83" s="22" t="s">
        <v>816</v>
      </c>
      <c r="B83" s="24" t="s">
        <v>907</v>
      </c>
      <c r="C83" s="24" t="s">
        <v>780</v>
      </c>
      <c r="D83" s="25" t="s">
        <v>817</v>
      </c>
      <c r="E83" s="25" t="s">
        <v>938</v>
      </c>
      <c r="F83" s="25" t="s">
        <v>939</v>
      </c>
      <c r="G83" s="26" t="s">
        <v>811</v>
      </c>
      <c r="H83" s="25" t="s">
        <v>824</v>
      </c>
      <c r="I83" s="25" t="s">
        <v>825</v>
      </c>
      <c r="J83" s="109"/>
      <c r="K83" s="27" t="s">
        <v>943</v>
      </c>
      <c r="L83" s="25" t="s">
        <v>924</v>
      </c>
    </row>
    <row r="84" spans="1:12">
      <c r="A84" s="22" t="s">
        <v>816</v>
      </c>
      <c r="B84" s="24" t="s">
        <v>907</v>
      </c>
      <c r="C84" s="24" t="s">
        <v>780</v>
      </c>
      <c r="D84" s="25" t="s">
        <v>817</v>
      </c>
      <c r="E84" s="25" t="s">
        <v>938</v>
      </c>
      <c r="F84" s="25" t="s">
        <v>939</v>
      </c>
      <c r="G84" s="26" t="s">
        <v>811</v>
      </c>
      <c r="H84" s="25" t="s">
        <v>827</v>
      </c>
      <c r="I84" s="25" t="s">
        <v>828</v>
      </c>
      <c r="J84" s="109"/>
      <c r="K84" s="27" t="s">
        <v>943</v>
      </c>
      <c r="L84" s="25" t="s">
        <v>925</v>
      </c>
    </row>
    <row r="85" spans="1:12">
      <c r="A85" s="22" t="s">
        <v>816</v>
      </c>
      <c r="B85" s="24" t="s">
        <v>907</v>
      </c>
      <c r="C85" s="24" t="s">
        <v>780</v>
      </c>
      <c r="D85" s="25" t="s">
        <v>817</v>
      </c>
      <c r="E85" s="25" t="s">
        <v>938</v>
      </c>
      <c r="F85" s="25" t="s">
        <v>939</v>
      </c>
      <c r="G85" s="26" t="s">
        <v>811</v>
      </c>
      <c r="H85" s="25" t="s">
        <v>830</v>
      </c>
      <c r="I85" s="25" t="s">
        <v>831</v>
      </c>
      <c r="J85" s="109"/>
      <c r="K85" s="27" t="s">
        <v>943</v>
      </c>
      <c r="L85" s="25" t="s">
        <v>926</v>
      </c>
    </row>
    <row r="86" spans="1:12">
      <c r="A86" s="22" t="s">
        <v>816</v>
      </c>
      <c r="B86" s="24" t="s">
        <v>907</v>
      </c>
      <c r="C86" s="24" t="s">
        <v>780</v>
      </c>
      <c r="D86" s="25" t="s">
        <v>817</v>
      </c>
      <c r="E86" s="25" t="s">
        <v>938</v>
      </c>
      <c r="F86" s="25" t="s">
        <v>939</v>
      </c>
      <c r="G86" s="26" t="s">
        <v>811</v>
      </c>
      <c r="H86" s="25" t="s">
        <v>833</v>
      </c>
      <c r="I86" s="25" t="s">
        <v>834</v>
      </c>
      <c r="J86" s="109"/>
      <c r="K86" s="27" t="s">
        <v>943</v>
      </c>
      <c r="L86" s="25" t="s">
        <v>927</v>
      </c>
    </row>
    <row r="87" spans="1:12">
      <c r="A87" s="22" t="s">
        <v>816</v>
      </c>
      <c r="B87" s="24" t="s">
        <v>907</v>
      </c>
      <c r="C87" s="24" t="s">
        <v>780</v>
      </c>
      <c r="D87" s="25" t="s">
        <v>817</v>
      </c>
      <c r="E87" s="25" t="s">
        <v>938</v>
      </c>
      <c r="F87" s="25" t="s">
        <v>939</v>
      </c>
      <c r="G87" s="26" t="s">
        <v>811</v>
      </c>
      <c r="H87" s="25" t="s">
        <v>836</v>
      </c>
      <c r="I87" s="25" t="s">
        <v>837</v>
      </c>
      <c r="J87" s="107"/>
      <c r="K87" s="27" t="s">
        <v>943</v>
      </c>
      <c r="L87" s="25" t="s">
        <v>928</v>
      </c>
    </row>
    <row r="88" spans="1:12">
      <c r="A88" s="22" t="s">
        <v>816</v>
      </c>
      <c r="B88" s="24" t="s">
        <v>907</v>
      </c>
      <c r="C88" s="24" t="s">
        <v>780</v>
      </c>
      <c r="D88" s="25" t="s">
        <v>817</v>
      </c>
      <c r="E88" s="25" t="s">
        <v>944</v>
      </c>
      <c r="F88" s="28" t="s">
        <v>945</v>
      </c>
      <c r="G88" s="26" t="s">
        <v>784</v>
      </c>
      <c r="H88" s="25" t="s">
        <v>785</v>
      </c>
      <c r="I88" s="25" t="s">
        <v>786</v>
      </c>
      <c r="J88" s="110" t="s">
        <v>946</v>
      </c>
      <c r="K88" s="27" t="s">
        <v>947</v>
      </c>
      <c r="L88" s="25" t="s">
        <v>912</v>
      </c>
    </row>
    <row r="89" spans="1:12">
      <c r="A89" s="22" t="s">
        <v>816</v>
      </c>
      <c r="B89" s="24" t="s">
        <v>907</v>
      </c>
      <c r="C89" s="24" t="s">
        <v>780</v>
      </c>
      <c r="D89" s="25" t="s">
        <v>817</v>
      </c>
      <c r="E89" s="25" t="s">
        <v>944</v>
      </c>
      <c r="F89" s="28" t="s">
        <v>945</v>
      </c>
      <c r="G89" s="26" t="s">
        <v>801</v>
      </c>
      <c r="H89" s="25" t="s">
        <v>802</v>
      </c>
      <c r="I89" s="25" t="s">
        <v>803</v>
      </c>
      <c r="J89" s="109"/>
      <c r="K89" s="27" t="s">
        <v>947</v>
      </c>
      <c r="L89" s="25" t="s">
        <v>913</v>
      </c>
    </row>
    <row r="90" spans="1:12">
      <c r="A90" s="22" t="s">
        <v>816</v>
      </c>
      <c r="B90" s="24" t="s">
        <v>907</v>
      </c>
      <c r="C90" s="24" t="s">
        <v>780</v>
      </c>
      <c r="D90" s="25" t="s">
        <v>817</v>
      </c>
      <c r="E90" s="25" t="s">
        <v>944</v>
      </c>
      <c r="F90" s="28" t="s">
        <v>945</v>
      </c>
      <c r="G90" s="26" t="s">
        <v>806</v>
      </c>
      <c r="H90" s="25" t="s">
        <v>807</v>
      </c>
      <c r="I90" s="25" t="s">
        <v>808</v>
      </c>
      <c r="J90" s="109"/>
      <c r="K90" s="27" t="s">
        <v>947</v>
      </c>
      <c r="L90" s="25" t="s">
        <v>914</v>
      </c>
    </row>
    <row r="91" spans="1:12">
      <c r="A91" s="22" t="s">
        <v>816</v>
      </c>
      <c r="B91" s="24" t="s">
        <v>907</v>
      </c>
      <c r="C91" s="24" t="s">
        <v>780</v>
      </c>
      <c r="D91" s="25" t="s">
        <v>817</v>
      </c>
      <c r="E91" s="25" t="s">
        <v>944</v>
      </c>
      <c r="F91" s="28" t="s">
        <v>945</v>
      </c>
      <c r="G91" s="26" t="s">
        <v>791</v>
      </c>
      <c r="H91" s="25" t="s">
        <v>792</v>
      </c>
      <c r="I91" s="25" t="s">
        <v>793</v>
      </c>
      <c r="J91" s="109"/>
      <c r="K91" s="27" t="s">
        <v>948</v>
      </c>
      <c r="L91" s="25" t="s">
        <v>916</v>
      </c>
    </row>
    <row r="92" spans="1:12">
      <c r="A92" s="22" t="s">
        <v>816</v>
      </c>
      <c r="B92" s="24" t="s">
        <v>907</v>
      </c>
      <c r="C92" s="24" t="s">
        <v>780</v>
      </c>
      <c r="D92" s="25" t="s">
        <v>817</v>
      </c>
      <c r="E92" s="25" t="s">
        <v>944</v>
      </c>
      <c r="F92" s="28" t="s">
        <v>945</v>
      </c>
      <c r="G92" s="26" t="s">
        <v>796</v>
      </c>
      <c r="H92" s="25" t="s">
        <v>797</v>
      </c>
      <c r="I92" s="25" t="s">
        <v>798</v>
      </c>
      <c r="J92" s="109"/>
      <c r="K92" s="27" t="s">
        <v>948</v>
      </c>
      <c r="L92" s="25" t="s">
        <v>917</v>
      </c>
    </row>
    <row r="93" spans="1:12">
      <c r="A93" s="22" t="s">
        <v>816</v>
      </c>
      <c r="B93" s="24" t="s">
        <v>907</v>
      </c>
      <c r="C93" s="24" t="s">
        <v>780</v>
      </c>
      <c r="D93" s="25" t="s">
        <v>817</v>
      </c>
      <c r="E93" s="25" t="s">
        <v>944</v>
      </c>
      <c r="F93" s="28" t="s">
        <v>945</v>
      </c>
      <c r="G93" s="26" t="s">
        <v>918</v>
      </c>
      <c r="H93" s="25" t="s">
        <v>919</v>
      </c>
      <c r="I93" s="25" t="s">
        <v>920</v>
      </c>
      <c r="J93" s="109"/>
      <c r="K93" s="27" t="s">
        <v>948</v>
      </c>
      <c r="L93" s="25" t="s">
        <v>921</v>
      </c>
    </row>
    <row r="94" spans="1:12">
      <c r="A94" s="22" t="s">
        <v>816</v>
      </c>
      <c r="B94" s="24" t="s">
        <v>907</v>
      </c>
      <c r="C94" s="24" t="s">
        <v>780</v>
      </c>
      <c r="D94" s="25" t="s">
        <v>817</v>
      </c>
      <c r="E94" s="25" t="s">
        <v>944</v>
      </c>
      <c r="F94" s="28" t="s">
        <v>945</v>
      </c>
      <c r="G94" s="26" t="s">
        <v>811</v>
      </c>
      <c r="H94" s="25" t="s">
        <v>812</v>
      </c>
      <c r="I94" s="25" t="s">
        <v>813</v>
      </c>
      <c r="J94" s="109"/>
      <c r="K94" s="27" t="s">
        <v>949</v>
      </c>
      <c r="L94" s="25" t="s">
        <v>923</v>
      </c>
    </row>
    <row r="95" spans="1:12">
      <c r="A95" s="22" t="s">
        <v>816</v>
      </c>
      <c r="B95" s="24" t="s">
        <v>907</v>
      </c>
      <c r="C95" s="24" t="s">
        <v>780</v>
      </c>
      <c r="D95" s="25" t="s">
        <v>817</v>
      </c>
      <c r="E95" s="25" t="s">
        <v>944</v>
      </c>
      <c r="F95" s="28" t="s">
        <v>945</v>
      </c>
      <c r="G95" s="26" t="s">
        <v>811</v>
      </c>
      <c r="H95" s="25" t="s">
        <v>824</v>
      </c>
      <c r="I95" s="25" t="s">
        <v>825</v>
      </c>
      <c r="J95" s="109"/>
      <c r="K95" s="27" t="s">
        <v>949</v>
      </c>
      <c r="L95" s="25" t="s">
        <v>924</v>
      </c>
    </row>
    <row r="96" spans="1:12">
      <c r="A96" s="22" t="s">
        <v>816</v>
      </c>
      <c r="B96" s="24" t="s">
        <v>907</v>
      </c>
      <c r="C96" s="24" t="s">
        <v>780</v>
      </c>
      <c r="D96" s="25" t="s">
        <v>817</v>
      </c>
      <c r="E96" s="25" t="s">
        <v>944</v>
      </c>
      <c r="F96" s="28" t="s">
        <v>945</v>
      </c>
      <c r="G96" s="26" t="s">
        <v>811</v>
      </c>
      <c r="H96" s="25" t="s">
        <v>827</v>
      </c>
      <c r="I96" s="25" t="s">
        <v>828</v>
      </c>
      <c r="J96" s="109"/>
      <c r="K96" s="27" t="s">
        <v>949</v>
      </c>
      <c r="L96" s="25" t="s">
        <v>925</v>
      </c>
    </row>
    <row r="97" spans="1:12">
      <c r="A97" s="22" t="s">
        <v>816</v>
      </c>
      <c r="B97" s="24" t="s">
        <v>907</v>
      </c>
      <c r="C97" s="24" t="s">
        <v>780</v>
      </c>
      <c r="D97" s="25" t="s">
        <v>817</v>
      </c>
      <c r="E97" s="25" t="s">
        <v>944</v>
      </c>
      <c r="F97" s="28" t="s">
        <v>945</v>
      </c>
      <c r="G97" s="26" t="s">
        <v>811</v>
      </c>
      <c r="H97" s="25" t="s">
        <v>830</v>
      </c>
      <c r="I97" s="25" t="s">
        <v>831</v>
      </c>
      <c r="J97" s="109"/>
      <c r="K97" s="27" t="s">
        <v>949</v>
      </c>
      <c r="L97" s="25" t="s">
        <v>926</v>
      </c>
    </row>
    <row r="98" spans="1:12">
      <c r="A98" s="22" t="s">
        <v>816</v>
      </c>
      <c r="B98" s="24" t="s">
        <v>907</v>
      </c>
      <c r="C98" s="24" t="s">
        <v>780</v>
      </c>
      <c r="D98" s="25" t="s">
        <v>817</v>
      </c>
      <c r="E98" s="25" t="s">
        <v>944</v>
      </c>
      <c r="F98" s="28" t="s">
        <v>945</v>
      </c>
      <c r="G98" s="26" t="s">
        <v>811</v>
      </c>
      <c r="H98" s="25" t="s">
        <v>833</v>
      </c>
      <c r="I98" s="25" t="s">
        <v>834</v>
      </c>
      <c r="J98" s="109"/>
      <c r="K98" s="27" t="s">
        <v>949</v>
      </c>
      <c r="L98" s="25" t="s">
        <v>927</v>
      </c>
    </row>
    <row r="99" spans="1:12">
      <c r="A99" s="22" t="s">
        <v>816</v>
      </c>
      <c r="B99" s="24" t="s">
        <v>907</v>
      </c>
      <c r="C99" s="24" t="s">
        <v>780</v>
      </c>
      <c r="D99" s="25" t="s">
        <v>817</v>
      </c>
      <c r="E99" s="25" t="s">
        <v>944</v>
      </c>
      <c r="F99" s="28" t="s">
        <v>945</v>
      </c>
      <c r="G99" s="26" t="s">
        <v>811</v>
      </c>
      <c r="H99" s="25" t="s">
        <v>836</v>
      </c>
      <c r="I99" s="25" t="s">
        <v>837</v>
      </c>
      <c r="J99" s="107"/>
      <c r="K99" s="27" t="s">
        <v>949</v>
      </c>
      <c r="L99" s="25" t="s">
        <v>928</v>
      </c>
    </row>
    <row r="100" spans="1:12">
      <c r="A100" s="22" t="s">
        <v>816</v>
      </c>
      <c r="B100" s="24" t="s">
        <v>907</v>
      </c>
      <c r="C100" s="24" t="s">
        <v>780</v>
      </c>
      <c r="D100" s="25" t="s">
        <v>817</v>
      </c>
      <c r="E100" s="25" t="s">
        <v>950</v>
      </c>
      <c r="F100" s="28" t="s">
        <v>945</v>
      </c>
      <c r="G100" s="26" t="s">
        <v>784</v>
      </c>
      <c r="H100" s="25" t="s">
        <v>785</v>
      </c>
      <c r="I100" s="25" t="s">
        <v>786</v>
      </c>
      <c r="J100" s="110" t="s">
        <v>951</v>
      </c>
      <c r="K100" s="27" t="s">
        <v>952</v>
      </c>
      <c r="L100" s="25" t="s">
        <v>912</v>
      </c>
    </row>
    <row r="101" spans="1:12">
      <c r="A101" s="22" t="s">
        <v>816</v>
      </c>
      <c r="B101" s="24" t="s">
        <v>907</v>
      </c>
      <c r="C101" s="24" t="s">
        <v>780</v>
      </c>
      <c r="D101" s="25" t="s">
        <v>817</v>
      </c>
      <c r="E101" s="25" t="s">
        <v>950</v>
      </c>
      <c r="F101" s="28" t="s">
        <v>945</v>
      </c>
      <c r="G101" s="26" t="s">
        <v>801</v>
      </c>
      <c r="H101" s="25" t="s">
        <v>802</v>
      </c>
      <c r="I101" s="25" t="s">
        <v>803</v>
      </c>
      <c r="J101" s="109"/>
      <c r="K101" s="27" t="s">
        <v>952</v>
      </c>
      <c r="L101" s="25" t="s">
        <v>913</v>
      </c>
    </row>
    <row r="102" spans="1:12">
      <c r="A102" s="22" t="s">
        <v>816</v>
      </c>
      <c r="B102" s="24" t="s">
        <v>907</v>
      </c>
      <c r="C102" s="24" t="s">
        <v>780</v>
      </c>
      <c r="D102" s="25" t="s">
        <v>817</v>
      </c>
      <c r="E102" s="25" t="s">
        <v>950</v>
      </c>
      <c r="F102" s="28" t="s">
        <v>945</v>
      </c>
      <c r="G102" s="26" t="s">
        <v>806</v>
      </c>
      <c r="H102" s="25" t="s">
        <v>807</v>
      </c>
      <c r="I102" s="25" t="s">
        <v>808</v>
      </c>
      <c r="J102" s="109"/>
      <c r="K102" s="27" t="s">
        <v>952</v>
      </c>
      <c r="L102" s="25" t="s">
        <v>914</v>
      </c>
    </row>
    <row r="103" spans="1:12">
      <c r="A103" s="22" t="s">
        <v>816</v>
      </c>
      <c r="B103" s="24" t="s">
        <v>907</v>
      </c>
      <c r="C103" s="24" t="s">
        <v>780</v>
      </c>
      <c r="D103" s="25" t="s">
        <v>817</v>
      </c>
      <c r="E103" s="25" t="s">
        <v>950</v>
      </c>
      <c r="F103" s="28" t="s">
        <v>945</v>
      </c>
      <c r="G103" s="26" t="s">
        <v>791</v>
      </c>
      <c r="H103" s="25" t="s">
        <v>792</v>
      </c>
      <c r="I103" s="25" t="s">
        <v>793</v>
      </c>
      <c r="J103" s="109"/>
      <c r="K103" s="27" t="s">
        <v>953</v>
      </c>
      <c r="L103" s="25" t="s">
        <v>916</v>
      </c>
    </row>
    <row r="104" spans="1:12">
      <c r="A104" s="22" t="s">
        <v>816</v>
      </c>
      <c r="B104" s="24" t="s">
        <v>907</v>
      </c>
      <c r="C104" s="24" t="s">
        <v>780</v>
      </c>
      <c r="D104" s="25" t="s">
        <v>817</v>
      </c>
      <c r="E104" s="25" t="s">
        <v>950</v>
      </c>
      <c r="F104" s="28" t="s">
        <v>945</v>
      </c>
      <c r="G104" s="26" t="s">
        <v>796</v>
      </c>
      <c r="H104" s="25" t="s">
        <v>797</v>
      </c>
      <c r="I104" s="25" t="s">
        <v>798</v>
      </c>
      <c r="J104" s="109"/>
      <c r="K104" s="27" t="s">
        <v>953</v>
      </c>
      <c r="L104" s="25" t="s">
        <v>917</v>
      </c>
    </row>
    <row r="105" spans="1:12">
      <c r="A105" s="22" t="s">
        <v>816</v>
      </c>
      <c r="B105" s="24" t="s">
        <v>907</v>
      </c>
      <c r="C105" s="24" t="s">
        <v>780</v>
      </c>
      <c r="D105" s="25" t="s">
        <v>817</v>
      </c>
      <c r="E105" s="25" t="s">
        <v>950</v>
      </c>
      <c r="F105" s="28" t="s">
        <v>945</v>
      </c>
      <c r="G105" s="26" t="s">
        <v>918</v>
      </c>
      <c r="H105" s="25" t="s">
        <v>919</v>
      </c>
      <c r="I105" s="25" t="s">
        <v>920</v>
      </c>
      <c r="J105" s="109"/>
      <c r="K105" s="27" t="s">
        <v>953</v>
      </c>
      <c r="L105" s="25" t="s">
        <v>921</v>
      </c>
    </row>
    <row r="106" spans="1:12">
      <c r="A106" s="22" t="s">
        <v>816</v>
      </c>
      <c r="B106" s="24" t="s">
        <v>907</v>
      </c>
      <c r="C106" s="24" t="s">
        <v>780</v>
      </c>
      <c r="D106" s="25" t="s">
        <v>817</v>
      </c>
      <c r="E106" s="25" t="s">
        <v>950</v>
      </c>
      <c r="F106" s="28" t="s">
        <v>945</v>
      </c>
      <c r="G106" s="26" t="s">
        <v>811</v>
      </c>
      <c r="H106" s="25" t="s">
        <v>812</v>
      </c>
      <c r="I106" s="25" t="s">
        <v>813</v>
      </c>
      <c r="J106" s="109"/>
      <c r="K106" s="27" t="s">
        <v>954</v>
      </c>
      <c r="L106" s="25" t="s">
        <v>923</v>
      </c>
    </row>
    <row r="107" spans="1:12">
      <c r="A107" s="22" t="s">
        <v>816</v>
      </c>
      <c r="B107" s="24" t="s">
        <v>907</v>
      </c>
      <c r="C107" s="24" t="s">
        <v>780</v>
      </c>
      <c r="D107" s="25" t="s">
        <v>817</v>
      </c>
      <c r="E107" s="25" t="s">
        <v>950</v>
      </c>
      <c r="F107" s="28" t="s">
        <v>945</v>
      </c>
      <c r="G107" s="26" t="s">
        <v>811</v>
      </c>
      <c r="H107" s="25" t="s">
        <v>824</v>
      </c>
      <c r="I107" s="25" t="s">
        <v>825</v>
      </c>
      <c r="J107" s="109"/>
      <c r="K107" s="27" t="s">
        <v>954</v>
      </c>
      <c r="L107" s="25" t="s">
        <v>924</v>
      </c>
    </row>
    <row r="108" spans="1:12">
      <c r="A108" s="22" t="s">
        <v>816</v>
      </c>
      <c r="B108" s="24" t="s">
        <v>907</v>
      </c>
      <c r="C108" s="24" t="s">
        <v>780</v>
      </c>
      <c r="D108" s="25" t="s">
        <v>817</v>
      </c>
      <c r="E108" s="25" t="s">
        <v>950</v>
      </c>
      <c r="F108" s="28" t="s">
        <v>945</v>
      </c>
      <c r="G108" s="26" t="s">
        <v>811</v>
      </c>
      <c r="H108" s="25" t="s">
        <v>827</v>
      </c>
      <c r="I108" s="25" t="s">
        <v>828</v>
      </c>
      <c r="J108" s="109"/>
      <c r="K108" s="27" t="s">
        <v>954</v>
      </c>
      <c r="L108" s="25" t="s">
        <v>925</v>
      </c>
    </row>
    <row r="109" spans="1:12">
      <c r="A109" s="22" t="s">
        <v>816</v>
      </c>
      <c r="B109" s="24" t="s">
        <v>907</v>
      </c>
      <c r="C109" s="24" t="s">
        <v>780</v>
      </c>
      <c r="D109" s="25" t="s">
        <v>817</v>
      </c>
      <c r="E109" s="25" t="s">
        <v>950</v>
      </c>
      <c r="F109" s="28" t="s">
        <v>945</v>
      </c>
      <c r="G109" s="26" t="s">
        <v>811</v>
      </c>
      <c r="H109" s="25" t="s">
        <v>830</v>
      </c>
      <c r="I109" s="25" t="s">
        <v>831</v>
      </c>
      <c r="J109" s="109"/>
      <c r="K109" s="27" t="s">
        <v>954</v>
      </c>
      <c r="L109" s="25" t="s">
        <v>926</v>
      </c>
    </row>
    <row r="110" spans="1:12">
      <c r="A110" s="22" t="s">
        <v>816</v>
      </c>
      <c r="B110" s="24" t="s">
        <v>907</v>
      </c>
      <c r="C110" s="24" t="s">
        <v>780</v>
      </c>
      <c r="D110" s="25" t="s">
        <v>817</v>
      </c>
      <c r="E110" s="25" t="s">
        <v>950</v>
      </c>
      <c r="F110" s="28" t="s">
        <v>945</v>
      </c>
      <c r="G110" s="26" t="s">
        <v>811</v>
      </c>
      <c r="H110" s="25" t="s">
        <v>833</v>
      </c>
      <c r="I110" s="25" t="s">
        <v>834</v>
      </c>
      <c r="J110" s="109"/>
      <c r="K110" s="27" t="s">
        <v>954</v>
      </c>
      <c r="L110" s="25" t="s">
        <v>927</v>
      </c>
    </row>
    <row r="111" spans="1:12">
      <c r="A111" s="22" t="s">
        <v>816</v>
      </c>
      <c r="B111" s="24" t="s">
        <v>907</v>
      </c>
      <c r="C111" s="24" t="s">
        <v>780</v>
      </c>
      <c r="D111" s="25" t="s">
        <v>817</v>
      </c>
      <c r="E111" s="25" t="s">
        <v>950</v>
      </c>
      <c r="F111" s="28" t="s">
        <v>945</v>
      </c>
      <c r="G111" s="26" t="s">
        <v>811</v>
      </c>
      <c r="H111" s="25" t="s">
        <v>836</v>
      </c>
      <c r="I111" s="25" t="s">
        <v>837</v>
      </c>
      <c r="J111" s="107"/>
      <c r="K111" s="27" t="s">
        <v>954</v>
      </c>
      <c r="L111" s="25" t="s">
        <v>928</v>
      </c>
    </row>
    <row r="112" spans="1:12">
      <c r="A112" s="22" t="s">
        <v>816</v>
      </c>
      <c r="B112" s="24" t="s">
        <v>271</v>
      </c>
      <c r="C112" s="24" t="s">
        <v>780</v>
      </c>
      <c r="D112" s="25" t="s">
        <v>955</v>
      </c>
      <c r="E112" s="25" t="s">
        <v>956</v>
      </c>
      <c r="F112" s="28" t="s">
        <v>957</v>
      </c>
      <c r="G112" s="26" t="s">
        <v>784</v>
      </c>
      <c r="H112" s="25" t="s">
        <v>785</v>
      </c>
      <c r="I112" s="25" t="s">
        <v>786</v>
      </c>
      <c r="J112" s="110" t="s">
        <v>958</v>
      </c>
      <c r="K112" s="27" t="s">
        <v>959</v>
      </c>
      <c r="L112" s="25" t="s">
        <v>912</v>
      </c>
    </row>
    <row r="113" spans="1:12">
      <c r="A113" s="22" t="s">
        <v>816</v>
      </c>
      <c r="B113" s="24" t="s">
        <v>271</v>
      </c>
      <c r="C113" s="24" t="s">
        <v>780</v>
      </c>
      <c r="D113" s="25" t="s">
        <v>955</v>
      </c>
      <c r="E113" s="25" t="s">
        <v>956</v>
      </c>
      <c r="F113" s="28" t="s">
        <v>957</v>
      </c>
      <c r="G113" s="26" t="s">
        <v>801</v>
      </c>
      <c r="H113" s="25" t="s">
        <v>802</v>
      </c>
      <c r="I113" s="25" t="s">
        <v>803</v>
      </c>
      <c r="J113" s="109"/>
      <c r="K113" s="27" t="s">
        <v>959</v>
      </c>
      <c r="L113" s="25" t="s">
        <v>913</v>
      </c>
    </row>
    <row r="114" spans="1:12">
      <c r="A114" s="22" t="s">
        <v>816</v>
      </c>
      <c r="B114" s="24" t="s">
        <v>271</v>
      </c>
      <c r="C114" s="24" t="s">
        <v>780</v>
      </c>
      <c r="D114" s="25" t="s">
        <v>955</v>
      </c>
      <c r="E114" s="25" t="s">
        <v>956</v>
      </c>
      <c r="F114" s="28" t="s">
        <v>957</v>
      </c>
      <c r="G114" s="26" t="s">
        <v>806</v>
      </c>
      <c r="H114" s="25" t="s">
        <v>807</v>
      </c>
      <c r="I114" s="25" t="s">
        <v>808</v>
      </c>
      <c r="J114" s="109"/>
      <c r="K114" s="27" t="s">
        <v>959</v>
      </c>
      <c r="L114" s="25" t="s">
        <v>914</v>
      </c>
    </row>
    <row r="115" spans="1:12">
      <c r="A115" s="22" t="s">
        <v>816</v>
      </c>
      <c r="B115" s="24" t="s">
        <v>271</v>
      </c>
      <c r="C115" s="24" t="s">
        <v>780</v>
      </c>
      <c r="D115" s="25" t="s">
        <v>955</v>
      </c>
      <c r="E115" s="25" t="s">
        <v>956</v>
      </c>
      <c r="F115" s="28" t="s">
        <v>957</v>
      </c>
      <c r="G115" s="26" t="s">
        <v>791</v>
      </c>
      <c r="H115" s="25" t="s">
        <v>792</v>
      </c>
      <c r="I115" s="25" t="s">
        <v>793</v>
      </c>
      <c r="J115" s="109"/>
      <c r="K115" s="27" t="s">
        <v>960</v>
      </c>
      <c r="L115" s="25" t="s">
        <v>916</v>
      </c>
    </row>
    <row r="116" spans="1:12">
      <c r="A116" s="22" t="s">
        <v>816</v>
      </c>
      <c r="B116" s="24" t="s">
        <v>271</v>
      </c>
      <c r="C116" s="24" t="s">
        <v>780</v>
      </c>
      <c r="D116" s="25" t="s">
        <v>955</v>
      </c>
      <c r="E116" s="25" t="s">
        <v>956</v>
      </c>
      <c r="F116" s="28" t="s">
        <v>957</v>
      </c>
      <c r="G116" s="26" t="s">
        <v>796</v>
      </c>
      <c r="H116" s="25" t="s">
        <v>797</v>
      </c>
      <c r="I116" s="25" t="s">
        <v>798</v>
      </c>
      <c r="J116" s="109"/>
      <c r="K116" s="27" t="s">
        <v>960</v>
      </c>
      <c r="L116" s="25" t="s">
        <v>917</v>
      </c>
    </row>
    <row r="117" spans="1:12">
      <c r="A117" s="22" t="s">
        <v>816</v>
      </c>
      <c r="B117" s="24" t="s">
        <v>271</v>
      </c>
      <c r="C117" s="24" t="s">
        <v>780</v>
      </c>
      <c r="D117" s="25" t="s">
        <v>955</v>
      </c>
      <c r="E117" s="25" t="s">
        <v>956</v>
      </c>
      <c r="F117" s="28" t="s">
        <v>957</v>
      </c>
      <c r="G117" s="26" t="s">
        <v>918</v>
      </c>
      <c r="H117" s="25" t="s">
        <v>919</v>
      </c>
      <c r="I117" s="25" t="s">
        <v>920</v>
      </c>
      <c r="J117" s="109"/>
      <c r="K117" s="27" t="s">
        <v>960</v>
      </c>
      <c r="L117" s="25" t="s">
        <v>921</v>
      </c>
    </row>
    <row r="118" spans="1:12">
      <c r="A118" s="22" t="s">
        <v>816</v>
      </c>
      <c r="B118" s="24" t="s">
        <v>271</v>
      </c>
      <c r="C118" s="24" t="s">
        <v>780</v>
      </c>
      <c r="D118" s="25" t="s">
        <v>955</v>
      </c>
      <c r="E118" s="25" t="s">
        <v>956</v>
      </c>
      <c r="F118" s="28" t="s">
        <v>957</v>
      </c>
      <c r="G118" s="26" t="s">
        <v>811</v>
      </c>
      <c r="H118" s="25" t="s">
        <v>812</v>
      </c>
      <c r="I118" s="25" t="s">
        <v>813</v>
      </c>
      <c r="J118" s="109"/>
      <c r="K118" s="27" t="s">
        <v>961</v>
      </c>
      <c r="L118" s="25" t="s">
        <v>923</v>
      </c>
    </row>
    <row r="119" spans="1:12">
      <c r="A119" s="22" t="s">
        <v>816</v>
      </c>
      <c r="B119" s="24" t="s">
        <v>271</v>
      </c>
      <c r="C119" s="24" t="s">
        <v>780</v>
      </c>
      <c r="D119" s="25" t="s">
        <v>955</v>
      </c>
      <c r="E119" s="25" t="s">
        <v>956</v>
      </c>
      <c r="F119" s="28" t="s">
        <v>957</v>
      </c>
      <c r="G119" s="26" t="s">
        <v>811</v>
      </c>
      <c r="H119" s="25" t="s">
        <v>824</v>
      </c>
      <c r="I119" s="25" t="s">
        <v>825</v>
      </c>
      <c r="J119" s="109"/>
      <c r="K119" s="27" t="s">
        <v>961</v>
      </c>
      <c r="L119" s="25" t="s">
        <v>924</v>
      </c>
    </row>
    <row r="120" spans="1:12">
      <c r="A120" s="22" t="s">
        <v>816</v>
      </c>
      <c r="B120" s="24" t="s">
        <v>271</v>
      </c>
      <c r="C120" s="24" t="s">
        <v>780</v>
      </c>
      <c r="D120" s="25" t="s">
        <v>955</v>
      </c>
      <c r="E120" s="25" t="s">
        <v>956</v>
      </c>
      <c r="F120" s="28" t="s">
        <v>957</v>
      </c>
      <c r="G120" s="26" t="s">
        <v>811</v>
      </c>
      <c r="H120" s="25" t="s">
        <v>827</v>
      </c>
      <c r="I120" s="25" t="s">
        <v>828</v>
      </c>
      <c r="J120" s="109"/>
      <c r="K120" s="27" t="s">
        <v>961</v>
      </c>
      <c r="L120" s="25" t="s">
        <v>925</v>
      </c>
    </row>
    <row r="121" spans="1:12">
      <c r="A121" s="22" t="s">
        <v>816</v>
      </c>
      <c r="B121" s="24" t="s">
        <v>271</v>
      </c>
      <c r="C121" s="24" t="s">
        <v>780</v>
      </c>
      <c r="D121" s="25" t="s">
        <v>955</v>
      </c>
      <c r="E121" s="25" t="s">
        <v>956</v>
      </c>
      <c r="F121" s="28" t="s">
        <v>957</v>
      </c>
      <c r="G121" s="26" t="s">
        <v>811</v>
      </c>
      <c r="H121" s="25" t="s">
        <v>830</v>
      </c>
      <c r="I121" s="25" t="s">
        <v>831</v>
      </c>
      <c r="J121" s="109"/>
      <c r="K121" s="27" t="s">
        <v>961</v>
      </c>
      <c r="L121" s="25" t="s">
        <v>926</v>
      </c>
    </row>
    <row r="122" spans="1:12">
      <c r="A122" s="22" t="s">
        <v>816</v>
      </c>
      <c r="B122" s="24" t="s">
        <v>271</v>
      </c>
      <c r="C122" s="24" t="s">
        <v>780</v>
      </c>
      <c r="D122" s="25" t="s">
        <v>955</v>
      </c>
      <c r="E122" s="25" t="s">
        <v>956</v>
      </c>
      <c r="F122" s="28" t="s">
        <v>957</v>
      </c>
      <c r="G122" s="26" t="s">
        <v>811</v>
      </c>
      <c r="H122" s="25" t="s">
        <v>833</v>
      </c>
      <c r="I122" s="25" t="s">
        <v>834</v>
      </c>
      <c r="J122" s="109"/>
      <c r="K122" s="27" t="s">
        <v>961</v>
      </c>
      <c r="L122" s="25" t="s">
        <v>927</v>
      </c>
    </row>
    <row r="123" spans="1:12">
      <c r="A123" s="22" t="s">
        <v>816</v>
      </c>
      <c r="B123" s="24" t="s">
        <v>271</v>
      </c>
      <c r="C123" s="24" t="s">
        <v>780</v>
      </c>
      <c r="D123" s="25" t="s">
        <v>955</v>
      </c>
      <c r="E123" s="25" t="s">
        <v>956</v>
      </c>
      <c r="F123" s="28" t="s">
        <v>957</v>
      </c>
      <c r="G123" s="26" t="s">
        <v>811</v>
      </c>
      <c r="H123" s="25" t="s">
        <v>836</v>
      </c>
      <c r="I123" s="25" t="s">
        <v>837</v>
      </c>
      <c r="J123" s="107"/>
      <c r="K123" s="27" t="s">
        <v>961</v>
      </c>
      <c r="L123" s="25" t="s">
        <v>928</v>
      </c>
    </row>
    <row r="124" spans="1:12">
      <c r="A124" s="22" t="s">
        <v>816</v>
      </c>
      <c r="B124" s="24" t="s">
        <v>271</v>
      </c>
      <c r="C124" s="24" t="s">
        <v>780</v>
      </c>
      <c r="D124" s="25" t="s">
        <v>955</v>
      </c>
      <c r="E124" s="25" t="s">
        <v>962</v>
      </c>
      <c r="F124" s="28" t="s">
        <v>963</v>
      </c>
      <c r="G124" s="26" t="s">
        <v>784</v>
      </c>
      <c r="H124" s="25" t="s">
        <v>785</v>
      </c>
      <c r="I124" s="25" t="s">
        <v>786</v>
      </c>
      <c r="J124" s="110" t="s">
        <v>964</v>
      </c>
      <c r="K124" s="27" t="s">
        <v>965</v>
      </c>
      <c r="L124" s="25" t="s">
        <v>912</v>
      </c>
    </row>
    <row r="125" spans="1:12">
      <c r="A125" s="22" t="s">
        <v>816</v>
      </c>
      <c r="B125" s="24" t="s">
        <v>271</v>
      </c>
      <c r="C125" s="24" t="s">
        <v>780</v>
      </c>
      <c r="D125" s="25" t="s">
        <v>955</v>
      </c>
      <c r="E125" s="25" t="s">
        <v>962</v>
      </c>
      <c r="F125" s="28" t="s">
        <v>963</v>
      </c>
      <c r="G125" s="26" t="s">
        <v>801</v>
      </c>
      <c r="H125" s="25" t="s">
        <v>802</v>
      </c>
      <c r="I125" s="25" t="s">
        <v>803</v>
      </c>
      <c r="J125" s="109"/>
      <c r="K125" s="27" t="s">
        <v>965</v>
      </c>
      <c r="L125" s="25" t="s">
        <v>913</v>
      </c>
    </row>
    <row r="126" spans="1:12">
      <c r="A126" s="22" t="s">
        <v>816</v>
      </c>
      <c r="B126" s="24" t="s">
        <v>271</v>
      </c>
      <c r="C126" s="24" t="s">
        <v>780</v>
      </c>
      <c r="D126" s="25" t="s">
        <v>955</v>
      </c>
      <c r="E126" s="25" t="s">
        <v>962</v>
      </c>
      <c r="F126" s="28" t="s">
        <v>963</v>
      </c>
      <c r="G126" s="26" t="s">
        <v>806</v>
      </c>
      <c r="H126" s="25" t="s">
        <v>807</v>
      </c>
      <c r="I126" s="25" t="s">
        <v>808</v>
      </c>
      <c r="J126" s="109"/>
      <c r="K126" s="27" t="s">
        <v>965</v>
      </c>
      <c r="L126" s="25" t="s">
        <v>914</v>
      </c>
    </row>
    <row r="127" spans="1:12">
      <c r="A127" s="22" t="s">
        <v>816</v>
      </c>
      <c r="B127" s="24" t="s">
        <v>271</v>
      </c>
      <c r="C127" s="24" t="s">
        <v>780</v>
      </c>
      <c r="D127" s="25" t="s">
        <v>955</v>
      </c>
      <c r="E127" s="25" t="s">
        <v>962</v>
      </c>
      <c r="F127" s="28" t="s">
        <v>963</v>
      </c>
      <c r="G127" s="26" t="s">
        <v>791</v>
      </c>
      <c r="H127" s="25" t="s">
        <v>792</v>
      </c>
      <c r="I127" s="25" t="s">
        <v>793</v>
      </c>
      <c r="J127" s="109"/>
      <c r="K127" s="27" t="s">
        <v>966</v>
      </c>
      <c r="L127" s="25" t="s">
        <v>916</v>
      </c>
    </row>
    <row r="128" spans="1:12">
      <c r="A128" s="22" t="s">
        <v>816</v>
      </c>
      <c r="B128" s="24" t="s">
        <v>271</v>
      </c>
      <c r="C128" s="24" t="s">
        <v>780</v>
      </c>
      <c r="D128" s="25" t="s">
        <v>955</v>
      </c>
      <c r="E128" s="25" t="s">
        <v>962</v>
      </c>
      <c r="F128" s="28" t="s">
        <v>963</v>
      </c>
      <c r="G128" s="26" t="s">
        <v>796</v>
      </c>
      <c r="H128" s="25" t="s">
        <v>797</v>
      </c>
      <c r="I128" s="25" t="s">
        <v>798</v>
      </c>
      <c r="J128" s="109"/>
      <c r="K128" s="27" t="s">
        <v>966</v>
      </c>
      <c r="L128" s="25" t="s">
        <v>917</v>
      </c>
    </row>
    <row r="129" spans="1:12">
      <c r="A129" s="22" t="s">
        <v>816</v>
      </c>
      <c r="B129" s="24" t="s">
        <v>271</v>
      </c>
      <c r="C129" s="24" t="s">
        <v>780</v>
      </c>
      <c r="D129" s="25" t="s">
        <v>955</v>
      </c>
      <c r="E129" s="25" t="s">
        <v>962</v>
      </c>
      <c r="F129" s="28" t="s">
        <v>963</v>
      </c>
      <c r="G129" s="26" t="s">
        <v>918</v>
      </c>
      <c r="H129" s="25" t="s">
        <v>919</v>
      </c>
      <c r="I129" s="25" t="s">
        <v>920</v>
      </c>
      <c r="J129" s="109"/>
      <c r="K129" s="27" t="s">
        <v>966</v>
      </c>
      <c r="L129" s="25" t="s">
        <v>921</v>
      </c>
    </row>
    <row r="130" spans="1:12">
      <c r="A130" s="22" t="s">
        <v>816</v>
      </c>
      <c r="B130" s="24" t="s">
        <v>271</v>
      </c>
      <c r="C130" s="24" t="s">
        <v>780</v>
      </c>
      <c r="D130" s="25" t="s">
        <v>955</v>
      </c>
      <c r="E130" s="25" t="s">
        <v>962</v>
      </c>
      <c r="F130" s="28" t="s">
        <v>963</v>
      </c>
      <c r="G130" s="26" t="s">
        <v>811</v>
      </c>
      <c r="H130" s="25" t="s">
        <v>812</v>
      </c>
      <c r="I130" s="25" t="s">
        <v>813</v>
      </c>
      <c r="J130" s="109"/>
      <c r="K130" s="27" t="s">
        <v>967</v>
      </c>
      <c r="L130" s="25" t="s">
        <v>923</v>
      </c>
    </row>
    <row r="131" spans="1:12">
      <c r="A131" s="22" t="s">
        <v>816</v>
      </c>
      <c r="B131" s="24" t="s">
        <v>271</v>
      </c>
      <c r="C131" s="24" t="s">
        <v>780</v>
      </c>
      <c r="D131" s="25" t="s">
        <v>955</v>
      </c>
      <c r="E131" s="25" t="s">
        <v>962</v>
      </c>
      <c r="F131" s="28" t="s">
        <v>963</v>
      </c>
      <c r="G131" s="26" t="s">
        <v>811</v>
      </c>
      <c r="H131" s="25" t="s">
        <v>824</v>
      </c>
      <c r="I131" s="25" t="s">
        <v>825</v>
      </c>
      <c r="J131" s="109"/>
      <c r="K131" s="27" t="s">
        <v>967</v>
      </c>
      <c r="L131" s="25" t="s">
        <v>924</v>
      </c>
    </row>
    <row r="132" spans="1:12">
      <c r="A132" s="22" t="s">
        <v>816</v>
      </c>
      <c r="B132" s="24" t="s">
        <v>271</v>
      </c>
      <c r="C132" s="24" t="s">
        <v>780</v>
      </c>
      <c r="D132" s="25" t="s">
        <v>955</v>
      </c>
      <c r="E132" s="25" t="s">
        <v>962</v>
      </c>
      <c r="F132" s="28" t="s">
        <v>963</v>
      </c>
      <c r="G132" s="26" t="s">
        <v>811</v>
      </c>
      <c r="H132" s="25" t="s">
        <v>827</v>
      </c>
      <c r="I132" s="25" t="s">
        <v>828</v>
      </c>
      <c r="J132" s="109"/>
      <c r="K132" s="27" t="s">
        <v>967</v>
      </c>
      <c r="L132" s="25" t="s">
        <v>925</v>
      </c>
    </row>
    <row r="133" spans="1:12">
      <c r="A133" s="22" t="s">
        <v>816</v>
      </c>
      <c r="B133" s="24" t="s">
        <v>271</v>
      </c>
      <c r="C133" s="24" t="s">
        <v>780</v>
      </c>
      <c r="D133" s="25" t="s">
        <v>955</v>
      </c>
      <c r="E133" s="25" t="s">
        <v>962</v>
      </c>
      <c r="F133" s="28" t="s">
        <v>963</v>
      </c>
      <c r="G133" s="26" t="s">
        <v>811</v>
      </c>
      <c r="H133" s="25" t="s">
        <v>830</v>
      </c>
      <c r="I133" s="25" t="s">
        <v>831</v>
      </c>
      <c r="J133" s="109"/>
      <c r="K133" s="27" t="s">
        <v>967</v>
      </c>
      <c r="L133" s="25" t="s">
        <v>926</v>
      </c>
    </row>
    <row r="134" spans="1:12">
      <c r="A134" s="22" t="s">
        <v>816</v>
      </c>
      <c r="B134" s="24" t="s">
        <v>271</v>
      </c>
      <c r="C134" s="24" t="s">
        <v>780</v>
      </c>
      <c r="D134" s="25" t="s">
        <v>955</v>
      </c>
      <c r="E134" s="25" t="s">
        <v>962</v>
      </c>
      <c r="F134" s="28" t="s">
        <v>963</v>
      </c>
      <c r="G134" s="26" t="s">
        <v>811</v>
      </c>
      <c r="H134" s="25" t="s">
        <v>833</v>
      </c>
      <c r="I134" s="25" t="s">
        <v>834</v>
      </c>
      <c r="J134" s="109"/>
      <c r="K134" s="27" t="s">
        <v>967</v>
      </c>
      <c r="L134" s="25" t="s">
        <v>927</v>
      </c>
    </row>
    <row r="135" spans="1:12">
      <c r="A135" s="22" t="s">
        <v>816</v>
      </c>
      <c r="B135" s="24" t="s">
        <v>271</v>
      </c>
      <c r="C135" s="24" t="s">
        <v>780</v>
      </c>
      <c r="D135" s="25" t="s">
        <v>955</v>
      </c>
      <c r="E135" s="25" t="s">
        <v>962</v>
      </c>
      <c r="F135" s="28" t="s">
        <v>963</v>
      </c>
      <c r="G135" s="26" t="s">
        <v>811</v>
      </c>
      <c r="H135" s="25" t="s">
        <v>836</v>
      </c>
      <c r="I135" s="25" t="s">
        <v>837</v>
      </c>
      <c r="J135" s="107"/>
      <c r="K135" s="27" t="s">
        <v>967</v>
      </c>
      <c r="L135" s="25" t="s">
        <v>928</v>
      </c>
    </row>
    <row r="136" spans="1:12">
      <c r="A136" s="22" t="s">
        <v>816</v>
      </c>
      <c r="B136" s="24" t="s">
        <v>271</v>
      </c>
      <c r="C136" s="24" t="s">
        <v>780</v>
      </c>
      <c r="D136" s="25" t="s">
        <v>955</v>
      </c>
      <c r="E136" s="25" t="s">
        <v>968</v>
      </c>
      <c r="F136" s="25" t="s">
        <v>969</v>
      </c>
      <c r="G136" s="26" t="s">
        <v>784</v>
      </c>
      <c r="H136" s="25" t="s">
        <v>785</v>
      </c>
      <c r="I136" s="25" t="s">
        <v>786</v>
      </c>
      <c r="J136" s="110" t="s">
        <v>970</v>
      </c>
      <c r="K136" s="27" t="s">
        <v>971</v>
      </c>
      <c r="L136" s="25" t="s">
        <v>912</v>
      </c>
    </row>
    <row r="137" spans="1:12">
      <c r="A137" s="22" t="s">
        <v>816</v>
      </c>
      <c r="B137" s="24" t="s">
        <v>271</v>
      </c>
      <c r="C137" s="24" t="s">
        <v>780</v>
      </c>
      <c r="D137" s="25" t="s">
        <v>955</v>
      </c>
      <c r="E137" s="25" t="s">
        <v>968</v>
      </c>
      <c r="F137" s="25" t="s">
        <v>969</v>
      </c>
      <c r="G137" s="26" t="s">
        <v>801</v>
      </c>
      <c r="H137" s="25" t="s">
        <v>802</v>
      </c>
      <c r="I137" s="25" t="s">
        <v>803</v>
      </c>
      <c r="J137" s="109"/>
      <c r="K137" s="27" t="s">
        <v>971</v>
      </c>
      <c r="L137" s="25" t="s">
        <v>913</v>
      </c>
    </row>
    <row r="138" spans="1:12">
      <c r="A138" s="22" t="s">
        <v>816</v>
      </c>
      <c r="B138" s="24" t="s">
        <v>271</v>
      </c>
      <c r="C138" s="24" t="s">
        <v>780</v>
      </c>
      <c r="D138" s="25" t="s">
        <v>955</v>
      </c>
      <c r="E138" s="25" t="s">
        <v>968</v>
      </c>
      <c r="F138" s="25" t="s">
        <v>969</v>
      </c>
      <c r="G138" s="26" t="s">
        <v>806</v>
      </c>
      <c r="H138" s="25" t="s">
        <v>807</v>
      </c>
      <c r="I138" s="25" t="s">
        <v>808</v>
      </c>
      <c r="J138" s="109"/>
      <c r="K138" s="27" t="s">
        <v>971</v>
      </c>
      <c r="L138" s="25" t="s">
        <v>914</v>
      </c>
    </row>
    <row r="139" spans="1:12">
      <c r="A139" s="22" t="s">
        <v>816</v>
      </c>
      <c r="B139" s="24" t="s">
        <v>271</v>
      </c>
      <c r="C139" s="24" t="s">
        <v>780</v>
      </c>
      <c r="D139" s="25" t="s">
        <v>955</v>
      </c>
      <c r="E139" s="25" t="s">
        <v>968</v>
      </c>
      <c r="F139" s="25" t="s">
        <v>969</v>
      </c>
      <c r="G139" s="26" t="s">
        <v>791</v>
      </c>
      <c r="H139" s="25" t="s">
        <v>792</v>
      </c>
      <c r="I139" s="25" t="s">
        <v>793</v>
      </c>
      <c r="J139" s="109"/>
      <c r="K139" s="27" t="s">
        <v>972</v>
      </c>
      <c r="L139" s="25" t="s">
        <v>916</v>
      </c>
    </row>
    <row r="140" spans="1:12">
      <c r="A140" s="22" t="s">
        <v>816</v>
      </c>
      <c r="B140" s="24" t="s">
        <v>271</v>
      </c>
      <c r="C140" s="24" t="s">
        <v>780</v>
      </c>
      <c r="D140" s="25" t="s">
        <v>955</v>
      </c>
      <c r="E140" s="25" t="s">
        <v>968</v>
      </c>
      <c r="F140" s="25" t="s">
        <v>969</v>
      </c>
      <c r="G140" s="26" t="s">
        <v>796</v>
      </c>
      <c r="H140" s="25" t="s">
        <v>797</v>
      </c>
      <c r="I140" s="25" t="s">
        <v>798</v>
      </c>
      <c r="J140" s="109"/>
      <c r="K140" s="27" t="s">
        <v>972</v>
      </c>
      <c r="L140" s="25" t="s">
        <v>917</v>
      </c>
    </row>
    <row r="141" spans="1:12">
      <c r="A141" s="22" t="s">
        <v>816</v>
      </c>
      <c r="B141" s="24" t="s">
        <v>271</v>
      </c>
      <c r="C141" s="24" t="s">
        <v>780</v>
      </c>
      <c r="D141" s="25" t="s">
        <v>955</v>
      </c>
      <c r="E141" s="25" t="s">
        <v>968</v>
      </c>
      <c r="F141" s="25" t="s">
        <v>969</v>
      </c>
      <c r="G141" s="26" t="s">
        <v>918</v>
      </c>
      <c r="H141" s="25" t="s">
        <v>919</v>
      </c>
      <c r="I141" s="25" t="s">
        <v>920</v>
      </c>
      <c r="J141" s="109"/>
      <c r="K141" s="27" t="s">
        <v>972</v>
      </c>
      <c r="L141" s="25" t="s">
        <v>921</v>
      </c>
    </row>
    <row r="142" spans="1:12">
      <c r="A142" s="22" t="s">
        <v>816</v>
      </c>
      <c r="B142" s="24" t="s">
        <v>271</v>
      </c>
      <c r="C142" s="24" t="s">
        <v>780</v>
      </c>
      <c r="D142" s="25" t="s">
        <v>955</v>
      </c>
      <c r="E142" s="25" t="s">
        <v>968</v>
      </c>
      <c r="F142" s="25" t="s">
        <v>969</v>
      </c>
      <c r="G142" s="26" t="s">
        <v>811</v>
      </c>
      <c r="H142" s="25" t="s">
        <v>812</v>
      </c>
      <c r="I142" s="25" t="s">
        <v>813</v>
      </c>
      <c r="J142" s="109"/>
      <c r="K142" s="27" t="s">
        <v>973</v>
      </c>
      <c r="L142" s="25" t="s">
        <v>923</v>
      </c>
    </row>
    <row r="143" spans="1:12">
      <c r="A143" s="22" t="s">
        <v>816</v>
      </c>
      <c r="B143" s="24" t="s">
        <v>271</v>
      </c>
      <c r="C143" s="24" t="s">
        <v>780</v>
      </c>
      <c r="D143" s="25" t="s">
        <v>955</v>
      </c>
      <c r="E143" s="25" t="s">
        <v>968</v>
      </c>
      <c r="F143" s="25" t="s">
        <v>969</v>
      </c>
      <c r="G143" s="26" t="s">
        <v>811</v>
      </c>
      <c r="H143" s="25" t="s">
        <v>824</v>
      </c>
      <c r="I143" s="25" t="s">
        <v>825</v>
      </c>
      <c r="J143" s="109"/>
      <c r="K143" s="27" t="s">
        <v>973</v>
      </c>
      <c r="L143" s="25" t="s">
        <v>924</v>
      </c>
    </row>
    <row r="144" spans="1:12">
      <c r="A144" s="22" t="s">
        <v>816</v>
      </c>
      <c r="B144" s="24" t="s">
        <v>271</v>
      </c>
      <c r="C144" s="24" t="s">
        <v>780</v>
      </c>
      <c r="D144" s="25" t="s">
        <v>955</v>
      </c>
      <c r="E144" s="25" t="s">
        <v>968</v>
      </c>
      <c r="F144" s="25" t="s">
        <v>969</v>
      </c>
      <c r="G144" s="26" t="s">
        <v>811</v>
      </c>
      <c r="H144" s="25" t="s">
        <v>827</v>
      </c>
      <c r="I144" s="25" t="s">
        <v>828</v>
      </c>
      <c r="J144" s="109"/>
      <c r="K144" s="27" t="s">
        <v>973</v>
      </c>
      <c r="L144" s="25" t="s">
        <v>925</v>
      </c>
    </row>
    <row r="145" spans="1:12">
      <c r="A145" s="22" t="s">
        <v>816</v>
      </c>
      <c r="B145" s="24" t="s">
        <v>271</v>
      </c>
      <c r="C145" s="24" t="s">
        <v>780</v>
      </c>
      <c r="D145" s="25" t="s">
        <v>955</v>
      </c>
      <c r="E145" s="25" t="s">
        <v>968</v>
      </c>
      <c r="F145" s="25" t="s">
        <v>969</v>
      </c>
      <c r="G145" s="26" t="s">
        <v>811</v>
      </c>
      <c r="H145" s="25" t="s">
        <v>830</v>
      </c>
      <c r="I145" s="25" t="s">
        <v>831</v>
      </c>
      <c r="J145" s="109"/>
      <c r="K145" s="27" t="s">
        <v>973</v>
      </c>
      <c r="L145" s="25" t="s">
        <v>926</v>
      </c>
    </row>
    <row r="146" spans="1:12">
      <c r="A146" s="22" t="s">
        <v>816</v>
      </c>
      <c r="B146" s="24" t="s">
        <v>271</v>
      </c>
      <c r="C146" s="24" t="s">
        <v>780</v>
      </c>
      <c r="D146" s="25" t="s">
        <v>955</v>
      </c>
      <c r="E146" s="25" t="s">
        <v>968</v>
      </c>
      <c r="F146" s="25" t="s">
        <v>969</v>
      </c>
      <c r="G146" s="26" t="s">
        <v>811</v>
      </c>
      <c r="H146" s="25" t="s">
        <v>833</v>
      </c>
      <c r="I146" s="25" t="s">
        <v>834</v>
      </c>
      <c r="J146" s="109"/>
      <c r="K146" s="27" t="s">
        <v>973</v>
      </c>
      <c r="L146" s="25" t="s">
        <v>927</v>
      </c>
    </row>
    <row r="147" spans="1:12">
      <c r="A147" s="22" t="s">
        <v>816</v>
      </c>
      <c r="B147" s="24" t="s">
        <v>271</v>
      </c>
      <c r="C147" s="24" t="s">
        <v>780</v>
      </c>
      <c r="D147" s="25" t="s">
        <v>955</v>
      </c>
      <c r="E147" s="25" t="s">
        <v>968</v>
      </c>
      <c r="F147" s="25" t="s">
        <v>969</v>
      </c>
      <c r="G147" s="26" t="s">
        <v>811</v>
      </c>
      <c r="H147" s="25" t="s">
        <v>836</v>
      </c>
      <c r="I147" s="25" t="s">
        <v>837</v>
      </c>
      <c r="J147" s="107"/>
      <c r="K147" s="27" t="s">
        <v>973</v>
      </c>
      <c r="L147" s="25" t="s">
        <v>928</v>
      </c>
    </row>
    <row r="148" spans="1:12">
      <c r="A148" s="22" t="s">
        <v>816</v>
      </c>
      <c r="B148" s="24" t="s">
        <v>271</v>
      </c>
      <c r="C148" s="24" t="s">
        <v>780</v>
      </c>
      <c r="D148" s="25" t="s">
        <v>955</v>
      </c>
      <c r="E148" s="25" t="s">
        <v>974</v>
      </c>
      <c r="F148" s="28" t="s">
        <v>975</v>
      </c>
      <c r="G148" s="26" t="s">
        <v>784</v>
      </c>
      <c r="H148" s="25" t="s">
        <v>785</v>
      </c>
      <c r="I148" s="25" t="s">
        <v>786</v>
      </c>
      <c r="J148" s="110" t="s">
        <v>976</v>
      </c>
      <c r="K148" s="27" t="s">
        <v>977</v>
      </c>
      <c r="L148" s="25" t="s">
        <v>912</v>
      </c>
    </row>
    <row r="149" spans="1:12">
      <c r="A149" s="22" t="s">
        <v>816</v>
      </c>
      <c r="B149" s="24" t="s">
        <v>271</v>
      </c>
      <c r="C149" s="24" t="s">
        <v>780</v>
      </c>
      <c r="D149" s="25" t="s">
        <v>955</v>
      </c>
      <c r="E149" s="25" t="s">
        <v>974</v>
      </c>
      <c r="F149" s="28" t="s">
        <v>975</v>
      </c>
      <c r="G149" s="26" t="s">
        <v>801</v>
      </c>
      <c r="H149" s="25" t="s">
        <v>802</v>
      </c>
      <c r="I149" s="25" t="s">
        <v>803</v>
      </c>
      <c r="J149" s="109"/>
      <c r="K149" s="27" t="s">
        <v>977</v>
      </c>
      <c r="L149" s="25" t="s">
        <v>913</v>
      </c>
    </row>
    <row r="150" spans="1:12">
      <c r="A150" s="22" t="s">
        <v>816</v>
      </c>
      <c r="B150" s="24" t="s">
        <v>271</v>
      </c>
      <c r="C150" s="24" t="s">
        <v>780</v>
      </c>
      <c r="D150" s="25" t="s">
        <v>955</v>
      </c>
      <c r="E150" s="25" t="s">
        <v>974</v>
      </c>
      <c r="F150" s="28" t="s">
        <v>975</v>
      </c>
      <c r="G150" s="26" t="s">
        <v>806</v>
      </c>
      <c r="H150" s="25" t="s">
        <v>807</v>
      </c>
      <c r="I150" s="25" t="s">
        <v>808</v>
      </c>
      <c r="J150" s="109"/>
      <c r="K150" s="27" t="s">
        <v>977</v>
      </c>
      <c r="L150" s="25" t="s">
        <v>914</v>
      </c>
    </row>
    <row r="151" spans="1:12">
      <c r="A151" s="22" t="s">
        <v>816</v>
      </c>
      <c r="B151" s="24" t="s">
        <v>271</v>
      </c>
      <c r="C151" s="24" t="s">
        <v>780</v>
      </c>
      <c r="D151" s="25" t="s">
        <v>955</v>
      </c>
      <c r="E151" s="25" t="s">
        <v>974</v>
      </c>
      <c r="F151" s="28" t="s">
        <v>975</v>
      </c>
      <c r="G151" s="26" t="s">
        <v>791</v>
      </c>
      <c r="H151" s="25" t="s">
        <v>792</v>
      </c>
      <c r="I151" s="25" t="s">
        <v>793</v>
      </c>
      <c r="J151" s="109"/>
      <c r="K151" s="27" t="s">
        <v>978</v>
      </c>
      <c r="L151" s="25" t="s">
        <v>916</v>
      </c>
    </row>
    <row r="152" spans="1:12">
      <c r="A152" s="22" t="s">
        <v>816</v>
      </c>
      <c r="B152" s="24" t="s">
        <v>271</v>
      </c>
      <c r="C152" s="24" t="s">
        <v>780</v>
      </c>
      <c r="D152" s="25" t="s">
        <v>955</v>
      </c>
      <c r="E152" s="25" t="s">
        <v>974</v>
      </c>
      <c r="F152" s="28" t="s">
        <v>975</v>
      </c>
      <c r="G152" s="26" t="s">
        <v>796</v>
      </c>
      <c r="H152" s="25" t="s">
        <v>797</v>
      </c>
      <c r="I152" s="25" t="s">
        <v>798</v>
      </c>
      <c r="J152" s="109"/>
      <c r="K152" s="27" t="s">
        <v>978</v>
      </c>
      <c r="L152" s="25" t="s">
        <v>917</v>
      </c>
    </row>
    <row r="153" spans="1:12">
      <c r="A153" s="22" t="s">
        <v>816</v>
      </c>
      <c r="B153" s="24" t="s">
        <v>271</v>
      </c>
      <c r="C153" s="24" t="s">
        <v>780</v>
      </c>
      <c r="D153" s="25" t="s">
        <v>955</v>
      </c>
      <c r="E153" s="25" t="s">
        <v>974</v>
      </c>
      <c r="F153" s="28" t="s">
        <v>975</v>
      </c>
      <c r="G153" s="26" t="s">
        <v>918</v>
      </c>
      <c r="H153" s="25" t="s">
        <v>919</v>
      </c>
      <c r="I153" s="25" t="s">
        <v>920</v>
      </c>
      <c r="J153" s="109"/>
      <c r="K153" s="27" t="s">
        <v>978</v>
      </c>
      <c r="L153" s="25" t="s">
        <v>921</v>
      </c>
    </row>
    <row r="154" spans="1:12">
      <c r="A154" s="22" t="s">
        <v>816</v>
      </c>
      <c r="B154" s="24" t="s">
        <v>271</v>
      </c>
      <c r="C154" s="24" t="s">
        <v>780</v>
      </c>
      <c r="D154" s="25" t="s">
        <v>955</v>
      </c>
      <c r="E154" s="25" t="s">
        <v>974</v>
      </c>
      <c r="F154" s="28" t="s">
        <v>975</v>
      </c>
      <c r="G154" s="26" t="s">
        <v>811</v>
      </c>
      <c r="H154" s="25" t="s">
        <v>812</v>
      </c>
      <c r="I154" s="25" t="s">
        <v>813</v>
      </c>
      <c r="J154" s="109"/>
      <c r="K154" s="27" t="s">
        <v>979</v>
      </c>
      <c r="L154" s="25" t="s">
        <v>923</v>
      </c>
    </row>
    <row r="155" spans="1:12">
      <c r="A155" s="22" t="s">
        <v>816</v>
      </c>
      <c r="B155" s="24" t="s">
        <v>271</v>
      </c>
      <c r="C155" s="24" t="s">
        <v>780</v>
      </c>
      <c r="D155" s="25" t="s">
        <v>955</v>
      </c>
      <c r="E155" s="25" t="s">
        <v>974</v>
      </c>
      <c r="F155" s="28" t="s">
        <v>975</v>
      </c>
      <c r="G155" s="26" t="s">
        <v>811</v>
      </c>
      <c r="H155" s="25" t="s">
        <v>824</v>
      </c>
      <c r="I155" s="25" t="s">
        <v>825</v>
      </c>
      <c r="J155" s="109"/>
      <c r="K155" s="27" t="s">
        <v>979</v>
      </c>
      <c r="L155" s="25" t="s">
        <v>924</v>
      </c>
    </row>
    <row r="156" spans="1:12">
      <c r="A156" s="22" t="s">
        <v>816</v>
      </c>
      <c r="B156" s="24" t="s">
        <v>271</v>
      </c>
      <c r="C156" s="24" t="s">
        <v>780</v>
      </c>
      <c r="D156" s="25" t="s">
        <v>955</v>
      </c>
      <c r="E156" s="25" t="s">
        <v>974</v>
      </c>
      <c r="F156" s="28" t="s">
        <v>975</v>
      </c>
      <c r="G156" s="26" t="s">
        <v>811</v>
      </c>
      <c r="H156" s="25" t="s">
        <v>827</v>
      </c>
      <c r="I156" s="25" t="s">
        <v>828</v>
      </c>
      <c r="J156" s="109"/>
      <c r="K156" s="27" t="s">
        <v>979</v>
      </c>
      <c r="L156" s="25" t="s">
        <v>925</v>
      </c>
    </row>
    <row r="157" spans="1:12">
      <c r="A157" s="22" t="s">
        <v>816</v>
      </c>
      <c r="B157" s="24" t="s">
        <v>271</v>
      </c>
      <c r="C157" s="24" t="s">
        <v>780</v>
      </c>
      <c r="D157" s="25" t="s">
        <v>955</v>
      </c>
      <c r="E157" s="25" t="s">
        <v>974</v>
      </c>
      <c r="F157" s="28" t="s">
        <v>975</v>
      </c>
      <c r="G157" s="26" t="s">
        <v>811</v>
      </c>
      <c r="H157" s="25" t="s">
        <v>830</v>
      </c>
      <c r="I157" s="25" t="s">
        <v>831</v>
      </c>
      <c r="J157" s="109"/>
      <c r="K157" s="27" t="s">
        <v>979</v>
      </c>
      <c r="L157" s="25" t="s">
        <v>926</v>
      </c>
    </row>
    <row r="158" spans="1:12">
      <c r="A158" s="22" t="s">
        <v>816</v>
      </c>
      <c r="B158" s="24" t="s">
        <v>271</v>
      </c>
      <c r="C158" s="24" t="s">
        <v>780</v>
      </c>
      <c r="D158" s="25" t="s">
        <v>955</v>
      </c>
      <c r="E158" s="25" t="s">
        <v>974</v>
      </c>
      <c r="F158" s="28" t="s">
        <v>975</v>
      </c>
      <c r="G158" s="26" t="s">
        <v>811</v>
      </c>
      <c r="H158" s="25" t="s">
        <v>833</v>
      </c>
      <c r="I158" s="25" t="s">
        <v>834</v>
      </c>
      <c r="J158" s="109"/>
      <c r="K158" s="27" t="s">
        <v>979</v>
      </c>
      <c r="L158" s="25" t="s">
        <v>927</v>
      </c>
    </row>
    <row r="159" spans="1:12">
      <c r="A159" s="22" t="s">
        <v>816</v>
      </c>
      <c r="B159" s="24" t="s">
        <v>271</v>
      </c>
      <c r="C159" s="24" t="s">
        <v>780</v>
      </c>
      <c r="D159" s="25" t="s">
        <v>955</v>
      </c>
      <c r="E159" s="25" t="s">
        <v>974</v>
      </c>
      <c r="F159" s="28" t="s">
        <v>975</v>
      </c>
      <c r="G159" s="26" t="s">
        <v>811</v>
      </c>
      <c r="H159" s="25" t="s">
        <v>836</v>
      </c>
      <c r="I159" s="25" t="s">
        <v>837</v>
      </c>
      <c r="J159" s="107"/>
      <c r="K159" s="27" t="s">
        <v>979</v>
      </c>
      <c r="L159" s="25" t="s">
        <v>928</v>
      </c>
    </row>
    <row r="165" spans="1:6">
      <c r="A165" s="22" t="s">
        <v>980</v>
      </c>
      <c r="B165" s="24" t="s">
        <v>779</v>
      </c>
      <c r="C165" s="24" t="s">
        <v>780</v>
      </c>
      <c r="D165" s="25" t="s">
        <v>981</v>
      </c>
      <c r="E165" s="25" t="s">
        <v>982</v>
      </c>
      <c r="F165" s="25" t="s">
        <v>983</v>
      </c>
    </row>
    <row r="166" spans="1:6">
      <c r="A166" s="22" t="s">
        <v>980</v>
      </c>
      <c r="B166" s="24" t="s">
        <v>984</v>
      </c>
      <c r="C166" s="24" t="s">
        <v>985</v>
      </c>
      <c r="D166" s="25" t="s">
        <v>986</v>
      </c>
      <c r="E166" s="25" t="s">
        <v>987</v>
      </c>
      <c r="F166" s="25"/>
    </row>
    <row r="167" spans="1:6">
      <c r="A167" s="22" t="s">
        <v>988</v>
      </c>
      <c r="B167" s="24" t="s">
        <v>779</v>
      </c>
      <c r="C167" s="24" t="s">
        <v>989</v>
      </c>
      <c r="D167" s="25" t="s">
        <v>990</v>
      </c>
      <c r="E167" s="25" t="s">
        <v>991</v>
      </c>
      <c r="F167" s="25"/>
    </row>
    <row r="168" spans="1:6">
      <c r="A168" s="22" t="s">
        <v>988</v>
      </c>
      <c r="B168" s="24" t="s">
        <v>779</v>
      </c>
      <c r="C168" s="24" t="s">
        <v>989</v>
      </c>
      <c r="D168" s="25" t="s">
        <v>990</v>
      </c>
      <c r="E168" s="25" t="s">
        <v>992</v>
      </c>
      <c r="F168" s="25" t="s">
        <v>993</v>
      </c>
    </row>
    <row r="169" spans="1:6">
      <c r="A169" s="22" t="s">
        <v>988</v>
      </c>
      <c r="B169" s="24" t="s">
        <v>907</v>
      </c>
      <c r="C169" s="24" t="s">
        <v>989</v>
      </c>
      <c r="D169" s="25" t="s">
        <v>990</v>
      </c>
      <c r="E169" s="25" t="s">
        <v>994</v>
      </c>
      <c r="F169" s="25"/>
    </row>
    <row r="170" spans="1:6">
      <c r="A170" s="22" t="s">
        <v>988</v>
      </c>
      <c r="B170" s="24" t="s">
        <v>907</v>
      </c>
      <c r="C170" s="24" t="s">
        <v>989</v>
      </c>
      <c r="D170" s="25" t="s">
        <v>990</v>
      </c>
      <c r="E170" s="25" t="s">
        <v>995</v>
      </c>
      <c r="F170" s="25"/>
    </row>
    <row r="171" spans="1:6">
      <c r="A171" s="22" t="s">
        <v>988</v>
      </c>
      <c r="B171" s="24" t="s">
        <v>907</v>
      </c>
      <c r="C171" s="24" t="s">
        <v>996</v>
      </c>
      <c r="D171" s="25" t="s">
        <v>997</v>
      </c>
      <c r="E171" s="25" t="s">
        <v>998</v>
      </c>
      <c r="F171" s="25"/>
    </row>
    <row r="172" spans="1:6">
      <c r="A172" s="22" t="s">
        <v>988</v>
      </c>
      <c r="B172" s="24" t="s">
        <v>907</v>
      </c>
      <c r="C172" s="24" t="s">
        <v>996</v>
      </c>
      <c r="D172" s="25" t="s">
        <v>997</v>
      </c>
      <c r="E172" s="25" t="s">
        <v>999</v>
      </c>
      <c r="F172" s="25"/>
    </row>
    <row r="173" spans="1:6">
      <c r="A173" s="22" t="s">
        <v>1000</v>
      </c>
      <c r="B173" s="24" t="s">
        <v>271</v>
      </c>
      <c r="C173" s="24" t="s">
        <v>989</v>
      </c>
      <c r="D173" s="25" t="s">
        <v>990</v>
      </c>
      <c r="E173" s="25" t="s">
        <v>1001</v>
      </c>
      <c r="F173" s="25"/>
    </row>
    <row r="174" spans="1:6">
      <c r="A174" s="22" t="s">
        <v>1000</v>
      </c>
      <c r="B174" s="24" t="s">
        <v>1002</v>
      </c>
      <c r="C174" s="24" t="s">
        <v>985</v>
      </c>
      <c r="D174" s="25" t="s">
        <v>986</v>
      </c>
      <c r="E174" s="25" t="s">
        <v>1003</v>
      </c>
      <c r="F174" s="25"/>
    </row>
    <row r="175" spans="1:6">
      <c r="A175" s="106" t="s">
        <v>1004</v>
      </c>
      <c r="B175" s="24" t="s">
        <v>1002</v>
      </c>
      <c r="C175" s="24" t="s">
        <v>996</v>
      </c>
      <c r="D175" s="25" t="s">
        <v>997</v>
      </c>
      <c r="E175" s="25" t="s">
        <v>1005</v>
      </c>
      <c r="F175" s="25" t="s">
        <v>1006</v>
      </c>
    </row>
    <row r="176" spans="1:6">
      <c r="A176" s="107"/>
      <c r="B176" s="24" t="s">
        <v>1002</v>
      </c>
      <c r="C176" s="24" t="s">
        <v>996</v>
      </c>
      <c r="D176" s="25" t="s">
        <v>997</v>
      </c>
      <c r="E176" s="25" t="s">
        <v>1007</v>
      </c>
      <c r="F176" s="25"/>
    </row>
    <row r="177" spans="1:6">
      <c r="A177" s="22" t="s">
        <v>1008</v>
      </c>
      <c r="B177" s="24" t="s">
        <v>1009</v>
      </c>
      <c r="C177" s="24" t="s">
        <v>780</v>
      </c>
      <c r="D177" s="25" t="s">
        <v>1010</v>
      </c>
      <c r="E177" s="25" t="s">
        <v>1011</v>
      </c>
      <c r="F177" s="25" t="s">
        <v>1012</v>
      </c>
    </row>
    <row r="178" spans="1:6">
      <c r="A178" s="22" t="s">
        <v>1008</v>
      </c>
      <c r="B178" s="24" t="s">
        <v>1009</v>
      </c>
      <c r="C178" s="24" t="s">
        <v>780</v>
      </c>
      <c r="D178" s="25" t="s">
        <v>1010</v>
      </c>
      <c r="E178" s="25" t="s">
        <v>1013</v>
      </c>
      <c r="F178" s="25" t="s">
        <v>1014</v>
      </c>
    </row>
    <row r="179" spans="1:6">
      <c r="A179" s="22" t="s">
        <v>1008</v>
      </c>
      <c r="B179" s="24" t="s">
        <v>779</v>
      </c>
      <c r="C179" s="24" t="s">
        <v>989</v>
      </c>
      <c r="D179" s="25" t="s">
        <v>990</v>
      </c>
      <c r="E179" s="25" t="s">
        <v>1015</v>
      </c>
      <c r="F179" s="47"/>
    </row>
    <row r="180" spans="1:6">
      <c r="A180" s="22" t="s">
        <v>1008</v>
      </c>
      <c r="B180" s="24" t="s">
        <v>779</v>
      </c>
      <c r="C180" s="24" t="s">
        <v>780</v>
      </c>
      <c r="D180" s="25" t="s">
        <v>1010</v>
      </c>
      <c r="E180" s="25" t="s">
        <v>71</v>
      </c>
      <c r="F180" s="25" t="s">
        <v>1016</v>
      </c>
    </row>
    <row r="181" spans="1:6">
      <c r="A181" s="22" t="s">
        <v>1008</v>
      </c>
      <c r="B181" s="24" t="s">
        <v>1009</v>
      </c>
      <c r="C181" s="24" t="s">
        <v>780</v>
      </c>
      <c r="D181" s="25" t="s">
        <v>1010</v>
      </c>
      <c r="E181" s="25" t="s">
        <v>1017</v>
      </c>
      <c r="F181" s="47"/>
    </row>
    <row r="182" spans="1:6">
      <c r="A182" s="22" t="s">
        <v>1008</v>
      </c>
      <c r="B182" s="24" t="s">
        <v>779</v>
      </c>
      <c r="C182" s="24" t="s">
        <v>780</v>
      </c>
      <c r="D182" s="25" t="s">
        <v>981</v>
      </c>
      <c r="E182" s="25" t="s">
        <v>234</v>
      </c>
      <c r="F182" s="47"/>
    </row>
    <row r="183" spans="1:6">
      <c r="A183" s="22" t="s">
        <v>1008</v>
      </c>
      <c r="B183" s="24" t="s">
        <v>907</v>
      </c>
      <c r="C183" s="24" t="s">
        <v>780</v>
      </c>
      <c r="D183" s="25" t="s">
        <v>1010</v>
      </c>
      <c r="E183" s="25" t="s">
        <v>1018</v>
      </c>
      <c r="F183" s="47"/>
    </row>
    <row r="184" spans="1:6">
      <c r="A184" s="22" t="s">
        <v>1008</v>
      </c>
      <c r="B184" s="24" t="s">
        <v>779</v>
      </c>
      <c r="C184" s="24" t="s">
        <v>989</v>
      </c>
      <c r="D184" s="25" t="s">
        <v>990</v>
      </c>
      <c r="E184" s="25" t="s">
        <v>44</v>
      </c>
      <c r="F184" s="47"/>
    </row>
    <row r="185" spans="1:6">
      <c r="A185" s="22" t="s">
        <v>1008</v>
      </c>
      <c r="B185" s="24" t="s">
        <v>779</v>
      </c>
      <c r="C185" s="24" t="s">
        <v>780</v>
      </c>
      <c r="D185" s="25" t="s">
        <v>981</v>
      </c>
      <c r="E185" s="25" t="s">
        <v>1019</v>
      </c>
      <c r="F185" s="47"/>
    </row>
    <row r="186" spans="1:6">
      <c r="A186" s="22" t="s">
        <v>1008</v>
      </c>
      <c r="B186" s="24" t="s">
        <v>779</v>
      </c>
      <c r="C186" s="24" t="s">
        <v>780</v>
      </c>
      <c r="D186" s="25" t="s">
        <v>981</v>
      </c>
      <c r="E186" s="25" t="s">
        <v>1020</v>
      </c>
      <c r="F186" s="47"/>
    </row>
    <row r="187" spans="1:6">
      <c r="A187" s="22" t="s">
        <v>1008</v>
      </c>
      <c r="B187" s="24" t="s">
        <v>907</v>
      </c>
      <c r="C187" s="24" t="s">
        <v>780</v>
      </c>
      <c r="D187" s="25" t="s">
        <v>1010</v>
      </c>
      <c r="E187" s="25" t="s">
        <v>1021</v>
      </c>
      <c r="F187" s="47"/>
    </row>
    <row r="188" spans="1:6">
      <c r="A188" s="22" t="s">
        <v>1008</v>
      </c>
      <c r="B188" s="24" t="s">
        <v>779</v>
      </c>
      <c r="C188" s="24" t="s">
        <v>780</v>
      </c>
      <c r="D188" s="25" t="s">
        <v>981</v>
      </c>
      <c r="E188" s="25" t="s">
        <v>1022</v>
      </c>
      <c r="F188" s="47"/>
    </row>
    <row r="189" spans="1:6">
      <c r="A189" s="22" t="s">
        <v>1008</v>
      </c>
      <c r="B189" s="24" t="s">
        <v>779</v>
      </c>
      <c r="C189" s="24" t="s">
        <v>780</v>
      </c>
      <c r="D189" s="25" t="s">
        <v>981</v>
      </c>
      <c r="E189" s="25" t="s">
        <v>1023</v>
      </c>
      <c r="F189" s="47"/>
    </row>
    <row r="190" spans="1:6">
      <c r="A190" s="22" t="s">
        <v>1008</v>
      </c>
      <c r="B190" s="24" t="s">
        <v>907</v>
      </c>
      <c r="C190" s="24" t="s">
        <v>780</v>
      </c>
      <c r="D190" s="25" t="s">
        <v>1010</v>
      </c>
      <c r="E190" s="25" t="s">
        <v>1024</v>
      </c>
      <c r="F190" s="47"/>
    </row>
    <row r="191" spans="1:6">
      <c r="A191" s="22" t="s">
        <v>1008</v>
      </c>
      <c r="B191" s="24" t="s">
        <v>907</v>
      </c>
      <c r="C191" s="24" t="s">
        <v>780</v>
      </c>
      <c r="D191" s="25" t="s">
        <v>1010</v>
      </c>
      <c r="E191" s="25" t="s">
        <v>1025</v>
      </c>
      <c r="F191" s="47"/>
    </row>
    <row r="192" spans="1:6">
      <c r="A192" s="22" t="s">
        <v>1008</v>
      </c>
      <c r="B192" s="24" t="s">
        <v>779</v>
      </c>
      <c r="C192" s="24" t="s">
        <v>989</v>
      </c>
      <c r="D192" s="25" t="s">
        <v>990</v>
      </c>
      <c r="E192" s="25" t="s">
        <v>1026</v>
      </c>
      <c r="F192" s="47"/>
    </row>
    <row r="193" spans="1:6">
      <c r="A193" s="22" t="s">
        <v>1008</v>
      </c>
      <c r="B193" s="24" t="s">
        <v>907</v>
      </c>
      <c r="C193" s="24" t="s">
        <v>780</v>
      </c>
      <c r="D193" s="25" t="s">
        <v>1010</v>
      </c>
      <c r="E193" s="25" t="s">
        <v>1027</v>
      </c>
      <c r="F193" s="47"/>
    </row>
    <row r="194" spans="1:6">
      <c r="A194" s="22" t="s">
        <v>1008</v>
      </c>
      <c r="B194" s="24" t="s">
        <v>779</v>
      </c>
      <c r="C194" s="24" t="s">
        <v>780</v>
      </c>
      <c r="D194" s="25" t="s">
        <v>990</v>
      </c>
      <c r="E194" s="25" t="s">
        <v>1028</v>
      </c>
      <c r="F194" s="47"/>
    </row>
    <row r="195" spans="1:6">
      <c r="A195" s="22" t="s">
        <v>1008</v>
      </c>
      <c r="B195" s="24" t="s">
        <v>779</v>
      </c>
      <c r="C195" s="24" t="s">
        <v>780</v>
      </c>
      <c r="D195" s="25" t="s">
        <v>981</v>
      </c>
      <c r="E195" s="25" t="s">
        <v>1029</v>
      </c>
      <c r="F195" s="47"/>
    </row>
    <row r="196" spans="1:6">
      <c r="A196" s="22" t="s">
        <v>1008</v>
      </c>
      <c r="B196" s="24" t="s">
        <v>779</v>
      </c>
      <c r="C196" s="24" t="s">
        <v>780</v>
      </c>
      <c r="D196" s="25" t="s">
        <v>981</v>
      </c>
      <c r="E196" s="25" t="s">
        <v>1030</v>
      </c>
      <c r="F196" s="47"/>
    </row>
    <row r="197" spans="1:6">
      <c r="A197" s="22" t="s">
        <v>1008</v>
      </c>
      <c r="B197" s="24" t="s">
        <v>779</v>
      </c>
      <c r="C197" s="24" t="s">
        <v>780</v>
      </c>
      <c r="D197" s="25" t="s">
        <v>1031</v>
      </c>
      <c r="E197" s="25" t="s">
        <v>1032</v>
      </c>
      <c r="F197" s="47"/>
    </row>
    <row r="198" spans="1:6">
      <c r="A198" s="22" t="s">
        <v>1008</v>
      </c>
      <c r="B198" s="24" t="s">
        <v>1009</v>
      </c>
      <c r="C198" s="24" t="s">
        <v>780</v>
      </c>
      <c r="D198" s="25" t="s">
        <v>1010</v>
      </c>
      <c r="E198" s="25" t="s">
        <v>1033</v>
      </c>
      <c r="F198" s="25" t="s">
        <v>1034</v>
      </c>
    </row>
    <row r="199" spans="1:6">
      <c r="A199" s="22" t="s">
        <v>1008</v>
      </c>
      <c r="B199" s="24" t="s">
        <v>779</v>
      </c>
      <c r="C199" s="24" t="s">
        <v>780</v>
      </c>
      <c r="D199" s="25" t="s">
        <v>981</v>
      </c>
      <c r="E199" s="25" t="s">
        <v>1035</v>
      </c>
      <c r="F199" s="47"/>
    </row>
    <row r="200" spans="1:6">
      <c r="A200" s="22" t="s">
        <v>1008</v>
      </c>
      <c r="B200" s="24" t="s">
        <v>1009</v>
      </c>
      <c r="C200" s="24" t="s">
        <v>780</v>
      </c>
      <c r="D200" s="25" t="s">
        <v>1010</v>
      </c>
      <c r="E200" s="25" t="s">
        <v>1036</v>
      </c>
      <c r="F200" s="25" t="s">
        <v>1037</v>
      </c>
    </row>
    <row r="201" spans="1:6">
      <c r="A201" s="22" t="s">
        <v>1008</v>
      </c>
      <c r="B201" s="24" t="s">
        <v>779</v>
      </c>
      <c r="C201" s="24" t="s">
        <v>780</v>
      </c>
      <c r="D201" s="25" t="s">
        <v>981</v>
      </c>
      <c r="E201" s="25" t="s">
        <v>1038</v>
      </c>
      <c r="F201" s="47"/>
    </row>
    <row r="202" spans="1:6">
      <c r="A202" s="22" t="s">
        <v>1008</v>
      </c>
      <c r="B202" s="24" t="s">
        <v>271</v>
      </c>
      <c r="C202" s="24" t="s">
        <v>780</v>
      </c>
      <c r="D202" s="25" t="s">
        <v>981</v>
      </c>
      <c r="E202" s="25" t="s">
        <v>1039</v>
      </c>
      <c r="F202" s="47"/>
    </row>
    <row r="203" spans="1:6">
      <c r="A203" s="22" t="s">
        <v>1008</v>
      </c>
      <c r="B203" s="24" t="s">
        <v>271</v>
      </c>
      <c r="C203" s="24" t="s">
        <v>780</v>
      </c>
      <c r="D203" s="25" t="s">
        <v>981</v>
      </c>
      <c r="E203" s="25" t="s">
        <v>1040</v>
      </c>
      <c r="F203" s="47"/>
    </row>
    <row r="204" spans="1:6">
      <c r="A204" s="22" t="s">
        <v>1008</v>
      </c>
      <c r="B204" s="24" t="s">
        <v>271</v>
      </c>
      <c r="C204" s="24" t="s">
        <v>989</v>
      </c>
      <c r="D204" s="25" t="s">
        <v>990</v>
      </c>
      <c r="E204" s="25" t="s">
        <v>1041</v>
      </c>
      <c r="F204" s="47"/>
    </row>
    <row r="205" spans="1:6">
      <c r="A205" s="22" t="s">
        <v>1008</v>
      </c>
      <c r="B205" s="24" t="s">
        <v>271</v>
      </c>
      <c r="C205" s="24" t="s">
        <v>989</v>
      </c>
      <c r="D205" s="25" t="s">
        <v>990</v>
      </c>
      <c r="E205" s="25" t="s">
        <v>1042</v>
      </c>
      <c r="F205" s="47"/>
    </row>
    <row r="206" spans="1:6">
      <c r="A206" s="22" t="s">
        <v>1008</v>
      </c>
      <c r="B206" s="24" t="s">
        <v>907</v>
      </c>
      <c r="C206" s="24" t="s">
        <v>780</v>
      </c>
      <c r="D206" s="25" t="s">
        <v>1010</v>
      </c>
      <c r="E206" s="25" t="s">
        <v>1043</v>
      </c>
      <c r="F206" s="25" t="s">
        <v>1044</v>
      </c>
    </row>
    <row r="207" spans="1:6">
      <c r="A207" s="22" t="s">
        <v>1008</v>
      </c>
      <c r="B207" s="24" t="s">
        <v>907</v>
      </c>
      <c r="C207" s="24" t="s">
        <v>780</v>
      </c>
      <c r="D207" s="25" t="s">
        <v>1010</v>
      </c>
      <c r="E207" s="25" t="s">
        <v>1045</v>
      </c>
      <c r="F207" s="25" t="s">
        <v>1046</v>
      </c>
    </row>
    <row r="208" spans="1:6">
      <c r="A208" s="22" t="s">
        <v>1008</v>
      </c>
      <c r="B208" s="24" t="s">
        <v>907</v>
      </c>
      <c r="C208" s="24" t="s">
        <v>780</v>
      </c>
      <c r="D208" s="25" t="s">
        <v>1010</v>
      </c>
      <c r="E208" s="25" t="s">
        <v>1047</v>
      </c>
      <c r="F208" s="25" t="s">
        <v>1048</v>
      </c>
    </row>
    <row r="209" spans="1:6">
      <c r="A209" s="22" t="s">
        <v>1008</v>
      </c>
      <c r="B209" s="24" t="s">
        <v>907</v>
      </c>
      <c r="C209" s="24" t="s">
        <v>780</v>
      </c>
      <c r="D209" s="25" t="s">
        <v>1010</v>
      </c>
      <c r="E209" s="25" t="s">
        <v>1049</v>
      </c>
      <c r="F209" s="47"/>
    </row>
    <row r="210" spans="1:6">
      <c r="A210" s="22" t="s">
        <v>1050</v>
      </c>
      <c r="B210" s="24" t="s">
        <v>1009</v>
      </c>
      <c r="C210" s="24" t="s">
        <v>780</v>
      </c>
      <c r="D210" s="25" t="s">
        <v>1010</v>
      </c>
      <c r="E210" s="25" t="s">
        <v>1051</v>
      </c>
      <c r="F210" s="25" t="s">
        <v>1052</v>
      </c>
    </row>
    <row r="211" spans="1:6">
      <c r="A211" s="22" t="s">
        <v>1050</v>
      </c>
      <c r="B211" s="24" t="s">
        <v>907</v>
      </c>
      <c r="C211" s="24" t="s">
        <v>780</v>
      </c>
      <c r="D211" s="25" t="s">
        <v>1010</v>
      </c>
      <c r="E211" s="25" t="s">
        <v>1053</v>
      </c>
      <c r="F211" s="47"/>
    </row>
    <row r="212" spans="1:6">
      <c r="A212" s="22" t="s">
        <v>1050</v>
      </c>
      <c r="B212" s="24" t="s">
        <v>271</v>
      </c>
      <c r="C212" s="24" t="s">
        <v>780</v>
      </c>
      <c r="D212" s="25" t="s">
        <v>1054</v>
      </c>
      <c r="E212" s="25" t="s">
        <v>1055</v>
      </c>
      <c r="F212" s="47"/>
    </row>
    <row r="213" spans="1:6">
      <c r="A213" s="22" t="s">
        <v>1056</v>
      </c>
      <c r="B213" s="24" t="s">
        <v>779</v>
      </c>
      <c r="C213" s="24" t="s">
        <v>780</v>
      </c>
      <c r="D213" s="25" t="s">
        <v>981</v>
      </c>
      <c r="E213" s="25" t="s">
        <v>1057</v>
      </c>
      <c r="F213" s="25" t="s">
        <v>1058</v>
      </c>
    </row>
    <row r="214" spans="1:6">
      <c r="A214" s="22" t="s">
        <v>1059</v>
      </c>
      <c r="B214" s="24" t="s">
        <v>779</v>
      </c>
      <c r="C214" s="24" t="s">
        <v>780</v>
      </c>
      <c r="D214" s="25" t="s">
        <v>981</v>
      </c>
      <c r="E214" s="25" t="s">
        <v>1060</v>
      </c>
      <c r="F214" s="25" t="s">
        <v>1061</v>
      </c>
    </row>
    <row r="215" spans="1:6">
      <c r="A215" s="106" t="s">
        <v>1062</v>
      </c>
      <c r="B215" s="24" t="s">
        <v>779</v>
      </c>
      <c r="C215" s="24" t="s">
        <v>780</v>
      </c>
      <c r="D215" s="25" t="s">
        <v>1063</v>
      </c>
      <c r="E215" s="25" t="s">
        <v>1064</v>
      </c>
      <c r="F215" s="25" t="s">
        <v>1065</v>
      </c>
    </row>
    <row r="216" spans="1:6">
      <c r="A216" s="107"/>
      <c r="B216" s="24" t="s">
        <v>779</v>
      </c>
      <c r="C216" s="24" t="s">
        <v>780</v>
      </c>
      <c r="D216" s="25" t="s">
        <v>1066</v>
      </c>
      <c r="E216" s="25" t="s">
        <v>1067</v>
      </c>
      <c r="F216" s="47"/>
    </row>
    <row r="217" spans="1:6">
      <c r="A217" s="22" t="s">
        <v>1068</v>
      </c>
      <c r="B217" s="24" t="s">
        <v>779</v>
      </c>
      <c r="C217" s="24" t="s">
        <v>780</v>
      </c>
      <c r="D217" s="25" t="s">
        <v>781</v>
      </c>
      <c r="E217" s="25" t="s">
        <v>1069</v>
      </c>
      <c r="F217" s="25" t="s">
        <v>1070</v>
      </c>
    </row>
    <row r="218" spans="1:6">
      <c r="A218" s="22" t="s">
        <v>1071</v>
      </c>
      <c r="B218" s="24" t="s">
        <v>779</v>
      </c>
      <c r="C218" s="24" t="s">
        <v>780</v>
      </c>
      <c r="D218" s="25" t="s">
        <v>781</v>
      </c>
      <c r="E218" s="25" t="s">
        <v>1072</v>
      </c>
      <c r="F218" s="25" t="s">
        <v>1073</v>
      </c>
    </row>
    <row r="219" spans="1:6">
      <c r="A219" s="22" t="s">
        <v>1074</v>
      </c>
      <c r="B219" s="24" t="s">
        <v>779</v>
      </c>
      <c r="C219" s="24" t="s">
        <v>780</v>
      </c>
      <c r="D219" s="25" t="s">
        <v>1075</v>
      </c>
      <c r="E219" s="25" t="s">
        <v>1076</v>
      </c>
      <c r="F219" s="25" t="s">
        <v>1077</v>
      </c>
    </row>
    <row r="220" spans="1:6">
      <c r="A220" s="22" t="s">
        <v>1074</v>
      </c>
      <c r="B220" s="24" t="s">
        <v>779</v>
      </c>
      <c r="C220" s="24" t="s">
        <v>780</v>
      </c>
      <c r="D220" s="25" t="s">
        <v>1075</v>
      </c>
      <c r="E220" s="25" t="s">
        <v>1078</v>
      </c>
      <c r="F220" s="47"/>
    </row>
    <row r="221" spans="1:6">
      <c r="A221" s="22" t="s">
        <v>1074</v>
      </c>
      <c r="B221" s="24" t="s">
        <v>907</v>
      </c>
      <c r="C221" s="24" t="s">
        <v>780</v>
      </c>
      <c r="D221" s="25" t="s">
        <v>1079</v>
      </c>
      <c r="E221" s="25" t="s">
        <v>1080</v>
      </c>
      <c r="F221" s="25" t="s">
        <v>1081</v>
      </c>
    </row>
    <row r="222" spans="1:6">
      <c r="A222" s="22" t="s">
        <v>1074</v>
      </c>
      <c r="B222" s="24" t="s">
        <v>1009</v>
      </c>
      <c r="C222" s="24" t="s">
        <v>780</v>
      </c>
      <c r="D222" s="25" t="s">
        <v>1079</v>
      </c>
      <c r="E222" s="25" t="s">
        <v>1082</v>
      </c>
      <c r="F222" s="47"/>
    </row>
    <row r="223" spans="1:6">
      <c r="A223" s="22" t="s">
        <v>1074</v>
      </c>
      <c r="B223" s="24" t="s">
        <v>907</v>
      </c>
      <c r="C223" s="24" t="s">
        <v>780</v>
      </c>
      <c r="D223" s="25" t="s">
        <v>1079</v>
      </c>
      <c r="E223" s="25" t="s">
        <v>1083</v>
      </c>
      <c r="F223" s="25" t="s">
        <v>1081</v>
      </c>
    </row>
    <row r="224" spans="1:6">
      <c r="A224" s="22" t="s">
        <v>1074</v>
      </c>
      <c r="B224" s="24" t="s">
        <v>1009</v>
      </c>
      <c r="C224" s="24" t="s">
        <v>780</v>
      </c>
      <c r="D224" s="25" t="s">
        <v>1079</v>
      </c>
      <c r="E224" s="25" t="s">
        <v>1084</v>
      </c>
      <c r="F224" s="47"/>
    </row>
    <row r="225" spans="1:6">
      <c r="A225" s="22" t="s">
        <v>1085</v>
      </c>
      <c r="B225" s="24" t="s">
        <v>1009</v>
      </c>
      <c r="C225" s="24" t="s">
        <v>780</v>
      </c>
      <c r="D225" s="25" t="s">
        <v>1079</v>
      </c>
      <c r="E225" s="25" t="s">
        <v>1086</v>
      </c>
      <c r="F225" s="48" t="s">
        <v>1087</v>
      </c>
    </row>
    <row r="226" spans="1:6">
      <c r="A226" s="22" t="s">
        <v>1085</v>
      </c>
      <c r="B226" s="24" t="s">
        <v>1009</v>
      </c>
      <c r="C226" s="24" t="s">
        <v>780</v>
      </c>
      <c r="D226" s="25" t="s">
        <v>1079</v>
      </c>
      <c r="E226" s="25" t="s">
        <v>1088</v>
      </c>
      <c r="F226" s="47"/>
    </row>
    <row r="227" spans="1:6">
      <c r="A227" s="22" t="s">
        <v>1085</v>
      </c>
      <c r="B227" s="24" t="s">
        <v>271</v>
      </c>
      <c r="C227" s="24" t="s">
        <v>780</v>
      </c>
      <c r="D227" s="25" t="s">
        <v>1089</v>
      </c>
      <c r="E227" s="25" t="s">
        <v>1090</v>
      </c>
      <c r="F227" s="47"/>
    </row>
    <row r="228" spans="1:6">
      <c r="A228" s="22" t="s">
        <v>1085</v>
      </c>
      <c r="B228" s="24" t="s">
        <v>271</v>
      </c>
      <c r="C228" s="24" t="s">
        <v>780</v>
      </c>
      <c r="D228" s="25" t="s">
        <v>1089</v>
      </c>
      <c r="E228" s="25" t="s">
        <v>1091</v>
      </c>
      <c r="F228" s="47"/>
    </row>
    <row r="229" spans="1:6">
      <c r="A229" s="22" t="s">
        <v>1092</v>
      </c>
      <c r="B229" s="24" t="s">
        <v>1009</v>
      </c>
      <c r="C229" s="24" t="s">
        <v>780</v>
      </c>
      <c r="D229" s="25" t="s">
        <v>1093</v>
      </c>
      <c r="E229" s="25" t="s">
        <v>1094</v>
      </c>
      <c r="F229" s="47"/>
    </row>
    <row r="230" spans="1:6">
      <c r="A230" s="22" t="s">
        <v>1092</v>
      </c>
      <c r="B230" s="24" t="s">
        <v>1009</v>
      </c>
      <c r="C230" s="24" t="s">
        <v>780</v>
      </c>
      <c r="D230" s="25" t="s">
        <v>1093</v>
      </c>
      <c r="E230" s="25" t="s">
        <v>1095</v>
      </c>
      <c r="F230" s="47"/>
    </row>
    <row r="231" spans="1:6">
      <c r="A231" s="22" t="s">
        <v>1092</v>
      </c>
      <c r="B231" s="24" t="s">
        <v>1009</v>
      </c>
      <c r="C231" s="24" t="s">
        <v>780</v>
      </c>
      <c r="D231" s="25" t="s">
        <v>1093</v>
      </c>
      <c r="E231" s="25" t="s">
        <v>1096</v>
      </c>
      <c r="F231" s="47"/>
    </row>
    <row r="232" spans="1:6">
      <c r="A232" s="22" t="s">
        <v>1092</v>
      </c>
      <c r="B232" s="24" t="s">
        <v>1009</v>
      </c>
      <c r="C232" s="24" t="s">
        <v>780</v>
      </c>
      <c r="D232" s="25" t="s">
        <v>1093</v>
      </c>
      <c r="E232" s="25" t="s">
        <v>1097</v>
      </c>
      <c r="F232" s="47"/>
    </row>
    <row r="233" spans="1:6">
      <c r="A233" s="22" t="s">
        <v>1092</v>
      </c>
      <c r="B233" s="24" t="s">
        <v>1009</v>
      </c>
      <c r="C233" s="24" t="s">
        <v>780</v>
      </c>
      <c r="D233" s="25" t="s">
        <v>1093</v>
      </c>
      <c r="E233" s="25" t="s">
        <v>1098</v>
      </c>
      <c r="F233" s="47"/>
    </row>
    <row r="234" spans="1:6">
      <c r="A234" s="22" t="s">
        <v>1092</v>
      </c>
      <c r="B234" s="24" t="s">
        <v>1009</v>
      </c>
      <c r="C234" s="24" t="s">
        <v>780</v>
      </c>
      <c r="D234" s="25" t="s">
        <v>1093</v>
      </c>
      <c r="E234" s="25" t="s">
        <v>1099</v>
      </c>
      <c r="F234" s="47"/>
    </row>
    <row r="235" spans="1:6">
      <c r="A235" s="22" t="s">
        <v>1092</v>
      </c>
      <c r="B235" s="24" t="s">
        <v>1009</v>
      </c>
      <c r="C235" s="24" t="s">
        <v>780</v>
      </c>
      <c r="D235" s="25" t="s">
        <v>1093</v>
      </c>
      <c r="E235" s="25" t="s">
        <v>1100</v>
      </c>
      <c r="F235" s="47"/>
    </row>
    <row r="236" spans="1:6">
      <c r="A236" s="22" t="s">
        <v>1092</v>
      </c>
      <c r="B236" s="24" t="s">
        <v>1009</v>
      </c>
      <c r="C236" s="24" t="s">
        <v>780</v>
      </c>
      <c r="D236" s="25" t="s">
        <v>1093</v>
      </c>
      <c r="E236" s="25" t="s">
        <v>1101</v>
      </c>
      <c r="F236" s="47"/>
    </row>
    <row r="237" spans="1:6">
      <c r="A237" s="22" t="s">
        <v>1092</v>
      </c>
      <c r="B237" s="24" t="s">
        <v>1009</v>
      </c>
      <c r="C237" s="24" t="s">
        <v>780</v>
      </c>
      <c r="D237" s="25" t="s">
        <v>1093</v>
      </c>
      <c r="E237" s="25" t="s">
        <v>1102</v>
      </c>
      <c r="F237" s="47"/>
    </row>
    <row r="238" spans="1:6">
      <c r="A238" s="22" t="s">
        <v>1092</v>
      </c>
      <c r="B238" s="24" t="s">
        <v>1009</v>
      </c>
      <c r="C238" s="24" t="s">
        <v>780</v>
      </c>
      <c r="D238" s="25" t="s">
        <v>1093</v>
      </c>
      <c r="E238" s="25" t="s">
        <v>1103</v>
      </c>
      <c r="F238" s="47"/>
    </row>
    <row r="239" spans="1:6">
      <c r="A239" s="22" t="s">
        <v>1092</v>
      </c>
      <c r="B239" s="24" t="s">
        <v>1009</v>
      </c>
      <c r="C239" s="24" t="s">
        <v>780</v>
      </c>
      <c r="D239" s="25" t="s">
        <v>1093</v>
      </c>
      <c r="E239" s="25" t="s">
        <v>1104</v>
      </c>
      <c r="F239" s="47"/>
    </row>
    <row r="240" spans="1:6">
      <c r="A240" s="22" t="s">
        <v>1092</v>
      </c>
      <c r="B240" s="24" t="s">
        <v>779</v>
      </c>
      <c r="C240" s="24" t="s">
        <v>780</v>
      </c>
      <c r="D240" s="25" t="s">
        <v>981</v>
      </c>
      <c r="E240" s="25" t="s">
        <v>1105</v>
      </c>
      <c r="F240" s="47"/>
    </row>
    <row r="241" spans="1:6">
      <c r="A241" s="22" t="s">
        <v>1092</v>
      </c>
      <c r="B241" s="24" t="s">
        <v>1009</v>
      </c>
      <c r="C241" s="24" t="s">
        <v>780</v>
      </c>
      <c r="D241" s="25" t="s">
        <v>1093</v>
      </c>
      <c r="E241" s="25" t="s">
        <v>1106</v>
      </c>
      <c r="F241" s="47"/>
    </row>
    <row r="242" spans="1:6">
      <c r="A242" s="22" t="s">
        <v>1092</v>
      </c>
      <c r="B242" s="24" t="s">
        <v>779</v>
      </c>
      <c r="C242" s="24" t="s">
        <v>780</v>
      </c>
      <c r="D242" s="25" t="s">
        <v>1075</v>
      </c>
      <c r="E242" s="25" t="s">
        <v>1107</v>
      </c>
      <c r="F242" s="47"/>
    </row>
    <row r="243" spans="1:6">
      <c r="A243" s="22" t="s">
        <v>1092</v>
      </c>
      <c r="B243" s="24" t="s">
        <v>1009</v>
      </c>
      <c r="C243" s="24" t="s">
        <v>780</v>
      </c>
      <c r="D243" s="25" t="s">
        <v>1093</v>
      </c>
      <c r="E243" s="25" t="s">
        <v>1108</v>
      </c>
      <c r="F243" s="47"/>
    </row>
    <row r="244" spans="1:6">
      <c r="A244" s="22" t="s">
        <v>1092</v>
      </c>
      <c r="B244" s="24" t="s">
        <v>779</v>
      </c>
      <c r="C244" s="24" t="s">
        <v>780</v>
      </c>
      <c r="D244" s="25" t="s">
        <v>1075</v>
      </c>
      <c r="E244" s="25" t="s">
        <v>1109</v>
      </c>
      <c r="F244" s="47"/>
    </row>
    <row r="245" spans="1:6">
      <c r="A245" s="22" t="s">
        <v>1092</v>
      </c>
      <c r="B245" s="24" t="s">
        <v>1009</v>
      </c>
      <c r="C245" s="24" t="s">
        <v>780</v>
      </c>
      <c r="D245" s="25" t="s">
        <v>1093</v>
      </c>
      <c r="E245" s="25" t="s">
        <v>1110</v>
      </c>
      <c r="F245" s="47"/>
    </row>
    <row r="246" spans="1:6">
      <c r="A246" s="22" t="s">
        <v>1092</v>
      </c>
      <c r="B246" s="24" t="s">
        <v>1009</v>
      </c>
      <c r="C246" s="24" t="s">
        <v>780</v>
      </c>
      <c r="D246" s="25" t="s">
        <v>1093</v>
      </c>
      <c r="E246" s="25" t="s">
        <v>1111</v>
      </c>
      <c r="F246" s="47"/>
    </row>
    <row r="247" spans="1:6">
      <c r="A247" s="22" t="s">
        <v>1092</v>
      </c>
      <c r="B247" s="24" t="s">
        <v>1009</v>
      </c>
      <c r="C247" s="24" t="s">
        <v>780</v>
      </c>
      <c r="D247" s="25" t="s">
        <v>1093</v>
      </c>
      <c r="E247" s="25" t="s">
        <v>1112</v>
      </c>
      <c r="F247" s="47"/>
    </row>
    <row r="248" spans="1:6">
      <c r="A248" s="22" t="s">
        <v>1092</v>
      </c>
      <c r="B248" s="24" t="s">
        <v>1009</v>
      </c>
      <c r="C248" s="24" t="s">
        <v>780</v>
      </c>
      <c r="D248" s="25" t="s">
        <v>1093</v>
      </c>
      <c r="E248" s="25" t="s">
        <v>1113</v>
      </c>
      <c r="F248" s="25" t="s">
        <v>1114</v>
      </c>
    </row>
    <row r="249" spans="1:6">
      <c r="A249" s="22" t="s">
        <v>1092</v>
      </c>
      <c r="B249" s="24" t="s">
        <v>1009</v>
      </c>
      <c r="C249" s="24" t="s">
        <v>780</v>
      </c>
      <c r="D249" s="25" t="s">
        <v>1093</v>
      </c>
      <c r="E249" s="25" t="s">
        <v>1115</v>
      </c>
      <c r="F249" s="47"/>
    </row>
    <row r="250" spans="1:6">
      <c r="A250" s="22" t="s">
        <v>1092</v>
      </c>
      <c r="B250" s="24" t="s">
        <v>1009</v>
      </c>
      <c r="C250" s="24" t="s">
        <v>780</v>
      </c>
      <c r="D250" s="25" t="s">
        <v>1093</v>
      </c>
      <c r="E250" s="25" t="s">
        <v>1116</v>
      </c>
      <c r="F250" s="47"/>
    </row>
    <row r="251" spans="1:6">
      <c r="A251" s="22" t="s">
        <v>1092</v>
      </c>
      <c r="B251" s="24" t="s">
        <v>1009</v>
      </c>
      <c r="C251" s="24" t="s">
        <v>780</v>
      </c>
      <c r="D251" s="25" t="s">
        <v>1093</v>
      </c>
      <c r="E251" s="25" t="s">
        <v>1117</v>
      </c>
      <c r="F251" s="25" t="s">
        <v>1118</v>
      </c>
    </row>
    <row r="252" spans="1:6">
      <c r="A252" s="22" t="s">
        <v>1092</v>
      </c>
      <c r="B252" s="24" t="s">
        <v>1009</v>
      </c>
      <c r="C252" s="24" t="s">
        <v>780</v>
      </c>
      <c r="D252" s="25" t="s">
        <v>1093</v>
      </c>
      <c r="E252" s="25" t="s">
        <v>1119</v>
      </c>
      <c r="F252" s="47"/>
    </row>
    <row r="253" spans="1:6">
      <c r="A253" s="22" t="s">
        <v>1092</v>
      </c>
      <c r="B253" s="24" t="s">
        <v>1009</v>
      </c>
      <c r="C253" s="24" t="s">
        <v>780</v>
      </c>
      <c r="D253" s="25" t="s">
        <v>1093</v>
      </c>
      <c r="E253" s="25" t="s">
        <v>1120</v>
      </c>
      <c r="F253" s="47"/>
    </row>
    <row r="254" spans="1:6">
      <c r="A254" s="22" t="s">
        <v>1092</v>
      </c>
      <c r="B254" s="24" t="s">
        <v>1009</v>
      </c>
      <c r="C254" s="24" t="s">
        <v>780</v>
      </c>
      <c r="D254" s="25" t="s">
        <v>1093</v>
      </c>
      <c r="E254" s="25" t="s">
        <v>1121</v>
      </c>
      <c r="F254" s="25" t="s">
        <v>1122</v>
      </c>
    </row>
    <row r="255" spans="1:6">
      <c r="A255" s="22" t="s">
        <v>1092</v>
      </c>
      <c r="B255" s="24" t="s">
        <v>1009</v>
      </c>
      <c r="C255" s="24" t="s">
        <v>780</v>
      </c>
      <c r="D255" s="25" t="s">
        <v>1093</v>
      </c>
      <c r="E255" s="25" t="s">
        <v>1123</v>
      </c>
      <c r="F255" s="47"/>
    </row>
    <row r="256" spans="1:6">
      <c r="A256" s="22" t="s">
        <v>1092</v>
      </c>
      <c r="B256" s="24" t="s">
        <v>1009</v>
      </c>
      <c r="C256" s="24" t="s">
        <v>780</v>
      </c>
      <c r="D256" s="25" t="s">
        <v>1093</v>
      </c>
      <c r="E256" s="25" t="s">
        <v>1124</v>
      </c>
      <c r="F256" s="47"/>
    </row>
    <row r="257" spans="1:6">
      <c r="A257" s="22" t="s">
        <v>1092</v>
      </c>
      <c r="B257" s="24" t="s">
        <v>1009</v>
      </c>
      <c r="C257" s="24" t="s">
        <v>780</v>
      </c>
      <c r="D257" s="25" t="s">
        <v>1093</v>
      </c>
      <c r="E257" s="25" t="s">
        <v>1125</v>
      </c>
      <c r="F257" s="47"/>
    </row>
    <row r="258" spans="1:6">
      <c r="A258" s="22" t="s">
        <v>1092</v>
      </c>
      <c r="B258" s="24" t="s">
        <v>1009</v>
      </c>
      <c r="C258" s="24" t="s">
        <v>780</v>
      </c>
      <c r="D258" s="25" t="s">
        <v>1093</v>
      </c>
      <c r="E258" s="25" t="s">
        <v>1126</v>
      </c>
      <c r="F258" s="47"/>
    </row>
    <row r="259" spans="1:6">
      <c r="A259" s="22" t="s">
        <v>1092</v>
      </c>
      <c r="B259" s="24" t="s">
        <v>1009</v>
      </c>
      <c r="C259" s="24" t="s">
        <v>780</v>
      </c>
      <c r="D259" s="25" t="s">
        <v>1093</v>
      </c>
      <c r="E259" s="25" t="s">
        <v>1127</v>
      </c>
      <c r="F259" s="47"/>
    </row>
    <row r="260" spans="1:6">
      <c r="A260" s="22" t="s">
        <v>1092</v>
      </c>
      <c r="B260" s="24" t="s">
        <v>1009</v>
      </c>
      <c r="C260" s="24" t="s">
        <v>780</v>
      </c>
      <c r="D260" s="25" t="s">
        <v>1093</v>
      </c>
      <c r="E260" s="25" t="s">
        <v>1128</v>
      </c>
      <c r="F260" s="47"/>
    </row>
    <row r="261" spans="1:6">
      <c r="A261" s="22" t="s">
        <v>1092</v>
      </c>
      <c r="B261" s="24" t="s">
        <v>1009</v>
      </c>
      <c r="C261" s="24" t="s">
        <v>780</v>
      </c>
      <c r="D261" s="25" t="s">
        <v>1093</v>
      </c>
      <c r="E261" s="25" t="s">
        <v>1129</v>
      </c>
      <c r="F261" s="47"/>
    </row>
    <row r="262" spans="1:6">
      <c r="A262" s="22" t="s">
        <v>1092</v>
      </c>
      <c r="B262" s="24" t="s">
        <v>271</v>
      </c>
      <c r="C262" s="24" t="s">
        <v>780</v>
      </c>
      <c r="D262" s="25" t="s">
        <v>1130</v>
      </c>
      <c r="E262" s="25" t="s">
        <v>1131</v>
      </c>
      <c r="F262" s="47"/>
    </row>
    <row r="263" spans="1:6">
      <c r="A263" s="22" t="s">
        <v>1132</v>
      </c>
      <c r="B263" s="24" t="s">
        <v>779</v>
      </c>
      <c r="C263" s="24" t="s">
        <v>780</v>
      </c>
      <c r="D263" s="25" t="s">
        <v>1075</v>
      </c>
      <c r="E263" s="25" t="s">
        <v>1133</v>
      </c>
      <c r="F263" s="25" t="s">
        <v>1134</v>
      </c>
    </row>
    <row r="264" spans="1:6">
      <c r="A264" s="22" t="s">
        <v>1132</v>
      </c>
      <c r="B264" s="24" t="s">
        <v>779</v>
      </c>
      <c r="C264" s="24" t="s">
        <v>780</v>
      </c>
      <c r="D264" s="25" t="s">
        <v>1075</v>
      </c>
      <c r="E264" s="25" t="s">
        <v>1135</v>
      </c>
      <c r="F264" s="47"/>
    </row>
    <row r="265" spans="1:6">
      <c r="A265" s="22" t="s">
        <v>1132</v>
      </c>
      <c r="B265" s="24" t="s">
        <v>1009</v>
      </c>
      <c r="C265" s="24" t="s">
        <v>780</v>
      </c>
      <c r="D265" s="25" t="s">
        <v>1075</v>
      </c>
      <c r="E265" s="25" t="s">
        <v>1136</v>
      </c>
      <c r="F265" s="47"/>
    </row>
    <row r="266" spans="1:6">
      <c r="A266" s="22" t="s">
        <v>1137</v>
      </c>
      <c r="B266" s="24" t="s">
        <v>779</v>
      </c>
      <c r="C266" s="24" t="s">
        <v>780</v>
      </c>
      <c r="D266" s="25" t="s">
        <v>1075</v>
      </c>
      <c r="E266" s="25" t="s">
        <v>1138</v>
      </c>
      <c r="F266" s="25" t="s">
        <v>1139</v>
      </c>
    </row>
    <row r="267" spans="1:6">
      <c r="A267" s="22" t="s">
        <v>1137</v>
      </c>
      <c r="B267" s="24" t="s">
        <v>1009</v>
      </c>
      <c r="C267" s="24" t="s">
        <v>780</v>
      </c>
      <c r="D267" s="25" t="s">
        <v>1075</v>
      </c>
      <c r="E267" s="25" t="s">
        <v>1140</v>
      </c>
      <c r="F267" s="47"/>
    </row>
    <row r="268" spans="1:6">
      <c r="A268" s="22" t="s">
        <v>1137</v>
      </c>
      <c r="B268" s="24" t="s">
        <v>779</v>
      </c>
      <c r="C268" s="24" t="s">
        <v>780</v>
      </c>
      <c r="D268" s="25" t="s">
        <v>1075</v>
      </c>
      <c r="E268" s="25" t="s">
        <v>1141</v>
      </c>
      <c r="F268" s="47"/>
    </row>
    <row r="269" spans="1:6">
      <c r="A269" s="22" t="s">
        <v>1137</v>
      </c>
      <c r="B269" s="24" t="s">
        <v>779</v>
      </c>
      <c r="C269" s="24" t="s">
        <v>780</v>
      </c>
      <c r="D269" s="25" t="s">
        <v>1075</v>
      </c>
      <c r="E269" s="25" t="s">
        <v>1142</v>
      </c>
      <c r="F269" s="25" t="s">
        <v>1143</v>
      </c>
    </row>
    <row r="270" spans="1:6">
      <c r="A270" s="22" t="s">
        <v>1137</v>
      </c>
      <c r="B270" s="24" t="s">
        <v>1009</v>
      </c>
      <c r="C270" s="24" t="s">
        <v>780</v>
      </c>
      <c r="D270" s="25" t="s">
        <v>1075</v>
      </c>
      <c r="E270" s="25" t="s">
        <v>1144</v>
      </c>
      <c r="F270" s="47"/>
    </row>
    <row r="271" spans="1:6">
      <c r="A271" s="22" t="s">
        <v>1137</v>
      </c>
      <c r="B271" s="24" t="s">
        <v>779</v>
      </c>
      <c r="C271" s="24" t="s">
        <v>780</v>
      </c>
      <c r="D271" s="25" t="s">
        <v>1075</v>
      </c>
      <c r="E271" s="25" t="s">
        <v>1145</v>
      </c>
      <c r="F271" s="47"/>
    </row>
    <row r="272" spans="1:6">
      <c r="A272" s="22" t="s">
        <v>1146</v>
      </c>
      <c r="B272" s="24" t="s">
        <v>779</v>
      </c>
      <c r="C272" s="24" t="s">
        <v>780</v>
      </c>
      <c r="D272" s="25" t="s">
        <v>1031</v>
      </c>
      <c r="E272" s="25" t="s">
        <v>1032</v>
      </c>
      <c r="F272" s="25" t="s">
        <v>1147</v>
      </c>
    </row>
    <row r="273" spans="1:12">
      <c r="A273" s="22" t="s">
        <v>1146</v>
      </c>
      <c r="B273" s="24" t="s">
        <v>1009</v>
      </c>
      <c r="C273" s="24" t="s">
        <v>780</v>
      </c>
      <c r="D273" s="25" t="s">
        <v>1079</v>
      </c>
      <c r="E273" s="25" t="s">
        <v>1148</v>
      </c>
      <c r="F273" s="47"/>
      <c r="G273" s="46"/>
      <c r="H273" s="46"/>
      <c r="I273" s="46"/>
      <c r="J273" s="46"/>
      <c r="K273" s="46"/>
      <c r="L273" s="46"/>
    </row>
    <row r="274" spans="1:12">
      <c r="A274" s="22" t="s">
        <v>1146</v>
      </c>
      <c r="B274" s="24" t="s">
        <v>779</v>
      </c>
      <c r="C274" s="24" t="s">
        <v>780</v>
      </c>
      <c r="D274" s="25" t="s">
        <v>1031</v>
      </c>
      <c r="E274" s="25" t="s">
        <v>1149</v>
      </c>
      <c r="F274" s="47"/>
      <c r="G274" s="46"/>
      <c r="H274" s="46"/>
      <c r="I274" s="46"/>
      <c r="J274" s="46"/>
      <c r="K274" s="46"/>
      <c r="L274" s="46"/>
    </row>
    <row r="275" spans="1:12">
      <c r="A275" s="22" t="s">
        <v>1146</v>
      </c>
      <c r="B275" s="24" t="s">
        <v>1009</v>
      </c>
      <c r="C275" s="24" t="s">
        <v>780</v>
      </c>
      <c r="D275" s="25" t="s">
        <v>1079</v>
      </c>
      <c r="E275" s="25" t="s">
        <v>1150</v>
      </c>
      <c r="F275" s="47"/>
      <c r="G275" s="46"/>
      <c r="H275" s="46"/>
      <c r="I275" s="46"/>
      <c r="J275" s="46"/>
      <c r="K275" s="46"/>
      <c r="L275" s="46"/>
    </row>
    <row r="276" spans="1:12">
      <c r="A276" s="22" t="s">
        <v>1146</v>
      </c>
      <c r="B276" s="24" t="s">
        <v>779</v>
      </c>
      <c r="C276" s="24" t="s">
        <v>985</v>
      </c>
      <c r="D276" s="25" t="s">
        <v>986</v>
      </c>
      <c r="E276" s="25" t="s">
        <v>1151</v>
      </c>
      <c r="F276" s="25"/>
      <c r="G276" s="46"/>
      <c r="H276" s="46"/>
      <c r="I276" s="46"/>
      <c r="J276" s="46"/>
      <c r="K276" s="46"/>
      <c r="L276" s="46"/>
    </row>
    <row r="277" spans="1:12">
      <c r="A277" s="22" t="s">
        <v>1146</v>
      </c>
      <c r="B277" s="24" t="s">
        <v>779</v>
      </c>
      <c r="C277" s="24" t="s">
        <v>985</v>
      </c>
      <c r="D277" s="25" t="s">
        <v>986</v>
      </c>
      <c r="E277" s="25" t="s">
        <v>1152</v>
      </c>
      <c r="F277" s="25"/>
      <c r="G277" s="46"/>
      <c r="H277" s="46"/>
      <c r="I277" s="46"/>
      <c r="J277" s="46"/>
      <c r="K277" s="46"/>
      <c r="L277" s="46"/>
    </row>
    <row r="278" spans="1:12">
      <c r="A278" s="22" t="s">
        <v>1153</v>
      </c>
      <c r="B278" s="24" t="s">
        <v>779</v>
      </c>
      <c r="C278" s="24" t="s">
        <v>985</v>
      </c>
      <c r="D278" s="25" t="s">
        <v>986</v>
      </c>
      <c r="E278" s="25" t="s">
        <v>1154</v>
      </c>
      <c r="F278" s="25"/>
      <c r="G278" s="46"/>
      <c r="H278" s="46"/>
      <c r="I278" s="46"/>
      <c r="J278" s="46"/>
      <c r="K278" s="46"/>
      <c r="L278" s="46"/>
    </row>
    <row r="279" spans="1:12">
      <c r="A279" s="47"/>
      <c r="B279" s="47"/>
      <c r="C279" s="47"/>
      <c r="D279" s="47"/>
      <c r="E279" s="47"/>
      <c r="F279" s="47"/>
      <c r="G279" s="46"/>
      <c r="H279" s="46"/>
      <c r="I279" s="46"/>
      <c r="J279" s="46"/>
      <c r="K279" s="46"/>
      <c r="L279" s="46"/>
    </row>
    <row r="280" spans="1:12">
      <c r="A280" s="22" t="s">
        <v>1155</v>
      </c>
      <c r="B280" s="24" t="s">
        <v>271</v>
      </c>
      <c r="C280" s="24" t="s">
        <v>780</v>
      </c>
      <c r="D280" s="25" t="s">
        <v>1130</v>
      </c>
      <c r="E280" s="25" t="s">
        <v>1156</v>
      </c>
      <c r="F280" s="25" t="s">
        <v>1157</v>
      </c>
      <c r="G280" s="29" t="s">
        <v>801</v>
      </c>
      <c r="H280" s="30" t="s">
        <v>802</v>
      </c>
      <c r="I280" s="30" t="s">
        <v>1158</v>
      </c>
      <c r="J280" s="30" t="s">
        <v>1159</v>
      </c>
      <c r="K280" s="49" t="s">
        <v>1160</v>
      </c>
      <c r="L280" s="30" t="s">
        <v>804</v>
      </c>
    </row>
    <row r="281" spans="1:12">
      <c r="A281" s="22" t="s">
        <v>1155</v>
      </c>
      <c r="B281" s="24" t="s">
        <v>271</v>
      </c>
      <c r="C281" s="24" t="s">
        <v>780</v>
      </c>
      <c r="D281" s="25" t="s">
        <v>1130</v>
      </c>
      <c r="E281" s="25" t="s">
        <v>1161</v>
      </c>
      <c r="F281" s="25" t="s">
        <v>1162</v>
      </c>
      <c r="G281" s="46"/>
      <c r="H281" s="46"/>
      <c r="I281" s="46"/>
      <c r="J281" s="46"/>
      <c r="K281" s="49" t="s">
        <v>1163</v>
      </c>
      <c r="L281" s="46"/>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3"/>
  <dimension ref="A1:O119"/>
  <sheetViews>
    <sheetView workbookViewId="0"/>
  </sheetViews>
  <sheetFormatPr baseColWidth="10" defaultColWidth="14.44140625" defaultRowHeight="15" customHeight="1"/>
  <cols>
    <col min="1" max="3" width="11.44140625" customWidth="1"/>
    <col min="4" max="4" width="26.5546875" customWidth="1"/>
    <col min="5" max="5" width="37.109375" customWidth="1"/>
    <col min="6" max="6" width="37.88671875" customWidth="1"/>
    <col min="7" max="8" width="11.44140625" customWidth="1"/>
    <col min="9" max="9" width="31.88671875" customWidth="1"/>
    <col min="10" max="10" width="31" customWidth="1"/>
    <col min="11" max="26" width="11.44140625" customWidth="1"/>
  </cols>
  <sheetData>
    <row r="1" spans="1:15" ht="14.25" customHeight="1">
      <c r="A1" s="50" t="s">
        <v>1164</v>
      </c>
      <c r="B1" s="50" t="s">
        <v>1165</v>
      </c>
      <c r="C1" s="50" t="s">
        <v>1166</v>
      </c>
      <c r="D1" s="8" t="s">
        <v>32</v>
      </c>
      <c r="E1" s="8" t="s">
        <v>33</v>
      </c>
      <c r="F1" s="8" t="s">
        <v>1167</v>
      </c>
      <c r="G1" s="8" t="s">
        <v>1168</v>
      </c>
      <c r="H1" s="8" t="s">
        <v>1169</v>
      </c>
      <c r="I1" s="31" t="s">
        <v>237</v>
      </c>
      <c r="J1" s="8" t="s">
        <v>1170</v>
      </c>
      <c r="K1" s="8" t="s">
        <v>34</v>
      </c>
      <c r="L1" s="8" t="s">
        <v>35</v>
      </c>
      <c r="M1" s="8" t="s">
        <v>1171</v>
      </c>
      <c r="N1" s="8" t="s">
        <v>36</v>
      </c>
      <c r="O1" s="8" t="s">
        <v>1172</v>
      </c>
    </row>
    <row r="2" spans="1:15" ht="76.5" customHeight="1">
      <c r="A2" s="45" t="s">
        <v>1173</v>
      </c>
      <c r="B2" s="45" t="s">
        <v>1174</v>
      </c>
      <c r="C2" s="45" t="s">
        <v>1175</v>
      </c>
      <c r="D2" s="4" t="s">
        <v>39</v>
      </c>
      <c r="E2" s="4" t="s">
        <v>40</v>
      </c>
      <c r="F2" s="4" t="s">
        <v>1176</v>
      </c>
      <c r="G2" s="4" t="s">
        <v>1177</v>
      </c>
      <c r="H2" s="4" t="s">
        <v>1178</v>
      </c>
      <c r="I2" s="4" t="s">
        <v>1179</v>
      </c>
      <c r="J2" s="4" t="s">
        <v>1180</v>
      </c>
      <c r="K2" s="4" t="s">
        <v>41</v>
      </c>
      <c r="L2" s="4" t="s">
        <v>42</v>
      </c>
      <c r="M2" s="4" t="s">
        <v>1181</v>
      </c>
      <c r="N2" s="4" t="s">
        <v>43</v>
      </c>
      <c r="O2" s="4" t="s">
        <v>1182</v>
      </c>
    </row>
    <row r="3" spans="1:15" ht="14.25" customHeight="1">
      <c r="A3" s="3" t="s">
        <v>1183</v>
      </c>
      <c r="B3" s="100" t="s">
        <v>1184</v>
      </c>
      <c r="C3" s="100" t="s">
        <v>1184</v>
      </c>
      <c r="D3" s="100" t="s">
        <v>1185</v>
      </c>
      <c r="I3" s="100" t="s">
        <v>1186</v>
      </c>
      <c r="J3" s="100" t="s">
        <v>1187</v>
      </c>
      <c r="K3" s="100" t="s">
        <v>53</v>
      </c>
      <c r="O3" s="100" t="s">
        <v>90</v>
      </c>
    </row>
    <row r="4" spans="1:15" ht="14.25" customHeight="1">
      <c r="A4" s="3" t="s">
        <v>1183</v>
      </c>
      <c r="B4" s="100" t="s">
        <v>1184</v>
      </c>
      <c r="C4" s="100" t="s">
        <v>1184</v>
      </c>
      <c r="D4" s="100" t="s">
        <v>1188</v>
      </c>
      <c r="I4" s="100" t="s">
        <v>1186</v>
      </c>
      <c r="J4" s="100" t="s">
        <v>1189</v>
      </c>
      <c r="K4" s="100" t="s">
        <v>57</v>
      </c>
      <c r="O4" s="100" t="s">
        <v>49</v>
      </c>
    </row>
    <row r="5" spans="1:15" ht="14.25" customHeight="1">
      <c r="A5" s="3" t="s">
        <v>1183</v>
      </c>
      <c r="B5" s="100" t="s">
        <v>1184</v>
      </c>
      <c r="C5" s="100" t="s">
        <v>1184</v>
      </c>
      <c r="D5" s="100" t="s">
        <v>1190</v>
      </c>
      <c r="I5" s="100" t="s">
        <v>1186</v>
      </c>
      <c r="J5" s="100" t="s">
        <v>1191</v>
      </c>
      <c r="K5" s="100" t="s">
        <v>57</v>
      </c>
      <c r="O5" s="100" t="s">
        <v>49</v>
      </c>
    </row>
    <row r="6" spans="1:15" ht="14.25" customHeight="1">
      <c r="A6" s="3" t="s">
        <v>1183</v>
      </c>
      <c r="B6" s="100" t="s">
        <v>1184</v>
      </c>
      <c r="C6" s="100" t="s">
        <v>1184</v>
      </c>
      <c r="D6" s="100" t="s">
        <v>1192</v>
      </c>
      <c r="I6" s="100" t="s">
        <v>1186</v>
      </c>
      <c r="J6" s="100" t="s">
        <v>1193</v>
      </c>
      <c r="K6" s="100" t="s">
        <v>1194</v>
      </c>
      <c r="O6" s="100" t="s">
        <v>49</v>
      </c>
    </row>
    <row r="7" spans="1:15" ht="14.25" customHeight="1">
      <c r="A7" s="3" t="s">
        <v>1183</v>
      </c>
      <c r="B7" s="100" t="s">
        <v>1184</v>
      </c>
      <c r="C7" s="100" t="s">
        <v>1184</v>
      </c>
      <c r="D7" s="100" t="s">
        <v>1195</v>
      </c>
      <c r="I7" s="100" t="s">
        <v>1186</v>
      </c>
      <c r="J7" s="100" t="s">
        <v>1196</v>
      </c>
      <c r="K7" s="100" t="s">
        <v>57</v>
      </c>
      <c r="O7" s="100" t="s">
        <v>49</v>
      </c>
    </row>
    <row r="8" spans="1:15" ht="14.25" customHeight="1">
      <c r="A8" s="3" t="s">
        <v>1183</v>
      </c>
      <c r="B8" s="100" t="s">
        <v>1184</v>
      </c>
      <c r="C8" s="100" t="s">
        <v>1184</v>
      </c>
      <c r="D8" s="100" t="s">
        <v>1197</v>
      </c>
      <c r="I8" s="100" t="s">
        <v>1186</v>
      </c>
      <c r="J8" s="100" t="s">
        <v>1198</v>
      </c>
      <c r="K8" s="100" t="s">
        <v>57</v>
      </c>
      <c r="O8" s="100" t="s">
        <v>49</v>
      </c>
    </row>
    <row r="9" spans="1:15" ht="14.25" customHeight="1">
      <c r="A9" s="3" t="s">
        <v>1183</v>
      </c>
      <c r="B9" s="100" t="s">
        <v>1184</v>
      </c>
      <c r="C9" s="100" t="s">
        <v>1184</v>
      </c>
      <c r="D9" s="100" t="s">
        <v>1199</v>
      </c>
      <c r="I9" s="100" t="s">
        <v>1186</v>
      </c>
      <c r="J9" s="100" t="s">
        <v>1200</v>
      </c>
      <c r="K9" s="100" t="s">
        <v>57</v>
      </c>
      <c r="O9" s="100" t="s">
        <v>49</v>
      </c>
    </row>
    <row r="10" spans="1:15" ht="14.25" customHeight="1">
      <c r="A10" s="3" t="s">
        <v>1183</v>
      </c>
      <c r="B10" s="100" t="s">
        <v>1184</v>
      </c>
      <c r="C10" s="100" t="s">
        <v>1184</v>
      </c>
      <c r="D10" s="100" t="s">
        <v>1201</v>
      </c>
      <c r="I10" s="100" t="s">
        <v>1202</v>
      </c>
      <c r="J10" s="100" t="s">
        <v>1203</v>
      </c>
      <c r="K10" s="100" t="s">
        <v>53</v>
      </c>
      <c r="O10" s="100" t="s">
        <v>90</v>
      </c>
    </row>
    <row r="11" spans="1:15" ht="14.25" customHeight="1">
      <c r="A11" s="3" t="s">
        <v>1183</v>
      </c>
      <c r="B11" s="100" t="s">
        <v>1184</v>
      </c>
      <c r="C11" s="100" t="s">
        <v>1184</v>
      </c>
      <c r="D11" s="100" t="s">
        <v>1185</v>
      </c>
      <c r="I11" s="100" t="s">
        <v>1202</v>
      </c>
      <c r="J11" s="100" t="s">
        <v>1187</v>
      </c>
      <c r="K11" s="100" t="s">
        <v>53</v>
      </c>
      <c r="O11" s="100" t="s">
        <v>90</v>
      </c>
    </row>
    <row r="12" spans="1:15" ht="14.25" customHeight="1">
      <c r="A12" s="3" t="s">
        <v>1183</v>
      </c>
      <c r="B12" s="100" t="s">
        <v>1184</v>
      </c>
      <c r="C12" s="100" t="s">
        <v>1184</v>
      </c>
      <c r="D12" s="100" t="s">
        <v>1204</v>
      </c>
      <c r="I12" s="100" t="s">
        <v>1202</v>
      </c>
      <c r="J12" s="100" t="s">
        <v>1205</v>
      </c>
      <c r="K12" s="100" t="s">
        <v>1194</v>
      </c>
      <c r="O12" s="100" t="s">
        <v>90</v>
      </c>
    </row>
    <row r="13" spans="1:15" ht="14.25" customHeight="1">
      <c r="A13" s="3" t="s">
        <v>1183</v>
      </c>
      <c r="B13" s="100" t="s">
        <v>1184</v>
      </c>
      <c r="C13" s="100" t="s">
        <v>1184</v>
      </c>
      <c r="D13" s="100" t="s">
        <v>1206</v>
      </c>
      <c r="I13" s="100" t="s">
        <v>1202</v>
      </c>
      <c r="J13" s="100" t="s">
        <v>1207</v>
      </c>
      <c r="K13" s="100" t="s">
        <v>1194</v>
      </c>
      <c r="O13" s="100" t="s">
        <v>49</v>
      </c>
    </row>
    <row r="14" spans="1:15" ht="14.25" customHeight="1">
      <c r="A14" s="3" t="s">
        <v>1183</v>
      </c>
      <c r="B14" s="100" t="s">
        <v>1184</v>
      </c>
      <c r="C14" s="100" t="s">
        <v>1184</v>
      </c>
      <c r="D14" s="100" t="s">
        <v>1185</v>
      </c>
      <c r="I14" s="100" t="s">
        <v>1208</v>
      </c>
      <c r="J14" s="100" t="s">
        <v>1187</v>
      </c>
      <c r="K14" s="100" t="s">
        <v>53</v>
      </c>
      <c r="O14" s="100" t="s">
        <v>90</v>
      </c>
    </row>
    <row r="15" spans="1:15" ht="14.25" customHeight="1">
      <c r="A15" s="3" t="s">
        <v>1183</v>
      </c>
      <c r="B15" s="100" t="s">
        <v>1184</v>
      </c>
      <c r="C15" s="100" t="s">
        <v>1184</v>
      </c>
      <c r="D15" s="100" t="s">
        <v>1209</v>
      </c>
      <c r="I15" s="100" t="s">
        <v>1208</v>
      </c>
      <c r="J15" s="100" t="s">
        <v>1210</v>
      </c>
      <c r="K15" s="100" t="s">
        <v>53</v>
      </c>
      <c r="O15" s="100" t="s">
        <v>90</v>
      </c>
    </row>
    <row r="16" spans="1:15" ht="14.25" customHeight="1">
      <c r="A16" s="3" t="s">
        <v>1183</v>
      </c>
      <c r="B16" s="100" t="s">
        <v>1184</v>
      </c>
      <c r="C16" s="100" t="s">
        <v>1184</v>
      </c>
      <c r="D16" s="100" t="s">
        <v>1211</v>
      </c>
      <c r="I16" s="100" t="s">
        <v>1208</v>
      </c>
      <c r="J16" s="100" t="s">
        <v>1212</v>
      </c>
      <c r="K16" s="100" t="s">
        <v>57</v>
      </c>
      <c r="O16" s="100" t="s">
        <v>49</v>
      </c>
    </row>
    <row r="17" spans="1:15" ht="14.25" customHeight="1">
      <c r="A17" s="3" t="s">
        <v>1183</v>
      </c>
      <c r="B17" s="100" t="s">
        <v>1184</v>
      </c>
      <c r="C17" s="100" t="s">
        <v>1184</v>
      </c>
      <c r="D17" s="100" t="s">
        <v>1213</v>
      </c>
      <c r="I17" s="100" t="s">
        <v>1208</v>
      </c>
      <c r="J17" s="100" t="s">
        <v>1214</v>
      </c>
      <c r="K17" s="100" t="s">
        <v>57</v>
      </c>
      <c r="O17" s="100" t="s">
        <v>49</v>
      </c>
    </row>
    <row r="18" spans="1:15" ht="14.25" customHeight="1">
      <c r="A18" s="3" t="s">
        <v>1183</v>
      </c>
      <c r="B18" s="100" t="s">
        <v>1184</v>
      </c>
      <c r="C18" s="100" t="s">
        <v>1184</v>
      </c>
      <c r="D18" s="100" t="s">
        <v>1215</v>
      </c>
      <c r="I18" s="100" t="s">
        <v>1208</v>
      </c>
      <c r="J18" s="100" t="s">
        <v>1216</v>
      </c>
      <c r="K18" s="100" t="s">
        <v>1217</v>
      </c>
      <c r="O18" s="100" t="s">
        <v>49</v>
      </c>
    </row>
    <row r="19" spans="1:15" ht="14.25" customHeight="1">
      <c r="A19" s="3" t="s">
        <v>1183</v>
      </c>
      <c r="B19" s="100" t="s">
        <v>1184</v>
      </c>
      <c r="C19" s="100" t="s">
        <v>1184</v>
      </c>
      <c r="D19" s="100" t="s">
        <v>1218</v>
      </c>
      <c r="I19" s="100" t="s">
        <v>1208</v>
      </c>
      <c r="J19" s="100" t="s">
        <v>1219</v>
      </c>
      <c r="K19" s="100" t="s">
        <v>57</v>
      </c>
      <c r="O19" s="100" t="s">
        <v>49</v>
      </c>
    </row>
    <row r="20" spans="1:15" ht="14.25" customHeight="1">
      <c r="A20" s="3" t="s">
        <v>1183</v>
      </c>
      <c r="B20" s="100" t="s">
        <v>1184</v>
      </c>
      <c r="C20" s="100" t="s">
        <v>1184</v>
      </c>
      <c r="D20" s="100" t="s">
        <v>1220</v>
      </c>
      <c r="I20" s="100" t="s">
        <v>1208</v>
      </c>
      <c r="J20" s="100" t="s">
        <v>1221</v>
      </c>
      <c r="K20" s="100" t="s">
        <v>57</v>
      </c>
      <c r="O20" s="100" t="s">
        <v>49</v>
      </c>
    </row>
    <row r="21" spans="1:15" ht="14.25" customHeight="1">
      <c r="A21" s="3" t="s">
        <v>1183</v>
      </c>
      <c r="B21" s="100" t="s">
        <v>1184</v>
      </c>
      <c r="C21" s="100" t="s">
        <v>1184</v>
      </c>
      <c r="D21" s="100" t="s">
        <v>1222</v>
      </c>
      <c r="I21" s="100" t="s">
        <v>1208</v>
      </c>
      <c r="J21" s="100" t="s">
        <v>1223</v>
      </c>
      <c r="K21" s="100" t="s">
        <v>57</v>
      </c>
      <c r="O21" s="100" t="s">
        <v>49</v>
      </c>
    </row>
    <row r="22" spans="1:15" ht="14.25" customHeight="1">
      <c r="A22" s="3" t="s">
        <v>1183</v>
      </c>
      <c r="B22" s="100" t="s">
        <v>1184</v>
      </c>
      <c r="C22" s="100" t="s">
        <v>1184</v>
      </c>
      <c r="D22" s="100" t="s">
        <v>1224</v>
      </c>
      <c r="I22" s="100" t="s">
        <v>1208</v>
      </c>
      <c r="J22" s="100" t="s">
        <v>1225</v>
      </c>
      <c r="K22" s="100" t="s">
        <v>57</v>
      </c>
      <c r="O22" s="100" t="s">
        <v>49</v>
      </c>
    </row>
    <row r="23" spans="1:15" ht="14.25" customHeight="1">
      <c r="A23" s="3" t="s">
        <v>1183</v>
      </c>
      <c r="B23" s="100" t="s">
        <v>1184</v>
      </c>
      <c r="C23" s="100" t="s">
        <v>1184</v>
      </c>
      <c r="D23" s="100" t="s">
        <v>1215</v>
      </c>
      <c r="I23" s="100" t="s">
        <v>1208</v>
      </c>
      <c r="J23" s="100" t="s">
        <v>1226</v>
      </c>
      <c r="K23" s="100" t="s">
        <v>1217</v>
      </c>
      <c r="O23" s="100" t="s">
        <v>49</v>
      </c>
    </row>
    <row r="24" spans="1:15" ht="14.25" customHeight="1">
      <c r="A24" s="3" t="s">
        <v>1183</v>
      </c>
      <c r="B24" s="100" t="s">
        <v>1184</v>
      </c>
      <c r="C24" s="100" t="s">
        <v>1184</v>
      </c>
      <c r="D24" s="100" t="s">
        <v>1227</v>
      </c>
      <c r="I24" s="100" t="s">
        <v>1208</v>
      </c>
      <c r="J24" s="100" t="s">
        <v>1228</v>
      </c>
      <c r="K24" s="100" t="s">
        <v>57</v>
      </c>
      <c r="O24" s="100" t="s">
        <v>49</v>
      </c>
    </row>
    <row r="25" spans="1:15" ht="14.25" customHeight="1">
      <c r="A25" s="3" t="s">
        <v>1183</v>
      </c>
      <c r="B25" s="100" t="s">
        <v>1184</v>
      </c>
      <c r="C25" s="100" t="s">
        <v>1184</v>
      </c>
      <c r="D25" s="100" t="s">
        <v>1229</v>
      </c>
      <c r="I25" s="100" t="s">
        <v>1208</v>
      </c>
      <c r="J25" s="100" t="s">
        <v>1230</v>
      </c>
      <c r="K25" s="100" t="s">
        <v>57</v>
      </c>
      <c r="O25" s="100" t="s">
        <v>49</v>
      </c>
    </row>
    <row r="26" spans="1:15" ht="14.25" customHeight="1">
      <c r="A26" s="3" t="s">
        <v>1183</v>
      </c>
      <c r="B26" s="100" t="s">
        <v>1184</v>
      </c>
      <c r="C26" s="100" t="s">
        <v>1184</v>
      </c>
      <c r="D26" s="100" t="s">
        <v>1231</v>
      </c>
      <c r="I26" s="100" t="s">
        <v>1208</v>
      </c>
      <c r="J26" s="100" t="s">
        <v>1232</v>
      </c>
      <c r="K26" s="100" t="s">
        <v>57</v>
      </c>
      <c r="O26" s="100" t="s">
        <v>49</v>
      </c>
    </row>
    <row r="27" spans="1:15" ht="14.25" customHeight="1">
      <c r="A27" s="3" t="s">
        <v>1183</v>
      </c>
      <c r="B27" s="100" t="s">
        <v>1184</v>
      </c>
      <c r="C27" s="100" t="s">
        <v>1184</v>
      </c>
      <c r="D27" s="100" t="s">
        <v>1215</v>
      </c>
      <c r="I27" s="100" t="s">
        <v>1208</v>
      </c>
      <c r="J27" s="100" t="s">
        <v>1233</v>
      </c>
      <c r="K27" s="100" t="s">
        <v>1217</v>
      </c>
      <c r="O27" s="100" t="s">
        <v>49</v>
      </c>
    </row>
    <row r="28" spans="1:15" ht="14.25" customHeight="1">
      <c r="A28" s="3" t="s">
        <v>1183</v>
      </c>
      <c r="B28" s="100" t="s">
        <v>1184</v>
      </c>
      <c r="C28" s="100" t="s">
        <v>1184</v>
      </c>
      <c r="D28" s="100" t="s">
        <v>1185</v>
      </c>
      <c r="I28" s="100" t="s">
        <v>1234</v>
      </c>
      <c r="J28" s="100" t="s">
        <v>1187</v>
      </c>
      <c r="K28" s="100" t="s">
        <v>53</v>
      </c>
      <c r="O28" s="100" t="s">
        <v>90</v>
      </c>
    </row>
    <row r="29" spans="1:15" ht="14.25" customHeight="1">
      <c r="A29" s="3" t="s">
        <v>1183</v>
      </c>
      <c r="B29" s="100" t="s">
        <v>1184</v>
      </c>
      <c r="C29" s="100" t="s">
        <v>1184</v>
      </c>
      <c r="D29" s="100" t="s">
        <v>1235</v>
      </c>
      <c r="I29" s="100" t="s">
        <v>1234</v>
      </c>
      <c r="J29" s="100" t="s">
        <v>1236</v>
      </c>
      <c r="K29" s="100" t="s">
        <v>53</v>
      </c>
      <c r="O29" s="100" t="s">
        <v>90</v>
      </c>
    </row>
    <row r="30" spans="1:15" ht="14.25" customHeight="1">
      <c r="A30" s="3" t="s">
        <v>1183</v>
      </c>
      <c r="B30" s="100" t="s">
        <v>1184</v>
      </c>
      <c r="C30" s="100" t="s">
        <v>1184</v>
      </c>
      <c r="D30" s="100" t="s">
        <v>1237</v>
      </c>
      <c r="I30" s="100" t="s">
        <v>1234</v>
      </c>
      <c r="J30" s="100" t="s">
        <v>1238</v>
      </c>
      <c r="K30" s="100" t="s">
        <v>53</v>
      </c>
      <c r="O30" s="100" t="s">
        <v>49</v>
      </c>
    </row>
    <row r="31" spans="1:15" ht="14.25" customHeight="1">
      <c r="A31" s="3" t="s">
        <v>1183</v>
      </c>
      <c r="B31" s="100" t="s">
        <v>1184</v>
      </c>
      <c r="C31" s="100" t="s">
        <v>1184</v>
      </c>
      <c r="D31" s="100" t="s">
        <v>1185</v>
      </c>
      <c r="I31" s="100" t="s">
        <v>1239</v>
      </c>
      <c r="J31" s="100" t="s">
        <v>1187</v>
      </c>
      <c r="K31" s="100" t="s">
        <v>53</v>
      </c>
      <c r="O31" s="100" t="s">
        <v>90</v>
      </c>
    </row>
    <row r="32" spans="1:15" ht="14.25" customHeight="1">
      <c r="A32" s="3" t="s">
        <v>1183</v>
      </c>
      <c r="B32" s="100" t="s">
        <v>1184</v>
      </c>
      <c r="C32" s="100" t="s">
        <v>1184</v>
      </c>
      <c r="D32" s="100" t="s">
        <v>1185</v>
      </c>
      <c r="I32" s="100" t="s">
        <v>1239</v>
      </c>
      <c r="J32" s="100" t="s">
        <v>1240</v>
      </c>
      <c r="K32" s="100" t="s">
        <v>53</v>
      </c>
      <c r="O32" s="100" t="s">
        <v>90</v>
      </c>
    </row>
    <row r="33" spans="1:15" ht="14.25" customHeight="1">
      <c r="A33" s="3" t="s">
        <v>1183</v>
      </c>
      <c r="B33" s="100" t="s">
        <v>1184</v>
      </c>
      <c r="C33" s="100" t="s">
        <v>1184</v>
      </c>
      <c r="D33" s="100" t="s">
        <v>1204</v>
      </c>
      <c r="I33" s="100" t="s">
        <v>1239</v>
      </c>
      <c r="J33" s="100" t="s">
        <v>1205</v>
      </c>
      <c r="K33" s="100" t="s">
        <v>1194</v>
      </c>
      <c r="O33" s="100" t="s">
        <v>90</v>
      </c>
    </row>
    <row r="34" spans="1:15" ht="14.25" customHeight="1">
      <c r="A34" s="3" t="s">
        <v>1183</v>
      </c>
      <c r="B34" s="100" t="s">
        <v>1184</v>
      </c>
      <c r="C34" s="100" t="s">
        <v>1184</v>
      </c>
      <c r="D34" s="100" t="s">
        <v>1241</v>
      </c>
      <c r="I34" s="100" t="s">
        <v>1239</v>
      </c>
      <c r="J34" s="100" t="s">
        <v>1242</v>
      </c>
      <c r="K34" s="100" t="s">
        <v>57</v>
      </c>
      <c r="O34" s="100" t="s">
        <v>90</v>
      </c>
    </row>
    <row r="35" spans="1:15" ht="14.25" customHeight="1">
      <c r="A35" s="3" t="s">
        <v>1183</v>
      </c>
      <c r="B35" s="100" t="s">
        <v>1184</v>
      </c>
      <c r="C35" s="100" t="s">
        <v>1184</v>
      </c>
      <c r="D35" s="100" t="s">
        <v>1243</v>
      </c>
      <c r="I35" s="100" t="s">
        <v>1239</v>
      </c>
      <c r="J35" s="100" t="s">
        <v>1244</v>
      </c>
      <c r="K35" s="100" t="s">
        <v>57</v>
      </c>
      <c r="O35" s="100" t="s">
        <v>49</v>
      </c>
    </row>
    <row r="36" spans="1:15" ht="14.25" customHeight="1">
      <c r="A36" s="3" t="s">
        <v>1183</v>
      </c>
      <c r="B36" s="100" t="s">
        <v>1184</v>
      </c>
      <c r="C36" s="100" t="s">
        <v>1184</v>
      </c>
      <c r="D36" s="100" t="s">
        <v>1206</v>
      </c>
      <c r="I36" s="100" t="s">
        <v>1239</v>
      </c>
      <c r="J36" s="100" t="s">
        <v>1207</v>
      </c>
      <c r="K36" s="100" t="s">
        <v>1194</v>
      </c>
      <c r="O36" s="100" t="s">
        <v>49</v>
      </c>
    </row>
    <row r="37" spans="1:15" ht="14.25" customHeight="1">
      <c r="A37" s="3" t="s">
        <v>1183</v>
      </c>
      <c r="B37" s="100" t="s">
        <v>1184</v>
      </c>
      <c r="C37" s="100" t="s">
        <v>1184</v>
      </c>
      <c r="D37" s="100" t="s">
        <v>1201</v>
      </c>
      <c r="I37" s="100" t="s">
        <v>1245</v>
      </c>
      <c r="J37" s="100" t="s">
        <v>1203</v>
      </c>
      <c r="K37" s="100" t="s">
        <v>53</v>
      </c>
      <c r="O37" s="100" t="s">
        <v>90</v>
      </c>
    </row>
    <row r="38" spans="1:15" ht="14.25" customHeight="1">
      <c r="A38" s="3" t="s">
        <v>1183</v>
      </c>
      <c r="B38" s="100" t="s">
        <v>1184</v>
      </c>
      <c r="C38" s="100" t="s">
        <v>1184</v>
      </c>
      <c r="D38" s="100" t="s">
        <v>1246</v>
      </c>
      <c r="I38" s="100" t="s">
        <v>1245</v>
      </c>
      <c r="J38" s="100" t="s">
        <v>1247</v>
      </c>
      <c r="K38" s="100" t="s">
        <v>57</v>
      </c>
      <c r="O38" s="100" t="s">
        <v>49</v>
      </c>
    </row>
    <row r="39" spans="1:15" ht="14.25" customHeight="1">
      <c r="A39" s="3" t="s">
        <v>1183</v>
      </c>
      <c r="B39" s="100" t="s">
        <v>1248</v>
      </c>
      <c r="C39" s="100" t="s">
        <v>1248</v>
      </c>
      <c r="D39" s="100" t="s">
        <v>1249</v>
      </c>
      <c r="I39" s="100" t="s">
        <v>1250</v>
      </c>
      <c r="J39" s="100" t="s">
        <v>1251</v>
      </c>
      <c r="K39" s="100" t="s">
        <v>53</v>
      </c>
      <c r="O39" s="100" t="s">
        <v>90</v>
      </c>
    </row>
    <row r="40" spans="1:15" ht="14.25" customHeight="1">
      <c r="A40" s="3" t="s">
        <v>1183</v>
      </c>
      <c r="B40" s="100" t="s">
        <v>1248</v>
      </c>
      <c r="C40" s="100" t="s">
        <v>1248</v>
      </c>
      <c r="D40" s="100" t="s">
        <v>1235</v>
      </c>
      <c r="I40" s="100" t="s">
        <v>1250</v>
      </c>
      <c r="J40" s="100" t="s">
        <v>1236</v>
      </c>
      <c r="K40" s="100" t="s">
        <v>53</v>
      </c>
      <c r="O40" s="100" t="s">
        <v>90</v>
      </c>
    </row>
    <row r="41" spans="1:15" ht="14.25" customHeight="1">
      <c r="A41" s="3" t="s">
        <v>1183</v>
      </c>
      <c r="B41" s="100" t="s">
        <v>1248</v>
      </c>
      <c r="C41" s="100" t="s">
        <v>1248</v>
      </c>
      <c r="D41" s="100" t="s">
        <v>1252</v>
      </c>
      <c r="I41" s="100" t="s">
        <v>1250</v>
      </c>
      <c r="J41" s="100" t="s">
        <v>1253</v>
      </c>
      <c r="K41" s="100" t="s">
        <v>1194</v>
      </c>
      <c r="O41" s="100" t="s">
        <v>90</v>
      </c>
    </row>
    <row r="42" spans="1:15" ht="14.25" customHeight="1">
      <c r="A42" s="3" t="s">
        <v>1183</v>
      </c>
      <c r="B42" s="100" t="s">
        <v>1248</v>
      </c>
      <c r="C42" s="100" t="s">
        <v>1248</v>
      </c>
      <c r="D42" s="100" t="s">
        <v>1185</v>
      </c>
      <c r="I42" s="100" t="s">
        <v>1250</v>
      </c>
      <c r="J42" s="100" t="s">
        <v>1187</v>
      </c>
      <c r="K42" s="100" t="s">
        <v>53</v>
      </c>
      <c r="O42" s="100" t="s">
        <v>90</v>
      </c>
    </row>
    <row r="43" spans="1:15" ht="14.25" customHeight="1">
      <c r="A43" s="3" t="s">
        <v>1183</v>
      </c>
      <c r="B43" s="100" t="s">
        <v>1248</v>
      </c>
      <c r="C43" s="100" t="s">
        <v>1248</v>
      </c>
      <c r="D43" s="100" t="s">
        <v>1254</v>
      </c>
      <c r="I43" s="100" t="s">
        <v>1250</v>
      </c>
      <c r="J43" s="100" t="s">
        <v>1255</v>
      </c>
      <c r="K43" s="100" t="s">
        <v>53</v>
      </c>
      <c r="O43" s="100" t="s">
        <v>90</v>
      </c>
    </row>
    <row r="44" spans="1:15" ht="14.25" customHeight="1">
      <c r="A44" s="3" t="s">
        <v>1183</v>
      </c>
      <c r="B44" s="100" t="s">
        <v>1248</v>
      </c>
      <c r="C44" s="100" t="s">
        <v>1248</v>
      </c>
      <c r="D44" s="100" t="s">
        <v>1256</v>
      </c>
      <c r="I44" s="100" t="s">
        <v>1250</v>
      </c>
      <c r="J44" s="100" t="s">
        <v>1257</v>
      </c>
      <c r="K44" s="100" t="s">
        <v>53</v>
      </c>
      <c r="O44" s="100" t="s">
        <v>90</v>
      </c>
    </row>
    <row r="45" spans="1:15" ht="14.25" customHeight="1">
      <c r="A45" s="3" t="s">
        <v>1183</v>
      </c>
      <c r="B45" s="100" t="s">
        <v>1248</v>
      </c>
      <c r="C45" s="100" t="s">
        <v>1248</v>
      </c>
      <c r="D45" s="100" t="s">
        <v>1258</v>
      </c>
      <c r="I45" s="100" t="s">
        <v>1250</v>
      </c>
      <c r="J45" s="100" t="s">
        <v>1259</v>
      </c>
      <c r="K45" s="100" t="s">
        <v>53</v>
      </c>
      <c r="O45" s="100" t="s">
        <v>90</v>
      </c>
    </row>
    <row r="46" spans="1:15" ht="14.25" customHeight="1">
      <c r="A46" s="3" t="s">
        <v>1183</v>
      </c>
      <c r="B46" s="100" t="s">
        <v>1248</v>
      </c>
      <c r="C46" s="100" t="s">
        <v>1248</v>
      </c>
      <c r="D46" s="100" t="s">
        <v>1260</v>
      </c>
      <c r="I46" s="100" t="s">
        <v>1250</v>
      </c>
      <c r="J46" s="100" t="s">
        <v>1261</v>
      </c>
      <c r="K46" s="100" t="s">
        <v>53</v>
      </c>
      <c r="O46" s="100" t="s">
        <v>90</v>
      </c>
    </row>
    <row r="47" spans="1:15" ht="14.25" customHeight="1">
      <c r="A47" s="3" t="s">
        <v>1183</v>
      </c>
      <c r="B47" s="100" t="s">
        <v>1248</v>
      </c>
      <c r="C47" s="100" t="s">
        <v>1248</v>
      </c>
      <c r="D47" s="100" t="s">
        <v>1262</v>
      </c>
      <c r="I47" s="100" t="s">
        <v>1250</v>
      </c>
      <c r="J47" s="100" t="s">
        <v>1263</v>
      </c>
      <c r="K47" s="100" t="s">
        <v>53</v>
      </c>
      <c r="O47" s="100" t="s">
        <v>90</v>
      </c>
    </row>
    <row r="48" spans="1:15" ht="14.25" customHeight="1">
      <c r="A48" s="3" t="s">
        <v>1183</v>
      </c>
      <c r="B48" s="100" t="s">
        <v>1248</v>
      </c>
      <c r="C48" s="100" t="s">
        <v>1248</v>
      </c>
      <c r="D48" s="100" t="s">
        <v>1264</v>
      </c>
      <c r="I48" s="100" t="s">
        <v>1250</v>
      </c>
      <c r="J48" s="100" t="s">
        <v>1265</v>
      </c>
      <c r="K48" s="100" t="s">
        <v>53</v>
      </c>
      <c r="O48" s="100" t="s">
        <v>49</v>
      </c>
    </row>
    <row r="49" spans="1:15" ht="14.25" customHeight="1">
      <c r="A49" s="3" t="s">
        <v>1183</v>
      </c>
      <c r="B49" s="100" t="s">
        <v>1248</v>
      </c>
      <c r="C49" s="100" t="s">
        <v>1248</v>
      </c>
      <c r="D49" s="100" t="s">
        <v>1266</v>
      </c>
      <c r="I49" s="100" t="s">
        <v>1250</v>
      </c>
      <c r="J49" s="100" t="s">
        <v>1267</v>
      </c>
      <c r="K49" s="100" t="s">
        <v>53</v>
      </c>
      <c r="O49" s="100" t="s">
        <v>49</v>
      </c>
    </row>
    <row r="50" spans="1:15" ht="14.25" customHeight="1">
      <c r="A50" s="3" t="s">
        <v>1183</v>
      </c>
      <c r="B50" s="100" t="s">
        <v>1248</v>
      </c>
      <c r="C50" s="100" t="s">
        <v>1248</v>
      </c>
      <c r="D50" s="100" t="s">
        <v>1268</v>
      </c>
      <c r="I50" s="100" t="s">
        <v>1250</v>
      </c>
      <c r="J50" s="100" t="s">
        <v>1269</v>
      </c>
      <c r="K50" s="100" t="s">
        <v>53</v>
      </c>
      <c r="O50" s="100" t="s">
        <v>49</v>
      </c>
    </row>
    <row r="51" spans="1:15" ht="14.25" customHeight="1">
      <c r="A51" s="3" t="s">
        <v>1183</v>
      </c>
      <c r="B51" s="100" t="s">
        <v>1248</v>
      </c>
      <c r="C51" s="100" t="s">
        <v>1248</v>
      </c>
      <c r="D51" s="100" t="s">
        <v>1270</v>
      </c>
      <c r="I51" s="100" t="s">
        <v>1250</v>
      </c>
      <c r="J51" s="100" t="s">
        <v>1271</v>
      </c>
      <c r="K51" s="100" t="s">
        <v>53</v>
      </c>
      <c r="O51" s="100" t="s">
        <v>49</v>
      </c>
    </row>
    <row r="52" spans="1:15" ht="14.25" customHeight="1">
      <c r="A52" s="3" t="s">
        <v>1183</v>
      </c>
      <c r="B52" s="100" t="s">
        <v>1248</v>
      </c>
      <c r="C52" s="100" t="s">
        <v>1248</v>
      </c>
      <c r="D52" s="100" t="s">
        <v>1272</v>
      </c>
      <c r="I52" s="100" t="s">
        <v>1250</v>
      </c>
      <c r="J52" s="100" t="s">
        <v>1273</v>
      </c>
      <c r="K52" s="100" t="s">
        <v>53</v>
      </c>
      <c r="O52" s="100" t="s">
        <v>49</v>
      </c>
    </row>
    <row r="53" spans="1:15" ht="14.25" customHeight="1">
      <c r="A53" s="3" t="s">
        <v>1183</v>
      </c>
      <c r="B53" s="100" t="s">
        <v>1248</v>
      </c>
      <c r="C53" s="100" t="s">
        <v>1248</v>
      </c>
      <c r="D53" s="100" t="s">
        <v>1274</v>
      </c>
      <c r="I53" s="100" t="s">
        <v>1275</v>
      </c>
      <c r="J53" s="100" t="s">
        <v>1251</v>
      </c>
      <c r="K53" s="100" t="s">
        <v>53</v>
      </c>
      <c r="O53" s="100" t="s">
        <v>90</v>
      </c>
    </row>
    <row r="54" spans="1:15" ht="14.25" customHeight="1">
      <c r="A54" s="3" t="s">
        <v>1183</v>
      </c>
      <c r="B54" s="100" t="s">
        <v>1248</v>
      </c>
      <c r="C54" s="100" t="s">
        <v>1248</v>
      </c>
      <c r="D54" s="100" t="s">
        <v>1276</v>
      </c>
      <c r="I54" s="100" t="s">
        <v>1275</v>
      </c>
      <c r="J54" s="100" t="s">
        <v>1277</v>
      </c>
      <c r="K54" s="100" t="s">
        <v>53</v>
      </c>
      <c r="O54" s="100" t="s">
        <v>49</v>
      </c>
    </row>
    <row r="55" spans="1:15" ht="14.25" customHeight="1">
      <c r="A55" s="3" t="s">
        <v>1183</v>
      </c>
      <c r="B55" s="100" t="s">
        <v>1248</v>
      </c>
      <c r="C55" s="100" t="s">
        <v>1248</v>
      </c>
      <c r="D55" s="100" t="s">
        <v>1278</v>
      </c>
      <c r="I55" s="100" t="s">
        <v>1275</v>
      </c>
      <c r="J55" s="100" t="s">
        <v>1279</v>
      </c>
      <c r="K55" s="100" t="s">
        <v>57</v>
      </c>
      <c r="O55" s="100" t="s">
        <v>49</v>
      </c>
    </row>
    <row r="56" spans="1:15" ht="14.25" customHeight="1">
      <c r="A56" s="3" t="s">
        <v>1183</v>
      </c>
      <c r="B56" s="100" t="s">
        <v>1248</v>
      </c>
      <c r="C56" s="100" t="s">
        <v>1248</v>
      </c>
      <c r="D56" s="100" t="s">
        <v>1280</v>
      </c>
      <c r="I56" s="100" t="s">
        <v>1275</v>
      </c>
      <c r="J56" s="100" t="s">
        <v>1281</v>
      </c>
      <c r="K56" s="100" t="s">
        <v>53</v>
      </c>
      <c r="O56" s="100" t="s">
        <v>49</v>
      </c>
    </row>
    <row r="57" spans="1:15" ht="14.25" customHeight="1">
      <c r="A57" s="3" t="s">
        <v>1183</v>
      </c>
      <c r="B57" s="100" t="s">
        <v>1248</v>
      </c>
      <c r="C57" s="100" t="s">
        <v>1248</v>
      </c>
      <c r="D57" s="100" t="s">
        <v>1282</v>
      </c>
      <c r="I57" s="100" t="s">
        <v>1275</v>
      </c>
      <c r="J57" s="100" t="s">
        <v>1283</v>
      </c>
      <c r="K57" s="100" t="s">
        <v>57</v>
      </c>
      <c r="O57" s="100" t="s">
        <v>49</v>
      </c>
    </row>
    <row r="58" spans="1:15" ht="14.25" customHeight="1">
      <c r="A58" s="3" t="s">
        <v>1183</v>
      </c>
      <c r="B58" s="100" t="s">
        <v>1248</v>
      </c>
      <c r="C58" s="100" t="s">
        <v>1248</v>
      </c>
      <c r="D58" s="100" t="s">
        <v>1284</v>
      </c>
      <c r="I58" s="100" t="s">
        <v>1275</v>
      </c>
      <c r="J58" s="100" t="s">
        <v>1285</v>
      </c>
      <c r="K58" s="100" t="s">
        <v>53</v>
      </c>
      <c r="O58" s="100" t="s">
        <v>49</v>
      </c>
    </row>
    <row r="59" spans="1:15" ht="14.25" customHeight="1">
      <c r="A59" s="3" t="s">
        <v>1183</v>
      </c>
      <c r="B59" s="100" t="s">
        <v>1248</v>
      </c>
      <c r="C59" s="100" t="s">
        <v>1248</v>
      </c>
      <c r="D59" s="100" t="s">
        <v>1235</v>
      </c>
      <c r="I59" s="100" t="s">
        <v>1275</v>
      </c>
      <c r="J59" s="100" t="s">
        <v>1236</v>
      </c>
      <c r="K59" s="100" t="s">
        <v>53</v>
      </c>
      <c r="O59" s="100" t="s">
        <v>49</v>
      </c>
    </row>
    <row r="60" spans="1:15" ht="14.25" customHeight="1">
      <c r="A60" s="3" t="s">
        <v>1183</v>
      </c>
      <c r="B60" s="100" t="s">
        <v>1248</v>
      </c>
      <c r="C60" s="100" t="s">
        <v>1248</v>
      </c>
      <c r="D60" s="100" t="s">
        <v>1286</v>
      </c>
      <c r="I60" s="100" t="s">
        <v>1287</v>
      </c>
      <c r="J60" s="100" t="s">
        <v>1257</v>
      </c>
      <c r="K60" s="100" t="s">
        <v>53</v>
      </c>
      <c r="O60" s="100" t="s">
        <v>90</v>
      </c>
    </row>
    <row r="61" spans="1:15" ht="14.25" customHeight="1">
      <c r="A61" s="3" t="s">
        <v>1183</v>
      </c>
      <c r="B61" s="100" t="s">
        <v>1248</v>
      </c>
      <c r="C61" s="100" t="s">
        <v>1248</v>
      </c>
      <c r="D61" s="100" t="s">
        <v>1288</v>
      </c>
      <c r="I61" s="100" t="s">
        <v>1287</v>
      </c>
      <c r="J61" s="100" t="s">
        <v>1289</v>
      </c>
      <c r="K61" s="100" t="s">
        <v>57</v>
      </c>
      <c r="O61" s="100" t="s">
        <v>49</v>
      </c>
    </row>
    <row r="62" spans="1:15" ht="14.25" customHeight="1">
      <c r="A62" s="3" t="s">
        <v>1183</v>
      </c>
      <c r="B62" s="100" t="s">
        <v>1248</v>
      </c>
      <c r="C62" s="100" t="s">
        <v>1248</v>
      </c>
      <c r="D62" s="100" t="s">
        <v>1262</v>
      </c>
      <c r="I62" s="100" t="s">
        <v>1290</v>
      </c>
      <c r="J62" s="100" t="s">
        <v>1263</v>
      </c>
      <c r="K62" s="100" t="s">
        <v>53</v>
      </c>
      <c r="O62" s="100" t="s">
        <v>90</v>
      </c>
    </row>
    <row r="63" spans="1:15" ht="14.25" customHeight="1">
      <c r="A63" s="3" t="s">
        <v>1183</v>
      </c>
      <c r="B63" s="100" t="s">
        <v>1248</v>
      </c>
      <c r="C63" s="100" t="s">
        <v>1248</v>
      </c>
      <c r="D63" s="100" t="s">
        <v>1291</v>
      </c>
      <c r="I63" s="100" t="s">
        <v>1290</v>
      </c>
      <c r="J63" s="100" t="s">
        <v>1292</v>
      </c>
      <c r="K63" s="100" t="s">
        <v>53</v>
      </c>
      <c r="O63" s="100" t="s">
        <v>49</v>
      </c>
    </row>
    <row r="64" spans="1:15" ht="14.25" customHeight="1">
      <c r="A64" s="3" t="s">
        <v>1183</v>
      </c>
      <c r="B64" s="100" t="s">
        <v>1248</v>
      </c>
      <c r="C64" s="100" t="s">
        <v>1248</v>
      </c>
      <c r="D64" s="100" t="s">
        <v>1293</v>
      </c>
      <c r="I64" s="100" t="s">
        <v>1290</v>
      </c>
      <c r="J64" s="100" t="s">
        <v>1294</v>
      </c>
      <c r="K64" s="100" t="s">
        <v>57</v>
      </c>
      <c r="O64" s="100" t="s">
        <v>49</v>
      </c>
    </row>
    <row r="65" spans="1:15" ht="14.25" customHeight="1">
      <c r="A65" s="3" t="s">
        <v>1183</v>
      </c>
      <c r="B65" s="100" t="s">
        <v>1248</v>
      </c>
      <c r="C65" s="100" t="s">
        <v>1248</v>
      </c>
      <c r="D65" s="100" t="s">
        <v>1295</v>
      </c>
      <c r="I65" s="100" t="s">
        <v>1290</v>
      </c>
      <c r="J65" s="100" t="s">
        <v>1296</v>
      </c>
      <c r="K65" s="100" t="s">
        <v>53</v>
      </c>
      <c r="O65" s="100" t="s">
        <v>49</v>
      </c>
    </row>
    <row r="66" spans="1:15" ht="14.25" customHeight="1">
      <c r="A66" s="3" t="s">
        <v>1183</v>
      </c>
      <c r="B66" s="100" t="s">
        <v>1248</v>
      </c>
      <c r="C66" s="100" t="s">
        <v>1248</v>
      </c>
      <c r="D66" s="100" t="s">
        <v>1297</v>
      </c>
      <c r="I66" s="100" t="s">
        <v>1290</v>
      </c>
      <c r="J66" s="100" t="s">
        <v>1298</v>
      </c>
      <c r="K66" s="100" t="s">
        <v>57</v>
      </c>
      <c r="O66" s="100" t="s">
        <v>49</v>
      </c>
    </row>
    <row r="67" spans="1:15" ht="14.25" customHeight="1">
      <c r="A67" s="3" t="s">
        <v>1183</v>
      </c>
      <c r="B67" s="100" t="s">
        <v>1248</v>
      </c>
      <c r="C67" s="100" t="s">
        <v>1248</v>
      </c>
      <c r="D67" s="100" t="s">
        <v>1299</v>
      </c>
      <c r="I67" s="100" t="s">
        <v>1290</v>
      </c>
      <c r="J67" s="100" t="s">
        <v>1285</v>
      </c>
      <c r="K67" s="100" t="s">
        <v>53</v>
      </c>
      <c r="O67" s="100" t="s">
        <v>49</v>
      </c>
    </row>
    <row r="68" spans="1:15" ht="14.25" customHeight="1">
      <c r="A68" s="3" t="s">
        <v>1183</v>
      </c>
      <c r="B68" s="100" t="s">
        <v>1248</v>
      </c>
      <c r="C68" s="100" t="s">
        <v>1248</v>
      </c>
      <c r="D68" s="100" t="s">
        <v>1235</v>
      </c>
      <c r="I68" s="100" t="s">
        <v>1290</v>
      </c>
      <c r="J68" s="100" t="s">
        <v>1236</v>
      </c>
      <c r="K68" s="100" t="s">
        <v>53</v>
      </c>
      <c r="O68" s="100" t="s">
        <v>49</v>
      </c>
    </row>
    <row r="69" spans="1:15" ht="14.25" customHeight="1">
      <c r="A69" s="3" t="s">
        <v>1183</v>
      </c>
      <c r="B69" s="100" t="s">
        <v>1248</v>
      </c>
      <c r="C69" s="100" t="s">
        <v>1248</v>
      </c>
      <c r="D69" s="100" t="s">
        <v>1252</v>
      </c>
      <c r="I69" s="100" t="s">
        <v>1300</v>
      </c>
      <c r="J69" s="100" t="s">
        <v>1253</v>
      </c>
      <c r="K69" s="100" t="s">
        <v>1194</v>
      </c>
      <c r="O69" s="100" t="s">
        <v>90</v>
      </c>
    </row>
    <row r="70" spans="1:15" ht="14.25" customHeight="1">
      <c r="A70" s="3" t="s">
        <v>1183</v>
      </c>
      <c r="B70" s="100" t="s">
        <v>1248</v>
      </c>
      <c r="C70" s="100" t="s">
        <v>1248</v>
      </c>
      <c r="D70" s="100" t="s">
        <v>1301</v>
      </c>
      <c r="I70" s="100" t="s">
        <v>1300</v>
      </c>
      <c r="J70" s="100" t="s">
        <v>1302</v>
      </c>
      <c r="K70" s="100" t="s">
        <v>57</v>
      </c>
      <c r="O70" s="100" t="s">
        <v>49</v>
      </c>
    </row>
    <row r="71" spans="1:15" ht="14.25" customHeight="1">
      <c r="A71" s="3" t="s">
        <v>1183</v>
      </c>
      <c r="B71" s="100" t="s">
        <v>1248</v>
      </c>
      <c r="C71" s="100" t="s">
        <v>1248</v>
      </c>
      <c r="D71" s="100" t="s">
        <v>1303</v>
      </c>
      <c r="I71" s="100" t="s">
        <v>1300</v>
      </c>
      <c r="J71" s="100" t="s">
        <v>1304</v>
      </c>
      <c r="K71" s="100" t="s">
        <v>57</v>
      </c>
      <c r="O71" s="100" t="s">
        <v>49</v>
      </c>
    </row>
    <row r="72" spans="1:15" ht="14.25" customHeight="1">
      <c r="A72" s="3" t="s">
        <v>1183</v>
      </c>
      <c r="B72" s="100" t="s">
        <v>1248</v>
      </c>
      <c r="C72" s="100" t="s">
        <v>1248</v>
      </c>
      <c r="D72" s="100" t="s">
        <v>1305</v>
      </c>
      <c r="I72" s="100" t="s">
        <v>1300</v>
      </c>
      <c r="J72" s="100" t="s">
        <v>1306</v>
      </c>
      <c r="K72" s="100" t="s">
        <v>57</v>
      </c>
      <c r="O72" s="100" t="s">
        <v>49</v>
      </c>
    </row>
    <row r="73" spans="1:15" ht="14.25" customHeight="1">
      <c r="A73" s="3" t="s">
        <v>1183</v>
      </c>
      <c r="B73" s="100" t="s">
        <v>1248</v>
      </c>
      <c r="C73" s="100" t="s">
        <v>1248</v>
      </c>
      <c r="D73" s="100" t="s">
        <v>1307</v>
      </c>
      <c r="I73" s="100" t="s">
        <v>1300</v>
      </c>
      <c r="J73" s="100" t="s">
        <v>1308</v>
      </c>
      <c r="K73" s="100" t="s">
        <v>57</v>
      </c>
      <c r="O73" s="100" t="s">
        <v>49</v>
      </c>
    </row>
    <row r="74" spans="1:15" ht="14.25" customHeight="1">
      <c r="A74" s="3" t="s">
        <v>1183</v>
      </c>
      <c r="B74" s="100" t="s">
        <v>1248</v>
      </c>
      <c r="C74" s="100" t="s">
        <v>1248</v>
      </c>
      <c r="D74" s="100" t="s">
        <v>1258</v>
      </c>
      <c r="I74" s="100" t="s">
        <v>1309</v>
      </c>
      <c r="J74" s="100" t="s">
        <v>1259</v>
      </c>
      <c r="K74" s="100" t="s">
        <v>53</v>
      </c>
      <c r="O74" s="100" t="s">
        <v>90</v>
      </c>
    </row>
    <row r="75" spans="1:15" ht="14.25" customHeight="1">
      <c r="A75" s="3" t="s">
        <v>1183</v>
      </c>
      <c r="B75" s="100" t="s">
        <v>1248</v>
      </c>
      <c r="C75" s="100" t="s">
        <v>1248</v>
      </c>
      <c r="D75" s="100" t="s">
        <v>1310</v>
      </c>
      <c r="I75" s="100" t="s">
        <v>1309</v>
      </c>
      <c r="J75" s="100" t="s">
        <v>1311</v>
      </c>
      <c r="K75" s="100" t="s">
        <v>57</v>
      </c>
      <c r="O75" s="100" t="s">
        <v>49</v>
      </c>
    </row>
    <row r="76" spans="1:15" ht="14.25" customHeight="1">
      <c r="A76" s="3" t="s">
        <v>1183</v>
      </c>
      <c r="B76" s="100" t="s">
        <v>1248</v>
      </c>
      <c r="C76" s="100" t="s">
        <v>1248</v>
      </c>
      <c r="D76" s="100" t="s">
        <v>1260</v>
      </c>
      <c r="I76" s="100" t="s">
        <v>1312</v>
      </c>
      <c r="J76" s="100" t="s">
        <v>1261</v>
      </c>
      <c r="K76" s="100" t="s">
        <v>53</v>
      </c>
      <c r="O76" s="100" t="s">
        <v>90</v>
      </c>
    </row>
    <row r="77" spans="1:15" ht="14.25" customHeight="1">
      <c r="A77" s="3" t="s">
        <v>1183</v>
      </c>
      <c r="B77" s="100" t="s">
        <v>1248</v>
      </c>
      <c r="C77" s="100" t="s">
        <v>1248</v>
      </c>
      <c r="D77" s="100" t="s">
        <v>1313</v>
      </c>
      <c r="I77" s="100" t="s">
        <v>1312</v>
      </c>
      <c r="J77" s="100" t="s">
        <v>1314</v>
      </c>
      <c r="K77" s="100" t="s">
        <v>57</v>
      </c>
      <c r="O77" s="100" t="s">
        <v>49</v>
      </c>
    </row>
    <row r="78" spans="1:15" ht="14.25" customHeight="1">
      <c r="A78" s="3" t="s">
        <v>1183</v>
      </c>
      <c r="B78" s="100" t="s">
        <v>1248</v>
      </c>
      <c r="C78" s="100" t="s">
        <v>1248</v>
      </c>
      <c r="D78" s="100" t="s">
        <v>1254</v>
      </c>
      <c r="I78" s="100" t="s">
        <v>1315</v>
      </c>
      <c r="J78" s="100" t="s">
        <v>1255</v>
      </c>
      <c r="K78" s="100" t="s">
        <v>53</v>
      </c>
      <c r="O78" s="100" t="s">
        <v>90</v>
      </c>
    </row>
    <row r="79" spans="1:15" ht="14.25" customHeight="1">
      <c r="A79" s="3" t="s">
        <v>1183</v>
      </c>
      <c r="B79" s="100" t="s">
        <v>1248</v>
      </c>
      <c r="C79" s="100" t="s">
        <v>1248</v>
      </c>
      <c r="D79" s="100" t="s">
        <v>1316</v>
      </c>
      <c r="I79" s="100" t="s">
        <v>1315</v>
      </c>
      <c r="J79" s="100" t="s">
        <v>1317</v>
      </c>
      <c r="K79" s="100" t="s">
        <v>57</v>
      </c>
      <c r="O79" s="100" t="s">
        <v>49</v>
      </c>
    </row>
    <row r="80" spans="1:15" ht="14.25" customHeight="1">
      <c r="A80" s="3" t="s">
        <v>1183</v>
      </c>
      <c r="B80" s="100" t="s">
        <v>1248</v>
      </c>
      <c r="C80" s="100" t="s">
        <v>1248</v>
      </c>
      <c r="D80" s="100" t="s">
        <v>1235</v>
      </c>
      <c r="I80" s="100" t="s">
        <v>1318</v>
      </c>
      <c r="J80" s="100" t="s">
        <v>1236</v>
      </c>
      <c r="K80" s="100" t="s">
        <v>53</v>
      </c>
      <c r="O80" s="100" t="s">
        <v>90</v>
      </c>
    </row>
    <row r="81" spans="1:15" ht="14.25" customHeight="1">
      <c r="A81" s="3" t="s">
        <v>1183</v>
      </c>
      <c r="B81" s="100" t="s">
        <v>1248</v>
      </c>
      <c r="C81" s="100" t="s">
        <v>1248</v>
      </c>
      <c r="D81" s="100" t="s">
        <v>1319</v>
      </c>
      <c r="I81" s="100" t="s">
        <v>1318</v>
      </c>
      <c r="J81" s="100" t="s">
        <v>1320</v>
      </c>
      <c r="K81" s="100" t="s">
        <v>57</v>
      </c>
      <c r="O81" s="100" t="s">
        <v>49</v>
      </c>
    </row>
    <row r="82" spans="1:15" ht="14.25" customHeight="1">
      <c r="A82" s="3" t="s">
        <v>1183</v>
      </c>
      <c r="B82" s="100" t="s">
        <v>1321</v>
      </c>
      <c r="C82" s="100" t="s">
        <v>1321</v>
      </c>
      <c r="D82" s="100" t="s">
        <v>1185</v>
      </c>
      <c r="I82" s="100" t="s">
        <v>1322</v>
      </c>
      <c r="J82" s="100" t="s">
        <v>1187</v>
      </c>
      <c r="K82" s="100" t="s">
        <v>53</v>
      </c>
      <c r="O82" s="100" t="s">
        <v>90</v>
      </c>
    </row>
    <row r="83" spans="1:15" ht="14.25" customHeight="1">
      <c r="A83" s="3" t="s">
        <v>1183</v>
      </c>
      <c r="B83" s="100" t="s">
        <v>1321</v>
      </c>
      <c r="C83" s="100" t="s">
        <v>1321</v>
      </c>
      <c r="D83" s="100" t="s">
        <v>1323</v>
      </c>
      <c r="I83" s="100" t="s">
        <v>1322</v>
      </c>
      <c r="J83" s="100" t="s">
        <v>1324</v>
      </c>
      <c r="K83" s="100" t="s">
        <v>57</v>
      </c>
      <c r="O83" s="100" t="s">
        <v>49</v>
      </c>
    </row>
    <row r="84" spans="1:15" ht="14.25" customHeight="1">
      <c r="A84" s="3" t="s">
        <v>1183</v>
      </c>
      <c r="B84" s="100" t="s">
        <v>1321</v>
      </c>
      <c r="C84" s="100" t="s">
        <v>1321</v>
      </c>
      <c r="D84" s="100" t="s">
        <v>1325</v>
      </c>
      <c r="I84" s="100" t="s">
        <v>1322</v>
      </c>
      <c r="J84" s="100" t="s">
        <v>1326</v>
      </c>
      <c r="K84" s="100" t="s">
        <v>57</v>
      </c>
      <c r="O84" s="100" t="s">
        <v>49</v>
      </c>
    </row>
    <row r="85" spans="1:15" ht="14.25" customHeight="1">
      <c r="A85" s="3" t="s">
        <v>1183</v>
      </c>
      <c r="B85" s="100" t="s">
        <v>1321</v>
      </c>
      <c r="C85" s="100" t="s">
        <v>1321</v>
      </c>
      <c r="D85" s="100" t="s">
        <v>1327</v>
      </c>
      <c r="I85" s="100" t="s">
        <v>1322</v>
      </c>
      <c r="J85" s="100" t="s">
        <v>1328</v>
      </c>
      <c r="K85" s="100" t="s">
        <v>1217</v>
      </c>
      <c r="O85" s="100" t="s">
        <v>49</v>
      </c>
    </row>
    <row r="86" spans="1:15" ht="14.25" customHeight="1">
      <c r="A86" s="3" t="s">
        <v>1183</v>
      </c>
      <c r="B86" s="100" t="s">
        <v>1321</v>
      </c>
      <c r="C86" s="100" t="s">
        <v>1321</v>
      </c>
      <c r="D86" s="100" t="s">
        <v>1329</v>
      </c>
      <c r="I86" s="100" t="s">
        <v>1322</v>
      </c>
      <c r="J86" s="100" t="s">
        <v>1330</v>
      </c>
      <c r="K86" s="100" t="s">
        <v>57</v>
      </c>
      <c r="O86" s="100" t="s">
        <v>49</v>
      </c>
    </row>
    <row r="87" spans="1:15" ht="14.25" customHeight="1">
      <c r="A87" s="3" t="s">
        <v>1183</v>
      </c>
      <c r="B87" s="100" t="s">
        <v>1321</v>
      </c>
      <c r="C87" s="100" t="s">
        <v>1321</v>
      </c>
      <c r="D87" s="100" t="s">
        <v>1278</v>
      </c>
      <c r="I87" s="100" t="s">
        <v>1322</v>
      </c>
      <c r="J87" s="100" t="s">
        <v>1279</v>
      </c>
      <c r="K87" s="100" t="s">
        <v>57</v>
      </c>
      <c r="O87" s="100" t="s">
        <v>49</v>
      </c>
    </row>
    <row r="88" spans="1:15" ht="14.25" customHeight="1">
      <c r="A88" s="3" t="s">
        <v>1183</v>
      </c>
      <c r="B88" s="100" t="s">
        <v>1321</v>
      </c>
      <c r="C88" s="100" t="s">
        <v>1321</v>
      </c>
      <c r="D88" s="100" t="s">
        <v>1211</v>
      </c>
      <c r="I88" s="100" t="s">
        <v>1322</v>
      </c>
      <c r="J88" s="100" t="s">
        <v>1331</v>
      </c>
      <c r="K88" s="100" t="s">
        <v>57</v>
      </c>
      <c r="O88" s="100" t="s">
        <v>49</v>
      </c>
    </row>
    <row r="89" spans="1:15" ht="14.25" customHeight="1">
      <c r="A89" s="3" t="s">
        <v>1183</v>
      </c>
      <c r="B89" s="100" t="s">
        <v>1321</v>
      </c>
      <c r="C89" s="100" t="s">
        <v>1321</v>
      </c>
      <c r="D89" s="100" t="s">
        <v>1319</v>
      </c>
      <c r="I89" s="100" t="s">
        <v>1322</v>
      </c>
      <c r="J89" s="100" t="s">
        <v>1320</v>
      </c>
      <c r="K89" s="100" t="s">
        <v>57</v>
      </c>
      <c r="O89" s="100" t="s">
        <v>49</v>
      </c>
    </row>
    <row r="90" spans="1:15" ht="14.25" customHeight="1">
      <c r="A90" s="3" t="s">
        <v>1183</v>
      </c>
      <c r="B90" s="100" t="s">
        <v>1321</v>
      </c>
      <c r="C90" s="100" t="s">
        <v>1321</v>
      </c>
      <c r="D90" s="100" t="s">
        <v>1204</v>
      </c>
      <c r="I90" s="100" t="s">
        <v>1322</v>
      </c>
      <c r="J90" s="100" t="s">
        <v>1332</v>
      </c>
      <c r="K90" s="100" t="s">
        <v>1194</v>
      </c>
      <c r="O90" s="100" t="s">
        <v>49</v>
      </c>
    </row>
    <row r="91" spans="1:15" ht="14.25" customHeight="1">
      <c r="A91" s="3" t="s">
        <v>1183</v>
      </c>
      <c r="B91" s="100" t="s">
        <v>1321</v>
      </c>
      <c r="C91" s="100" t="s">
        <v>1321</v>
      </c>
      <c r="D91" s="100" t="s">
        <v>1206</v>
      </c>
      <c r="I91" s="100" t="s">
        <v>1322</v>
      </c>
      <c r="J91" s="100" t="s">
        <v>1333</v>
      </c>
      <c r="K91" s="100" t="s">
        <v>1194</v>
      </c>
      <c r="O91" s="100" t="s">
        <v>49</v>
      </c>
    </row>
    <row r="92" spans="1:15" ht="14.25" customHeight="1">
      <c r="A92" s="3" t="s">
        <v>1183</v>
      </c>
      <c r="B92" s="100" t="s">
        <v>1321</v>
      </c>
      <c r="C92" s="100" t="s">
        <v>1321</v>
      </c>
      <c r="D92" s="100" t="s">
        <v>1334</v>
      </c>
      <c r="I92" s="100" t="s">
        <v>1322</v>
      </c>
      <c r="J92" s="100" t="s">
        <v>1335</v>
      </c>
      <c r="K92" s="100" t="s">
        <v>57</v>
      </c>
      <c r="O92" s="100" t="s">
        <v>49</v>
      </c>
    </row>
    <row r="93" spans="1:15" ht="14.25" customHeight="1">
      <c r="A93" s="3" t="s">
        <v>1183</v>
      </c>
      <c r="B93" s="100" t="s">
        <v>1321</v>
      </c>
      <c r="C93" s="100" t="s">
        <v>1321</v>
      </c>
      <c r="D93" s="100" t="s">
        <v>1336</v>
      </c>
      <c r="I93" s="100" t="s">
        <v>1322</v>
      </c>
      <c r="J93" s="100" t="s">
        <v>1337</v>
      </c>
      <c r="K93" s="100" t="s">
        <v>53</v>
      </c>
      <c r="O93" s="100" t="s">
        <v>49</v>
      </c>
    </row>
    <row r="94" spans="1:15" ht="14.25" customHeight="1">
      <c r="A94" s="3" t="s">
        <v>1183</v>
      </c>
      <c r="B94" s="100" t="s">
        <v>1321</v>
      </c>
      <c r="C94" s="100" t="s">
        <v>1321</v>
      </c>
      <c r="D94" s="100" t="s">
        <v>1338</v>
      </c>
      <c r="I94" s="100" t="s">
        <v>1322</v>
      </c>
      <c r="J94" s="100" t="s">
        <v>1339</v>
      </c>
      <c r="K94" s="100" t="s">
        <v>53</v>
      </c>
      <c r="O94" s="100" t="s">
        <v>49</v>
      </c>
    </row>
    <row r="95" spans="1:15" ht="14.25" customHeight="1">
      <c r="A95" s="3" t="s">
        <v>1183</v>
      </c>
      <c r="B95" s="100" t="s">
        <v>1321</v>
      </c>
      <c r="C95" s="100" t="s">
        <v>1321</v>
      </c>
      <c r="D95" s="100" t="s">
        <v>1185</v>
      </c>
      <c r="I95" s="100" t="s">
        <v>1340</v>
      </c>
      <c r="J95" s="100" t="s">
        <v>1187</v>
      </c>
      <c r="K95" s="100" t="s">
        <v>53</v>
      </c>
      <c r="O95" s="100" t="s">
        <v>90</v>
      </c>
    </row>
    <row r="96" spans="1:15" ht="14.25" customHeight="1">
      <c r="A96" s="3" t="s">
        <v>1183</v>
      </c>
      <c r="B96" s="100" t="s">
        <v>1321</v>
      </c>
      <c r="C96" s="100" t="s">
        <v>1321</v>
      </c>
      <c r="D96" s="100" t="s">
        <v>1341</v>
      </c>
      <c r="I96" s="100" t="s">
        <v>1340</v>
      </c>
      <c r="J96" s="100" t="s">
        <v>1342</v>
      </c>
      <c r="K96" s="100" t="s">
        <v>53</v>
      </c>
      <c r="O96" s="100" t="s">
        <v>90</v>
      </c>
    </row>
    <row r="97" spans="1:15" ht="14.25" customHeight="1">
      <c r="A97" s="3" t="s">
        <v>1183</v>
      </c>
      <c r="B97" s="100" t="s">
        <v>1321</v>
      </c>
      <c r="C97" s="100" t="s">
        <v>1321</v>
      </c>
      <c r="D97" s="100" t="s">
        <v>1343</v>
      </c>
      <c r="I97" s="100" t="s">
        <v>1340</v>
      </c>
      <c r="J97" s="100" t="s">
        <v>1344</v>
      </c>
      <c r="K97" s="100" t="s">
        <v>57</v>
      </c>
      <c r="O97" s="100" t="s">
        <v>49</v>
      </c>
    </row>
    <row r="98" spans="1:15" ht="14.25" customHeight="1">
      <c r="A98" s="3" t="s">
        <v>1183</v>
      </c>
      <c r="B98" s="100" t="s">
        <v>1321</v>
      </c>
      <c r="C98" s="100" t="s">
        <v>1321</v>
      </c>
      <c r="D98" s="100" t="s">
        <v>1345</v>
      </c>
      <c r="I98" s="100" t="s">
        <v>1340</v>
      </c>
      <c r="J98" s="100" t="s">
        <v>1346</v>
      </c>
      <c r="K98" s="100" t="s">
        <v>57</v>
      </c>
      <c r="O98" s="100" t="s">
        <v>49</v>
      </c>
    </row>
    <row r="99" spans="1:15" ht="14.25" customHeight="1">
      <c r="A99" s="3" t="s">
        <v>1183</v>
      </c>
      <c r="B99" s="100" t="s">
        <v>1321</v>
      </c>
      <c r="C99" s="100" t="s">
        <v>1321</v>
      </c>
      <c r="D99" s="100" t="s">
        <v>1347</v>
      </c>
      <c r="I99" s="100" t="s">
        <v>1340</v>
      </c>
      <c r="J99" s="100" t="s">
        <v>1348</v>
      </c>
      <c r="K99" s="100" t="s">
        <v>57</v>
      </c>
      <c r="O99" s="100" t="s">
        <v>49</v>
      </c>
    </row>
    <row r="100" spans="1:15" ht="14.25" customHeight="1">
      <c r="A100" s="3" t="s">
        <v>1183</v>
      </c>
      <c r="B100" s="100" t="s">
        <v>1321</v>
      </c>
      <c r="C100" s="100" t="s">
        <v>1321</v>
      </c>
      <c r="D100" s="100" t="s">
        <v>1185</v>
      </c>
      <c r="I100" s="100" t="s">
        <v>1349</v>
      </c>
      <c r="J100" s="100" t="s">
        <v>1187</v>
      </c>
      <c r="K100" s="100" t="s">
        <v>53</v>
      </c>
      <c r="O100" s="100" t="s">
        <v>90</v>
      </c>
    </row>
    <row r="101" spans="1:15" ht="14.25" customHeight="1">
      <c r="A101" s="3" t="s">
        <v>1183</v>
      </c>
      <c r="B101" s="100" t="s">
        <v>1321</v>
      </c>
      <c r="C101" s="100" t="s">
        <v>1321</v>
      </c>
      <c r="D101" s="100" t="s">
        <v>1350</v>
      </c>
      <c r="I101" s="100" t="s">
        <v>1349</v>
      </c>
      <c r="J101" s="100" t="s">
        <v>1351</v>
      </c>
      <c r="K101" s="100" t="s">
        <v>53</v>
      </c>
      <c r="O101" s="100" t="s">
        <v>90</v>
      </c>
    </row>
    <row r="102" spans="1:15" ht="14.25" customHeight="1">
      <c r="A102" s="3" t="s">
        <v>1183</v>
      </c>
      <c r="B102" s="100" t="s">
        <v>1321</v>
      </c>
      <c r="C102" s="100" t="s">
        <v>1321</v>
      </c>
      <c r="D102" s="100" t="s">
        <v>1204</v>
      </c>
      <c r="I102" s="100" t="s">
        <v>1349</v>
      </c>
      <c r="J102" s="100" t="s">
        <v>1205</v>
      </c>
      <c r="K102" s="100" t="s">
        <v>1194</v>
      </c>
      <c r="O102" s="100" t="s">
        <v>49</v>
      </c>
    </row>
    <row r="103" spans="1:15" ht="14.25" customHeight="1">
      <c r="A103" s="3" t="s">
        <v>1183</v>
      </c>
      <c r="B103" s="100" t="s">
        <v>1321</v>
      </c>
      <c r="C103" s="100" t="s">
        <v>1321</v>
      </c>
      <c r="D103" s="100" t="s">
        <v>1206</v>
      </c>
      <c r="I103" s="100" t="s">
        <v>1349</v>
      </c>
      <c r="J103" s="100" t="s">
        <v>1207</v>
      </c>
      <c r="K103" s="100" t="s">
        <v>1194</v>
      </c>
      <c r="O103" s="100" t="s">
        <v>49</v>
      </c>
    </row>
    <row r="104" spans="1:15" ht="14.25" customHeight="1">
      <c r="A104" s="3" t="s">
        <v>1183</v>
      </c>
      <c r="B104" s="100" t="s">
        <v>1321</v>
      </c>
      <c r="C104" s="100" t="s">
        <v>1321</v>
      </c>
      <c r="D104" s="100" t="s">
        <v>1350</v>
      </c>
      <c r="I104" s="100" t="s">
        <v>1352</v>
      </c>
      <c r="J104" s="100" t="s">
        <v>1351</v>
      </c>
      <c r="K104" s="100" t="s">
        <v>53</v>
      </c>
      <c r="O104" s="100" t="s">
        <v>90</v>
      </c>
    </row>
    <row r="105" spans="1:15" ht="14.25" customHeight="1">
      <c r="A105" s="3" t="s">
        <v>1183</v>
      </c>
      <c r="B105" s="100" t="s">
        <v>1321</v>
      </c>
      <c r="C105" s="100" t="s">
        <v>1321</v>
      </c>
      <c r="D105" s="100" t="s">
        <v>1353</v>
      </c>
      <c r="I105" s="100" t="s">
        <v>1352</v>
      </c>
      <c r="J105" s="100" t="s">
        <v>1354</v>
      </c>
      <c r="K105" s="100" t="s">
        <v>57</v>
      </c>
      <c r="O105" s="100" t="s">
        <v>49</v>
      </c>
    </row>
    <row r="106" spans="1:15" ht="14.25" customHeight="1">
      <c r="A106" s="3" t="s">
        <v>1183</v>
      </c>
      <c r="B106" s="100" t="s">
        <v>1321</v>
      </c>
      <c r="C106" s="100" t="s">
        <v>1321</v>
      </c>
      <c r="D106" s="100" t="s">
        <v>1185</v>
      </c>
      <c r="I106" s="100" t="s">
        <v>1355</v>
      </c>
      <c r="J106" s="100" t="s">
        <v>1187</v>
      </c>
      <c r="K106" s="100" t="s">
        <v>53</v>
      </c>
      <c r="O106" s="100" t="s">
        <v>90</v>
      </c>
    </row>
    <row r="107" spans="1:15" ht="14.25" customHeight="1">
      <c r="A107" s="3" t="s">
        <v>1183</v>
      </c>
      <c r="B107" s="100" t="s">
        <v>1321</v>
      </c>
      <c r="C107" s="100" t="s">
        <v>1321</v>
      </c>
      <c r="D107" s="100" t="s">
        <v>1235</v>
      </c>
      <c r="I107" s="100" t="s">
        <v>1355</v>
      </c>
      <c r="J107" s="100" t="s">
        <v>1236</v>
      </c>
      <c r="K107" s="100" t="s">
        <v>53</v>
      </c>
      <c r="O107" s="100" t="s">
        <v>90</v>
      </c>
    </row>
    <row r="108" spans="1:15" ht="14.25" customHeight="1">
      <c r="A108" s="3" t="s">
        <v>1183</v>
      </c>
      <c r="B108" s="100" t="s">
        <v>1321</v>
      </c>
      <c r="C108" s="100" t="s">
        <v>1321</v>
      </c>
      <c r="D108" s="100" t="s">
        <v>1276</v>
      </c>
      <c r="I108" s="100" t="s">
        <v>1355</v>
      </c>
      <c r="J108" s="100" t="s">
        <v>1277</v>
      </c>
      <c r="K108" s="100" t="s">
        <v>53</v>
      </c>
      <c r="O108" s="100" t="s">
        <v>90</v>
      </c>
    </row>
    <row r="109" spans="1:15" ht="14.25" customHeight="1">
      <c r="A109" s="3" t="s">
        <v>1183</v>
      </c>
      <c r="B109" s="100" t="s">
        <v>1321</v>
      </c>
      <c r="C109" s="100" t="s">
        <v>1321</v>
      </c>
      <c r="D109" s="100" t="s">
        <v>1356</v>
      </c>
      <c r="I109" s="100" t="s">
        <v>1355</v>
      </c>
      <c r="J109" s="100" t="s">
        <v>1357</v>
      </c>
      <c r="K109" s="100" t="s">
        <v>53</v>
      </c>
      <c r="O109" s="100" t="s">
        <v>90</v>
      </c>
    </row>
    <row r="110" spans="1:15" ht="14.25" customHeight="1">
      <c r="A110" s="3" t="s">
        <v>1183</v>
      </c>
      <c r="B110" s="100" t="s">
        <v>1321</v>
      </c>
      <c r="C110" s="100" t="s">
        <v>1321</v>
      </c>
      <c r="D110" s="100" t="s">
        <v>1358</v>
      </c>
      <c r="I110" s="100" t="s">
        <v>1355</v>
      </c>
      <c r="J110" s="100" t="s">
        <v>1359</v>
      </c>
      <c r="K110" s="100" t="s">
        <v>53</v>
      </c>
      <c r="O110" s="100" t="s">
        <v>90</v>
      </c>
    </row>
    <row r="111" spans="1:15" ht="14.25" customHeight="1">
      <c r="A111" s="3" t="s">
        <v>1183</v>
      </c>
      <c r="B111" s="100" t="s">
        <v>1321</v>
      </c>
      <c r="C111" s="100" t="s">
        <v>1321</v>
      </c>
      <c r="D111" s="100" t="s">
        <v>1204</v>
      </c>
      <c r="I111" s="100" t="s">
        <v>1355</v>
      </c>
      <c r="J111" s="100" t="s">
        <v>1205</v>
      </c>
      <c r="K111" s="100" t="s">
        <v>1194</v>
      </c>
      <c r="O111" s="100" t="s">
        <v>90</v>
      </c>
    </row>
    <row r="112" spans="1:15" ht="14.25" customHeight="1">
      <c r="A112" s="3" t="s">
        <v>1183</v>
      </c>
      <c r="B112" s="100" t="s">
        <v>1321</v>
      </c>
      <c r="C112" s="100" t="s">
        <v>1321</v>
      </c>
      <c r="D112" s="100" t="s">
        <v>1274</v>
      </c>
      <c r="I112" s="100" t="s">
        <v>1355</v>
      </c>
      <c r="J112" s="100" t="s">
        <v>1251</v>
      </c>
      <c r="K112" s="100" t="s">
        <v>53</v>
      </c>
      <c r="O112" s="100" t="s">
        <v>90</v>
      </c>
    </row>
    <row r="113" spans="1:15" ht="14.25" customHeight="1">
      <c r="A113" s="3" t="s">
        <v>1183</v>
      </c>
      <c r="B113" s="100" t="s">
        <v>1321</v>
      </c>
      <c r="C113" s="100" t="s">
        <v>1321</v>
      </c>
      <c r="D113" s="100" t="s">
        <v>1206</v>
      </c>
      <c r="I113" s="100" t="s">
        <v>1355</v>
      </c>
      <c r="J113" s="100" t="s">
        <v>1207</v>
      </c>
      <c r="K113" s="100" t="s">
        <v>1194</v>
      </c>
      <c r="O113" s="100" t="s">
        <v>49</v>
      </c>
    </row>
    <row r="114" spans="1:15" ht="14.25" customHeight="1">
      <c r="A114" s="3" t="s">
        <v>1183</v>
      </c>
      <c r="B114" s="100" t="s">
        <v>1321</v>
      </c>
      <c r="C114" s="100" t="s">
        <v>1321</v>
      </c>
      <c r="D114" s="100" t="s">
        <v>1356</v>
      </c>
      <c r="I114" s="100" t="s">
        <v>1360</v>
      </c>
      <c r="J114" s="100" t="s">
        <v>1357</v>
      </c>
      <c r="K114" s="100" t="s">
        <v>53</v>
      </c>
      <c r="O114" s="100" t="s">
        <v>90</v>
      </c>
    </row>
    <row r="115" spans="1:15" ht="14.25" customHeight="1">
      <c r="A115" s="3" t="s">
        <v>1183</v>
      </c>
      <c r="B115" s="100" t="s">
        <v>1321</v>
      </c>
      <c r="C115" s="100" t="s">
        <v>1321</v>
      </c>
      <c r="D115" s="100" t="s">
        <v>1361</v>
      </c>
      <c r="I115" s="100" t="s">
        <v>1360</v>
      </c>
      <c r="J115" s="100" t="s">
        <v>1362</v>
      </c>
      <c r="K115" s="100" t="s">
        <v>53</v>
      </c>
      <c r="O115" s="100" t="s">
        <v>49</v>
      </c>
    </row>
    <row r="116" spans="1:15" ht="14.25" customHeight="1">
      <c r="A116" s="3" t="s">
        <v>1183</v>
      </c>
      <c r="B116" s="100" t="s">
        <v>1321</v>
      </c>
      <c r="C116" s="100" t="s">
        <v>1321</v>
      </c>
      <c r="D116" s="100" t="s">
        <v>1363</v>
      </c>
      <c r="I116" s="100" t="s">
        <v>1360</v>
      </c>
      <c r="J116" s="100" t="s">
        <v>1364</v>
      </c>
      <c r="K116" s="100" t="s">
        <v>57</v>
      </c>
      <c r="O116" s="100" t="s">
        <v>49</v>
      </c>
    </row>
    <row r="117" spans="1:15" ht="14.25" customHeight="1">
      <c r="A117" s="3" t="s">
        <v>1183</v>
      </c>
      <c r="B117" s="100" t="s">
        <v>1321</v>
      </c>
      <c r="C117" s="100" t="s">
        <v>1321</v>
      </c>
      <c r="D117" s="100" t="s">
        <v>1327</v>
      </c>
      <c r="I117" s="100" t="s">
        <v>1360</v>
      </c>
      <c r="J117" s="100" t="s">
        <v>1328</v>
      </c>
      <c r="K117" s="100" t="s">
        <v>1217</v>
      </c>
      <c r="O117" s="100" t="s">
        <v>49</v>
      </c>
    </row>
    <row r="118" spans="1:15" ht="14.25" customHeight="1">
      <c r="A118" s="3" t="s">
        <v>1183</v>
      </c>
      <c r="B118" s="100" t="s">
        <v>1321</v>
      </c>
      <c r="C118" s="100" t="s">
        <v>1321</v>
      </c>
      <c r="D118" s="100" t="s">
        <v>1365</v>
      </c>
      <c r="I118" s="100" t="s">
        <v>1366</v>
      </c>
      <c r="J118" s="100" t="s">
        <v>1359</v>
      </c>
      <c r="K118" s="100" t="s">
        <v>53</v>
      </c>
      <c r="O118" s="100" t="s">
        <v>90</v>
      </c>
    </row>
    <row r="119" spans="1:15" ht="14.25" customHeight="1">
      <c r="A119" s="3" t="s">
        <v>1183</v>
      </c>
      <c r="B119" s="100" t="s">
        <v>1321</v>
      </c>
      <c r="C119" s="100" t="s">
        <v>1321</v>
      </c>
      <c r="D119" s="100" t="s">
        <v>1367</v>
      </c>
      <c r="I119" s="100" t="s">
        <v>1366</v>
      </c>
      <c r="J119" s="100" t="s">
        <v>1368</v>
      </c>
      <c r="K119" s="100" t="s">
        <v>53</v>
      </c>
      <c r="O119" s="100" t="s">
        <v>49</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F31DB9E7368290418064F68BD9FE06A8" ma:contentTypeVersion="16" ma:contentTypeDescription="Crear nuevo documento." ma:contentTypeScope="" ma:versionID="dd9c0b131b0ed042e74b799984da9575">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0579c5f1134b53f7abd87656f4786aa2"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5F59C56-E2A8-4CB5-BF18-DB437C3E30DD}">
  <ds:schemaRefs>
    <ds:schemaRef ds:uri="http://schemas.microsoft.com/sharepoint/v3/contenttype/forms"/>
  </ds:schemaRefs>
</ds:datastoreItem>
</file>

<file path=customXml/itemProps2.xml><?xml version="1.0" encoding="utf-8"?>
<ds:datastoreItem xmlns:ds="http://schemas.openxmlformats.org/officeDocument/2006/customXml" ds:itemID="{8A27E048-32C6-493D-9425-43364E7CDD05}"/>
</file>

<file path=customXml/itemProps3.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Identificación de fuentes</vt:lpstr>
      <vt:lpstr>Columnas por fuentes</vt:lpstr>
      <vt:lpstr>Estructuras del Modelo</vt:lpstr>
      <vt:lpstr>dv_consolidacion_contracargo</vt:lpstr>
      <vt:lpstr>Carga Empleado Flujo</vt:lpstr>
      <vt:lpstr>v_reporte_cc_primera_linea</vt:lpstr>
      <vt:lpstr>v_reporte_cc_tercera_linea</vt:lpstr>
      <vt:lpstr>v_reporte_cc_crm</vt:lpstr>
      <vt:lpstr>v_reporte_cc_cartas</vt:lpstr>
      <vt:lpstr>v_reporte_cc_cartas_x_comercio</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ANGELLO BRAVO</cp:lastModifiedBy>
  <cp:revision/>
  <dcterms:created xsi:type="dcterms:W3CDTF">2016-06-08T19:53:30Z</dcterms:created>
  <dcterms:modified xsi:type="dcterms:W3CDTF">2026-07-08T22:24:59Z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