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54 Reporte Coincidencias/Capa Business/"/>
    </mc:Choice>
  </mc:AlternateContent>
  <xr:revisionPtr revIDLastSave="650" documentId="8_{1DCF88E8-8811-44D0-8773-D3AB89B02E57}" xr6:coauthVersionLast="47" xr6:coauthVersionMax="47" xr10:uidLastSave="{10913052-27D2-464E-ADDD-5AF102D764E1}"/>
  <bookViews>
    <workbookView xWindow="-120" yWindow="-120" windowWidth="29040" windowHeight="15720" firstSheet="1" activeTab="4" xr2:uid="{00000000-000D-0000-FFFF-FFFF00000000}"/>
  </bookViews>
  <sheets>
    <sheet name="Datos Sensibles" sheetId="4" r:id="rId1"/>
    <sheet name="Estructuras del Modelo" sheetId="1" r:id="rId2"/>
    <sheet name="dv_coincidencia_bl" sheetId="2" r:id="rId3"/>
    <sheet name="dv_coincidencia_documento" sheetId="15" r:id="rId4"/>
    <sheet name="v_coincidencia_bl" sheetId="17" r:id="rId5"/>
    <sheet name="v_coincidencia_documento" sheetId="18" r:id="rId6"/>
  </sheets>
  <functionGroups builtInGroupCount="19"/>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1" i="18" l="1"/>
  <c r="E20" i="18"/>
  <c r="E19" i="18"/>
  <c r="E18" i="18"/>
  <c r="E17" i="18"/>
  <c r="E16" i="18"/>
  <c r="E15" i="18"/>
  <c r="E14" i="18"/>
  <c r="E13" i="18"/>
  <c r="E12" i="18"/>
  <c r="E11" i="18"/>
  <c r="E10" i="18"/>
  <c r="E9" i="18"/>
  <c r="E8" i="18"/>
  <c r="E7" i="18"/>
  <c r="E6" i="18"/>
  <c r="E5" i="18"/>
  <c r="E4" i="18"/>
  <c r="E3" i="18"/>
  <c r="E29" i="17"/>
  <c r="E28" i="17"/>
  <c r="E27" i="17"/>
  <c r="E26" i="17"/>
  <c r="E25" i="17"/>
  <c r="E24" i="17"/>
  <c r="E23" i="17"/>
  <c r="E22" i="17"/>
  <c r="E21" i="17"/>
  <c r="E20" i="17"/>
  <c r="E19" i="17"/>
  <c r="E18" i="17"/>
  <c r="E17" i="17"/>
  <c r="E16" i="17"/>
  <c r="E15" i="17"/>
  <c r="E14" i="17"/>
  <c r="E13" i="17"/>
  <c r="E12" i="17"/>
  <c r="E11" i="17"/>
  <c r="E10" i="17"/>
  <c r="E9" i="17"/>
  <c r="E8" i="17"/>
  <c r="E7" i="17"/>
  <c r="E6" i="17"/>
  <c r="E5" i="17"/>
  <c r="E4" i="17"/>
  <c r="E3" i="17"/>
  <c r="E21" i="15"/>
  <c r="E20" i="15"/>
  <c r="E19" i="15"/>
  <c r="E18" i="15"/>
  <c r="E17" i="15"/>
  <c r="E16" i="15"/>
  <c r="E15" i="15"/>
  <c r="E14" i="15"/>
  <c r="E13" i="15"/>
  <c r="E12" i="15"/>
  <c r="E11" i="15"/>
  <c r="E10" i="15"/>
  <c r="E9" i="15"/>
  <c r="E8" i="15"/>
  <c r="E7" i="15"/>
  <c r="E6" i="15"/>
  <c r="E5" i="15"/>
  <c r="E4" i="15"/>
  <c r="E3" i="15"/>
  <c r="E25" i="2"/>
  <c r="E3" i="2"/>
  <c r="E4" i="2"/>
  <c r="E5" i="2"/>
  <c r="E6" i="2"/>
  <c r="E7" i="2"/>
  <c r="E8" i="2"/>
  <c r="E9" i="2"/>
  <c r="E10" i="2"/>
  <c r="E11" i="2"/>
  <c r="E12" i="2"/>
  <c r="E13" i="2"/>
  <c r="E14" i="2"/>
  <c r="E15" i="2"/>
  <c r="E16" i="2"/>
  <c r="E17" i="2"/>
  <c r="E18" i="2"/>
  <c r="E19" i="2"/>
  <c r="E20" i="2"/>
  <c r="E21" i="2"/>
  <c r="E22" i="2"/>
  <c r="E23" i="2"/>
  <c r="E24" i="2"/>
  <c r="E26" i="2"/>
  <c r="E27" i="2"/>
  <c r="E28" i="2"/>
  <c r="E29" i="2"/>
</calcChain>
</file>

<file path=xl/sharedStrings.xml><?xml version="1.0" encoding="utf-8"?>
<sst xmlns="http://schemas.openxmlformats.org/spreadsheetml/2006/main" count="1331" uniqueCount="177">
  <si>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</si>
  <si>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</si>
  <si>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</si>
  <si>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</si>
  <si>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</si>
  <si>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</si>
  <si>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</si>
  <si>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</si>
  <si>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</si>
  <si>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telefono_comercio</t>
  </si>
  <si>
    <t>num_cuenta_comercio</t>
  </si>
  <si>
    <t>nom_representante_legal</t>
  </si>
  <si>
    <t>correo_representante_legal</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</si>
  <si>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</si>
  <si>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</si>
  <si>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</si>
  <si>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</si>
  <si>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</si>
  <si>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</si>
  <si>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</si>
  <si>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</si>
  <si>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</si>
  <si>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</si>
  <si>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</si>
  <si>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</si>
  <si>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</si>
  <si>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</si>
  <si>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</si>
  <si>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</si>
  <si>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</si>
  <si>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</si>
  <si>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</si>
  <si>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</si>
  <si>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</si>
  <si>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</si>
  <si>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</si>
  <si>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</si>
  <si>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</si>
  <si>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</si>
  <si>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</si>
  <si>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</si>
  <si>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</si>
  <si>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</si>
  <si>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</si>
  <si>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</si>
  <si>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Data,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</si>
  <si>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</si>
  <si>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</si>
  <si>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</si>
  <si>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</si>
  <si>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</si>
  <si>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</si>
  <si>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prd-izipay-data-storage-pv</t>
  </si>
  <si>
    <t>bi_riesgo</t>
  </si>
  <si>
    <t>dv_coincidencia_bl</t>
  </si>
  <si>
    <t>Tabla que permite identificar comercios activos sospechosos que podrían estar vinculados con comercios bloqueados en lista negra (blacklist)</t>
  </si>
  <si>
    <t>Incremental</t>
  </si>
  <si>
    <t>Semanal</t>
  </si>
  <si>
    <t>mc2103@izipay.pe</t>
  </si>
  <si>
    <t>N</t>
  </si>
  <si>
    <t>prod</t>
  </si>
  <si>
    <t>BI</t>
  </si>
  <si>
    <t>Investigaciones</t>
  </si>
  <si>
    <t>dv_coincidencia_documento</t>
  </si>
  <si>
    <t>Tabla que permite identificar comercios activos que podrían estar vinculados con comercios sospechosos que se relacionan con otros bloqueados en lista negra (blacklist) por coincidencia de documento afiliado o documento del representante</t>
  </si>
  <si>
    <t>v_coincidencia_bl</t>
  </si>
  <si>
    <t>Vista que permite identificar comercios activos sospechosos que podrían estar vinculados con comercios bloqueados en lista negra (blacklist) con data sensible desencriptada para generar el reporte</t>
  </si>
  <si>
    <t>v_coincidencia_documento</t>
  </si>
  <si>
    <t>Vista que permite identificar comercios activos que podrían estar vinculados con comercios sospechosos que se relacionan con otros bloqueados en lista negra (blacklist) por coincidencia de documento afiliado o documento del representante con data sensible desencriptada para generar el reporte</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</si>
  <si>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</si>
  <si>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</si>
  <si>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</si>
  <si>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</si>
  <si>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</si>
  <si>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</si>
  <si>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</si>
  <si>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</si>
  <si>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</si>
  <si>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</si>
  <si>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</si>
  <si>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</si>
  <si>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</si>
  <si>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</si>
  <si>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</si>
  <si>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</si>
  <si>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</si>
  <si>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</si>
  <si>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</si>
  <si>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</si>
  <si>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</si>
  <si>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</si>
  <si>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</si>
  <si>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</si>
  <si>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</si>
  <si>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</si>
  <si>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</si>
  <si>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</si>
  <si>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cod_comercio</t>
  </si>
  <si>
    <t>Código del comercio activo sospechoso relacionado a un comercio bloqueado po fraude</t>
  </si>
  <si>
    <t>STRING</t>
  </si>
  <si>
    <t>cod_comercio_bl</t>
  </si>
  <si>
    <t>Código del comercio que fue bloqueado por fraude y se encuentra en el blacklist</t>
  </si>
  <si>
    <t>Correo de representante legal del comerco sospechoso</t>
  </si>
  <si>
    <t>BYTES</t>
  </si>
  <si>
    <t>BUCEXA335@GMAIL.COM</t>
  </si>
  <si>
    <t>cod_bloqueo_comercio_bl</t>
  </si>
  <si>
    <t>Código de bloqueo del comercio bloqueado</t>
  </si>
  <si>
    <t>detalle_bloqueo_comercio_bl</t>
  </si>
  <si>
    <t>Detalle del motivo del bloqueo del comercio bloqueado</t>
  </si>
  <si>
    <t>4 SEG COINCIDENCIA BL CUENTA</t>
  </si>
  <si>
    <t>fecha_apertura_comercio</t>
  </si>
  <si>
    <t>Fecha de apertura del comercio sospechoso</t>
  </si>
  <si>
    <t>cod_situacion_comercio</t>
  </si>
  <si>
    <t>Sirve para ver el estado o situación del comercioel comercio sospechoso</t>
  </si>
  <si>
    <t>party_id_izi</t>
  </si>
  <si>
    <t>Código único del número de documento con el cual se afilia el cliente a Izipay asociado al comercio sospechoso</t>
  </si>
  <si>
    <t>party_id_izi_representante</t>
  </si>
  <si>
    <t>Número de documento (dni/carnet de extranjería) afiliado del comercio sospechoso</t>
  </si>
  <si>
    <t>segmento_parque</t>
  </si>
  <si>
    <t>Categoría definida para clientes (DNI/RUC) definida por la gestión comercial del comercio sospechoso</t>
  </si>
  <si>
    <t>Negocio</t>
  </si>
  <si>
    <t>nom_comercio</t>
  </si>
  <si>
    <t>Nombre del comercio sospechoso</t>
  </si>
  <si>
    <t>IZI*INVERSIONES PERU SAC</t>
  </si>
  <si>
    <t>Número de cuenta a pagar del comercio sospechoso</t>
  </si>
  <si>
    <t>Teléfono del comercio sospechoso</t>
  </si>
  <si>
    <t>nom_producto</t>
  </si>
  <si>
    <t>Nombre del producto adquirido por el comercio sospechoso</t>
  </si>
  <si>
    <t>NULL</t>
  </si>
  <si>
    <t>razon_social_dealer</t>
  </si>
  <si>
    <t>Nombre del distribuidor general que registró el comercio sospechoso</t>
  </si>
  <si>
    <t>categoria_coincidencia</t>
  </si>
  <si>
    <t>Categorización de coincidencia detectada (ejemplo: solo teléfono, solo RRLL, NroDoc y RRLL, etc.) Coincidencia entre ambos</t>
  </si>
  <si>
    <t>NroDoc y RRLL,Solo Telefono</t>
  </si>
  <si>
    <t>flag_telefono</t>
  </si>
  <si>
    <t>BOOLEAN</t>
  </si>
  <si>
    <t>true, false</t>
  </si>
  <si>
    <t>flag_correo_representante</t>
  </si>
  <si>
    <t>flag_cuenta_bancaria</t>
  </si>
  <si>
    <t>flag_cliente</t>
  </si>
  <si>
    <t>flag_representante</t>
  </si>
  <si>
    <t>flag_ruc10_dni</t>
  </si>
  <si>
    <t>flag_bloqueo_fraude</t>
  </si>
  <si>
    <t>Flag que indica si el comercio sospechoso fue bloqueado por fraude</t>
  </si>
  <si>
    <t>record_source</t>
  </si>
  <si>
    <t>Dato de Auditoría: Descripción del aplicativo origen de los datos.</t>
  </si>
  <si>
    <t>as400</t>
  </si>
  <si>
    <t>load_date</t>
  </si>
  <si>
    <t>Fecha y hora de inserción del registro en el modelo</t>
  </si>
  <si>
    <t>DATETIME</t>
  </si>
  <si>
    <t>2025-07-04T03:07:39.145385</t>
  </si>
  <si>
    <t>creation_user</t>
  </si>
  <si>
    <t>Usuario que crea el registro en la BD</t>
  </si>
  <si>
    <t>prd-data-operation-migration@prd-izipay-data-operation.iam.gserviceaccount.com</t>
  </si>
  <si>
    <t>AfsVdaFLPrFr8CAsEjUyUO+oyzJBTJ5ciP6YNY+ytkco6f665qNTUcNzVqEp+Ej5WtnrZ7WGnLCKHINIqDAQ6cki0mJu9jjEJaLRdZU9nRY838M=</t>
  </si>
  <si>
    <t>cod_bloqueo_comercio</t>
  </si>
  <si>
    <t>Código de bloqueo del comercio sospechoso</t>
  </si>
  <si>
    <t>detalle_bloqueo_comercio</t>
  </si>
  <si>
    <t>Detalle del motivo del bloqueo del comercio sospechoso</t>
  </si>
  <si>
    <t>Nombre de representante legal del comercio</t>
  </si>
  <si>
    <t>AW26QTgfu73AtRggv+ktS7HuPAYi/bEQ5vGV6qc2gy2oKwchXL2qsaVh4Cfw59ozlFy8U0k6RLcqqlB2lDmw4gNOwJ6Ze7ozrFyqA8XILd4dq/acLbxK5hyNg5ls</t>
  </si>
  <si>
    <t>MERCHANT</t>
  </si>
  <si>
    <t>IZI*CEVICHERIA EL PUERTO MAR</t>
  </si>
  <si>
    <t>AfT8G0ufpfddTZ3S/b8msJZoeVonH0xFqGYiARqIxV2ad72ifQqu0T+Mlx8vDjUiav8Cf+PdzKKWmg==</t>
  </si>
  <si>
    <t>AW4S0EXNwFKtMcZbKYDKsLFyMn2YGcYFnZ1WZdpoZ50N2VBFlhwxkfcp</t>
  </si>
  <si>
    <t>IZI VALIDAR</t>
  </si>
  <si>
    <t>BIO - Outbound</t>
  </si>
  <si>
    <t>num_documento_cliente</t>
  </si>
  <si>
    <t>num_documento_representante</t>
  </si>
  <si>
    <t>Flag que indica si el teléfono del comercio sospechoso coincide con el teléfono de un comercio bloqueado</t>
  </si>
  <si>
    <t>Flag que indica si el correo del representante del comercio sospechoso coincide con el correo del representante de un comercio bloqueado</t>
  </si>
  <si>
    <t>Flag que indica si la cuenta bancaria del comercio sospechoso coincide con la cuenta bancaria de un comercio bloqueado</t>
  </si>
  <si>
    <t>Flag que indica si el documento afiliado del comercio sospechoso coincide con el documento afiliado o del representante de un comercio bloqueado</t>
  </si>
  <si>
    <t>Flag que indica si el documento del representante del comercio sospechoso coincide con el documento afiliado o del representante de un comercio bloqueado</t>
  </si>
  <si>
    <t>Flag que indica si el documento afiliado (RUC 10) del comercio sospechoso coincide con el DNI del documento afiliado o del representante de un comercio bloqueado</t>
  </si>
  <si>
    <t>Heredada de RAW</t>
  </si>
  <si>
    <t>Heredada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</si>
</sst>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s>
  <borders count="8">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s>
  <cellStyleXfs count="2">
    <xf numFmtId="0" fontId="0" fillId="0" borderId="0"/>
    <xf numFmtId="0" fontId="5" fillId="0" borderId="0" applyNumberFormat="0" applyFill="0" applyBorder="0" applyAlignment="0" applyProtection="0"/>
  </cellStyleXfs>
  <cellXfs count="36">
    <xf numFmtId="0" fontId="0" fillId="0" borderId="0" xfId="0"/>
    <xf numFmtId="0" fontId="2" fillId="2" borderId="1" xfId="0" applyFont="1" applyFill="1" applyBorder="1" applyAlignment="1">
      <alignment horizontal="center" wrapText="1"/>
    </xf>
    <xf numFmtId="0" fontId="2" fillId="2" borderId="2" xfId="0" applyFont="1" applyFill="1" applyBorder="1" applyAlignment="1">
      <alignment horizontal="center" wrapText="1"/>
    </xf>
    <xf numFmtId="0" fontId="3" fillId="2" borderId="2" xfId="0" applyFont="1" applyFill="1" applyBorder="1" applyAlignment="1">
      <alignment horizontal="center" wrapText="1"/>
    </xf>
    <xf numFmtId="0" fontId="4" fillId="3" borderId="3" xfId="0" applyFont="1" applyFill="1" applyBorder="1" applyAlignment="1">
      <alignment horizontal="center" vertical="center" wrapText="1"/>
    </xf>
    <xf numFmtId="0" fontId="0" fillId="3" borderId="4" xfId="0" applyFill="1" applyBorder="1" applyAlignment="1">
      <alignment horizontal="center" vertical="center" wrapText="1"/>
    </xf>
    <xf numFmtId="0" fontId="4" fillId="3" borderId="4" xfId="0" applyFont="1" applyFill="1" applyBorder="1" applyAlignment="1">
      <alignment horizontal="center" vertical="center" wrapText="1"/>
    </xf>
    <xf numFmtId="0" fontId="0" fillId="3" borderId="4" xfId="0" applyFill="1" applyBorder="1" applyAlignment="1">
      <alignment vertical="center" wrapText="1"/>
    </xf>
    <xf numFmtId="0" fontId="0" fillId="0" borderId="3" xfId="0" applyBorder="1" applyAlignment="1">
      <alignment horizontal="center" wrapText="1"/>
    </xf>
    <xf numFmtId="0" fontId="0" fillId="0" borderId="4" xfId="0" applyBorder="1" applyAlignment="1">
      <alignment horizontal="center" wrapText="1"/>
    </xf>
    <xf numFmtId="0" fontId="0" fillId="0" borderId="4" xfId="0" applyBorder="1" applyAlignment="1">
      <alignment wrapText="1"/>
    </xf>
    <xf numFmtId="0" fontId="5" fillId="0" borderId="4" xfId="1" applyBorder="1" applyAlignment="1">
      <alignment wrapText="1"/>
    </xf>
    <xf numFmtId="0" fontId="0" fillId="0" borderId="4" xfId="0" applyBorder="1"/>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6" fillId="2" borderId="1"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0" fillId="0" borderId="3" xfId="0" applyBorder="1" applyAlignment="1">
      <alignment horizontal="center" vertical="center"/>
    </xf>
    <xf numFmtId="0" fontId="0" fillId="0" borderId="4" xfId="0" applyBorder="1" applyAlignment="1">
      <alignment horizontal="center" vertical="center"/>
    </xf>
    <xf numFmtId="0" fontId="9" fillId="0" borderId="4" xfId="0" applyFont="1" applyBorder="1" applyAlignment="1">
      <alignment horizontal="center" vertical="center"/>
    </xf>
    <xf numFmtId="0" fontId="0" fillId="0" borderId="4" xfId="0" applyBorder="1" applyAlignment="1">
      <alignment vertical="center"/>
    </xf>
    <xf numFmtId="14" fontId="0" fillId="0" borderId="4" xfId="0" applyNumberFormat="1" applyBorder="1" applyAlignment="1">
      <alignment vertical="center"/>
    </xf>
    <xf numFmtId="0" fontId="10" fillId="0" borderId="0" xfId="0" applyFont="1" applyAlignment="1">
      <alignment vertical="center"/>
    </xf>
    <xf numFmtId="0" fontId="0" fillId="0" borderId="5" xfId="0" applyBorder="1" applyAlignment="1">
      <alignment wrapText="1"/>
    </xf>
    <xf numFmtId="0" fontId="2"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0" fillId="0" borderId="6" xfId="0" applyBorder="1" applyAlignment="1">
      <alignment horizontal="right" wrapText="1"/>
    </xf>
    <xf numFmtId="0" fontId="0" fillId="0" borderId="7" xfId="0" applyBorder="1" applyAlignment="1">
      <alignment wrapText="1"/>
    </xf>
    <xf numFmtId="0" fontId="0" fillId="5" borderId="7" xfId="0" applyFill="1" applyBorder="1" applyAlignment="1">
      <alignment vertical="top" wrapText="1"/>
    </xf>
    <xf numFmtId="0" fontId="13" fillId="5" borderId="7" xfId="0" applyFont="1" applyFill="1" applyBorder="1" applyAlignment="1">
      <alignment horizontal="center" vertical="center" wrapText="1"/>
    </xf>
    <xf numFmtId="0" fontId="0" fillId="4" borderId="4" xfId="0" applyFill="1" applyBorder="1" applyAlignment="1">
      <alignment vertical="center"/>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mailto:mc2103@izipay.pe" TargetMode="External"/><Relationship Id="rId2" Type="http://schemas.openxmlformats.org/officeDocument/2006/relationships/hyperlink" Target="mailto:mc2103@izipay.pe" TargetMode="External"/><Relationship Id="rId1" Type="http://schemas.openxmlformats.org/officeDocument/2006/relationships/hyperlink" Target="mailto:mc2103@izipay.pe" TargetMode="External"/><Relationship Id="rId4" Type="http://schemas.openxmlformats.org/officeDocument/2006/relationships/hyperlink" Target="mailto:mc2103@izipay.p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12"/>
  <sheetViews>
    <sheetView showGridLines="0" workbookViewId="0">
      <selection activeCell="E19" sqref="E19"/>
    </sheetView>
  </sheetViews>
  <sheetFormatPr baseColWidth="10" defaultColWidth="11.42578125" defaultRowHeight="15"/>
  <cols>
    <col min="1" max="1" width="7" customWidth="1"/>
    <col min="2" max="4" width="23.28515625" customWidth="1"/>
    <col min="5" max="5" width="30.85546875" customWidth="1"/>
    <col min="6" max="6" width="32" customWidth="1"/>
    <col min="7" max="7" width="23.28515625" customWidth="1"/>
  </cols>
  <sheetData>
    <row r="1" spans="1:7">
      <c r="A1" s="13"/>
      <c r="B1" s="13"/>
      <c r="C1" s="13"/>
      <c r="D1" s="13"/>
      <c r="E1" s="13"/>
      <c r="F1" s="13"/>
      <c r="G1" s="13"/>
    </row>
    <row r="2" spans="1:7" ht="30">
      <c r="A2" s="26" t="s">
        <v>0</v>
      </c>
      <c r="B2" s="13"/>
      <c r="C2" s="13"/>
      <c r="D2" s="13"/>
      <c r="E2" s="13"/>
      <c r="F2" s="13"/>
      <c r="G2" s="13"/>
    </row>
    <row r="3" spans="1:7">
      <c r="A3" s="35" t="s">
        <v>1</v>
      </c>
      <c r="B3" s="35"/>
      <c r="C3" s="35"/>
      <c r="D3" s="35"/>
      <c r="E3" s="35"/>
      <c r="F3" s="35"/>
      <c r="G3" s="35"/>
    </row>
    <row r="4" spans="1:7" ht="15.75" thickBot="1">
      <c r="A4" s="27"/>
      <c r="B4" s="27"/>
      <c r="C4" s="27"/>
      <c r="D4" s="27"/>
      <c r="E4" s="27"/>
      <c r="F4" s="27"/>
      <c r="G4" s="27"/>
    </row>
    <row r="5" spans="1:7" ht="15.75" thickBot="1">
      <c r="A5" s="28" t="s">
        <v>2</v>
      </c>
      <c r="B5" s="29" t="s">
        <v>3</v>
      </c>
      <c r="C5" s="29" t="s">
        <v>4</v>
      </c>
      <c r="D5" s="29" t="s">
        <v>5</v>
      </c>
      <c r="E5" s="29" t="s">
        <v>6</v>
      </c>
      <c r="F5" s="29" t="s">
        <v>7</v>
      </c>
      <c r="G5" s="29" t="s">
        <v>8</v>
      </c>
    </row>
    <row r="6" spans="1:7" ht="15.75" thickBot="1">
      <c r="A6" s="30">
        <v>1</v>
      </c>
      <c r="B6" s="31" t="s">
        <v>176</v>
      </c>
      <c r="C6" s="31" t="s">
        <v>176</v>
      </c>
      <c r="D6" s="31" t="s">
        <v>176</v>
      </c>
      <c r="E6" s="31" t="s">
        <v>54</v>
      </c>
      <c r="F6" s="32" t="s">
        <v>12</v>
      </c>
      <c r="G6" s="33" t="s">
        <v>175</v>
      </c>
    </row>
    <row r="7" spans="1:7" ht="15.75" thickBot="1">
      <c r="A7" s="30">
        <v>2</v>
      </c>
      <c r="B7" s="31" t="s">
        <v>176</v>
      </c>
      <c r="C7" s="31" t="s">
        <v>176</v>
      </c>
      <c r="D7" s="31" t="s">
        <v>176</v>
      </c>
      <c r="E7" s="31" t="s">
        <v>54</v>
      </c>
      <c r="F7" s="32" t="s">
        <v>10</v>
      </c>
      <c r="G7" s="33" t="s">
        <v>175</v>
      </c>
    </row>
    <row r="8" spans="1:7" ht="15.75" thickBot="1">
      <c r="A8" s="30">
        <v>3</v>
      </c>
      <c r="B8" s="31" t="s">
        <v>176</v>
      </c>
      <c r="C8" s="31" t="s">
        <v>176</v>
      </c>
      <c r="D8" s="31" t="s">
        <v>176</v>
      </c>
      <c r="E8" s="31" t="s">
        <v>54</v>
      </c>
      <c r="F8" s="32" t="s">
        <v>9</v>
      </c>
      <c r="G8" s="33" t="s">
        <v>175</v>
      </c>
    </row>
    <row r="9" spans="1:7" ht="15.75" thickBot="1">
      <c r="A9" s="30">
        <v>4</v>
      </c>
      <c r="B9" s="31" t="s">
        <v>176</v>
      </c>
      <c r="C9" s="31" t="s">
        <v>176</v>
      </c>
      <c r="D9" s="31" t="s">
        <v>176</v>
      </c>
      <c r="E9" s="31" t="s">
        <v>63</v>
      </c>
      <c r="F9" s="32" t="s">
        <v>12</v>
      </c>
      <c r="G9" s="33" t="s">
        <v>175</v>
      </c>
    </row>
    <row r="10" spans="1:7" ht="15.75" thickBot="1">
      <c r="A10" s="30">
        <v>5</v>
      </c>
      <c r="B10" s="31" t="s">
        <v>176</v>
      </c>
      <c r="C10" s="31" t="s">
        <v>176</v>
      </c>
      <c r="D10" s="31" t="s">
        <v>176</v>
      </c>
      <c r="E10" s="31" t="s">
        <v>63</v>
      </c>
      <c r="F10" s="32" t="s">
        <v>11</v>
      </c>
      <c r="G10" s="33" t="s">
        <v>175</v>
      </c>
    </row>
    <row r="11" spans="1:7" ht="15.75" thickBot="1">
      <c r="A11" s="30">
        <v>6</v>
      </c>
      <c r="B11" s="31" t="s">
        <v>176</v>
      </c>
      <c r="C11" s="31" t="s">
        <v>176</v>
      </c>
      <c r="D11" s="31" t="s">
        <v>176</v>
      </c>
      <c r="E11" s="31" t="s">
        <v>63</v>
      </c>
      <c r="F11" s="32" t="s">
        <v>10</v>
      </c>
      <c r="G11" s="33" t="s">
        <v>175</v>
      </c>
    </row>
    <row r="12" spans="1:7" ht="15.75" thickBot="1">
      <c r="A12" s="30">
        <v>7</v>
      </c>
      <c r="B12" s="31" t="s">
        <v>176</v>
      </c>
      <c r="C12" s="31" t="s">
        <v>176</v>
      </c>
      <c r="D12" s="31" t="s">
        <v>176</v>
      </c>
      <c r="E12" s="31" t="s">
        <v>63</v>
      </c>
      <c r="F12" s="32" t="s">
        <v>9</v>
      </c>
      <c r="G12" s="33" t="s">
        <v>175</v>
      </c>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3"/>
  <sheetViews>
    <sheetView showGridLines="0" topLeftCell="F1" workbookViewId="0">
      <selection activeCell="H22" sqref="H22"/>
    </sheetView>
  </sheetViews>
  <sheetFormatPr baseColWidth="10" defaultColWidth="9.140625" defaultRowHeight="15"/>
  <cols>
    <col min="1" max="8" width="33.28515625" customWidth="1"/>
    <col min="9" max="9" width="62.7109375" customWidth="1"/>
    <col min="10" max="20" width="33.28515625" customWidth="1"/>
  </cols>
  <sheetData>
    <row r="1" spans="1:20" ht="15.75" thickBot="1">
      <c r="A1" s="1" t="s">
        <v>13</v>
      </c>
      <c r="B1" s="2" t="s">
        <v>14</v>
      </c>
      <c r="C1" s="2" t="s">
        <v>15</v>
      </c>
      <c r="D1" s="2" t="s">
        <v>16</v>
      </c>
      <c r="E1" s="2" t="s">
        <v>17</v>
      </c>
      <c r="F1" s="3" t="s">
        <v>18</v>
      </c>
      <c r="G1" s="2" t="s">
        <v>19</v>
      </c>
      <c r="H1" s="2" t="s">
        <v>6</v>
      </c>
      <c r="I1" s="2" t="s">
        <v>8</v>
      </c>
      <c r="J1" s="2" t="s">
        <v>20</v>
      </c>
      <c r="K1" s="2" t="s">
        <v>21</v>
      </c>
      <c r="L1" s="2" t="s">
        <v>22</v>
      </c>
      <c r="M1" s="2" t="s">
        <v>23</v>
      </c>
      <c r="N1" s="2" t="s">
        <v>24</v>
      </c>
      <c r="O1" s="2" t="s">
        <v>25</v>
      </c>
      <c r="P1" s="2" t="s">
        <v>26</v>
      </c>
      <c r="Q1" s="2" t="s">
        <v>27</v>
      </c>
      <c r="R1" s="2" t="s">
        <v>28</v>
      </c>
      <c r="S1" s="2" t="s">
        <v>29</v>
      </c>
      <c r="T1" s="2" t="s">
        <v>30</v>
      </c>
    </row>
    <row r="2" spans="1:20" ht="43.5" thickBot="1">
      <c r="A2" s="4" t="s">
        <v>31</v>
      </c>
      <c r="B2" s="6" t="s">
        <v>32</v>
      </c>
      <c r="C2" s="6" t="s">
        <v>33</v>
      </c>
      <c r="D2" s="6" t="s">
        <v>34</v>
      </c>
      <c r="E2" s="6" t="s">
        <v>35</v>
      </c>
      <c r="F2" s="6" t="s">
        <v>36</v>
      </c>
      <c r="G2" s="6" t="s">
        <v>37</v>
      </c>
      <c r="H2" s="6" t="s">
        <v>38</v>
      </c>
      <c r="I2" s="6" t="s">
        <v>39</v>
      </c>
      <c r="J2" s="5" t="s">
        <v>40</v>
      </c>
      <c r="K2" s="5" t="s">
        <v>41</v>
      </c>
      <c r="L2" s="7"/>
      <c r="M2" s="6" t="s">
        <v>42</v>
      </c>
      <c r="N2" s="6" t="s">
        <v>43</v>
      </c>
      <c r="O2" s="6" t="s">
        <v>44</v>
      </c>
      <c r="P2" s="6" t="s">
        <v>45</v>
      </c>
      <c r="Q2" s="6" t="s">
        <v>46</v>
      </c>
      <c r="R2" s="6" t="s">
        <v>47</v>
      </c>
      <c r="S2" s="6" t="s">
        <v>48</v>
      </c>
      <c r="T2" s="6" t="s">
        <v>49</v>
      </c>
    </row>
    <row r="3" spans="1:20" ht="15.75" thickBot="1">
      <c r="A3" s="8" t="s">
        <v>50</v>
      </c>
      <c r="B3" s="9" t="s">
        <v>51</v>
      </c>
      <c r="C3" s="9" t="s">
        <v>51</v>
      </c>
      <c r="D3" s="9" t="s">
        <v>51</v>
      </c>
      <c r="E3" s="9" t="s">
        <v>51</v>
      </c>
      <c r="F3" s="9" t="s">
        <v>52</v>
      </c>
      <c r="G3" s="9" t="s">
        <v>53</v>
      </c>
      <c r="H3" s="11" t="s">
        <v>54</v>
      </c>
      <c r="I3" s="12" t="s">
        <v>55</v>
      </c>
      <c r="J3" s="9" t="s">
        <v>56</v>
      </c>
      <c r="K3" s="9" t="s">
        <v>57</v>
      </c>
      <c r="L3" s="10"/>
      <c r="M3" s="11" t="s">
        <v>58</v>
      </c>
      <c r="N3" s="9" t="s">
        <v>59</v>
      </c>
      <c r="O3" s="9" t="s">
        <v>60</v>
      </c>
      <c r="P3" s="9" t="s">
        <v>61</v>
      </c>
      <c r="Q3" s="9" t="s">
        <v>62</v>
      </c>
      <c r="R3" s="9"/>
      <c r="S3" s="9"/>
      <c r="T3" s="9"/>
    </row>
    <row r="4" spans="1:20" ht="15.75" thickBot="1">
      <c r="A4" s="8" t="s">
        <v>50</v>
      </c>
      <c r="B4" s="9" t="s">
        <v>51</v>
      </c>
      <c r="C4" s="9" t="s">
        <v>51</v>
      </c>
      <c r="D4" s="9" t="s">
        <v>51</v>
      </c>
      <c r="E4" s="9" t="s">
        <v>51</v>
      </c>
      <c r="F4" s="9" t="s">
        <v>52</v>
      </c>
      <c r="G4" s="9" t="s">
        <v>53</v>
      </c>
      <c r="H4" s="11" t="s">
        <v>63</v>
      </c>
      <c r="I4" s="12" t="s">
        <v>64</v>
      </c>
      <c r="J4" s="9" t="s">
        <v>56</v>
      </c>
      <c r="K4" s="9" t="s">
        <v>57</v>
      </c>
      <c r="L4" s="10"/>
      <c r="M4" s="11" t="s">
        <v>58</v>
      </c>
      <c r="N4" s="9" t="s">
        <v>59</v>
      </c>
      <c r="O4" s="9" t="s">
        <v>60</v>
      </c>
      <c r="P4" s="9" t="s">
        <v>61</v>
      </c>
      <c r="Q4" s="9" t="s">
        <v>62</v>
      </c>
      <c r="R4" s="9"/>
      <c r="S4" s="9"/>
      <c r="T4" s="9"/>
    </row>
    <row r="5" spans="1:20" ht="15.75" thickBot="1">
      <c r="A5" s="8" t="s">
        <v>50</v>
      </c>
      <c r="B5" s="9" t="s">
        <v>51</v>
      </c>
      <c r="C5" s="9" t="s">
        <v>51</v>
      </c>
      <c r="D5" s="9" t="s">
        <v>51</v>
      </c>
      <c r="E5" s="9" t="s">
        <v>51</v>
      </c>
      <c r="F5" s="9" t="s">
        <v>52</v>
      </c>
      <c r="G5" s="9" t="s">
        <v>53</v>
      </c>
      <c r="H5" s="11" t="s">
        <v>65</v>
      </c>
      <c r="I5" s="12" t="s">
        <v>66</v>
      </c>
      <c r="J5" s="9" t="s">
        <v>56</v>
      </c>
      <c r="K5" s="9" t="s">
        <v>57</v>
      </c>
      <c r="L5" s="10"/>
      <c r="M5" s="11" t="s">
        <v>58</v>
      </c>
      <c r="N5" s="9" t="s">
        <v>59</v>
      </c>
      <c r="O5" s="9" t="s">
        <v>60</v>
      </c>
      <c r="P5" s="9" t="s">
        <v>61</v>
      </c>
      <c r="Q5" s="9" t="s">
        <v>62</v>
      </c>
      <c r="R5" s="9"/>
      <c r="S5" s="9"/>
      <c r="T5" s="9"/>
    </row>
    <row r="6" spans="1:20" ht="15.75" thickBot="1">
      <c r="A6" s="8" t="s">
        <v>50</v>
      </c>
      <c r="B6" s="9" t="s">
        <v>51</v>
      </c>
      <c r="C6" s="9" t="s">
        <v>51</v>
      </c>
      <c r="D6" s="9" t="s">
        <v>51</v>
      </c>
      <c r="E6" s="9" t="s">
        <v>51</v>
      </c>
      <c r="F6" s="9" t="s">
        <v>52</v>
      </c>
      <c r="G6" s="9" t="s">
        <v>53</v>
      </c>
      <c r="H6" s="11" t="s">
        <v>67</v>
      </c>
      <c r="I6" s="12" t="s">
        <v>68</v>
      </c>
      <c r="J6" s="9" t="s">
        <v>56</v>
      </c>
      <c r="K6" s="9" t="s">
        <v>57</v>
      </c>
      <c r="L6" s="10"/>
      <c r="M6" s="11" t="s">
        <v>58</v>
      </c>
      <c r="N6" s="9" t="s">
        <v>59</v>
      </c>
      <c r="O6" s="9" t="s">
        <v>60</v>
      </c>
      <c r="P6" s="9" t="s">
        <v>61</v>
      </c>
      <c r="Q6" s="9" t="s">
        <v>62</v>
      </c>
      <c r="R6" s="9"/>
      <c r="S6" s="9"/>
      <c r="T6" s="9"/>
    </row>
    <row r="7" spans="1:20">
      <c r="A7" s="13"/>
      <c r="B7" s="13"/>
      <c r="C7" s="13"/>
      <c r="D7" s="13"/>
      <c r="E7" s="13"/>
      <c r="F7" s="13"/>
      <c r="G7" s="13"/>
      <c r="H7" s="13"/>
      <c r="I7" s="13"/>
      <c r="J7" s="13"/>
      <c r="K7" s="13"/>
      <c r="L7" s="13"/>
      <c r="M7" s="13"/>
      <c r="N7" s="13"/>
      <c r="O7" s="13"/>
      <c r="P7" s="13"/>
      <c r="Q7" s="13"/>
      <c r="R7" s="13"/>
      <c r="S7" s="13"/>
      <c r="T7" s="13"/>
    </row>
    <row r="8" spans="1:20">
      <c r="A8" s="14" t="s">
        <v>69</v>
      </c>
      <c r="B8" s="13"/>
      <c r="C8" s="13"/>
      <c r="D8" s="13"/>
      <c r="E8" s="13"/>
      <c r="F8" s="13"/>
      <c r="G8" s="13"/>
      <c r="H8" s="13"/>
      <c r="I8" s="13"/>
      <c r="J8" s="13"/>
      <c r="K8" s="13"/>
      <c r="L8" s="13"/>
      <c r="M8" s="13"/>
      <c r="N8" s="13"/>
      <c r="O8" s="13"/>
      <c r="P8" s="13"/>
      <c r="Q8" s="13"/>
      <c r="R8" s="13"/>
      <c r="S8" s="13"/>
      <c r="T8" s="13"/>
    </row>
    <row r="9" spans="1:20">
      <c r="A9" s="15" t="s">
        <v>70</v>
      </c>
      <c r="B9" s="13"/>
      <c r="C9" s="13"/>
      <c r="D9" s="16"/>
      <c r="E9" s="16"/>
      <c r="F9" s="16"/>
      <c r="G9" s="16"/>
      <c r="H9" s="13"/>
      <c r="I9" s="13"/>
      <c r="J9" s="13"/>
      <c r="K9" s="13"/>
      <c r="L9" s="13"/>
      <c r="M9" s="13"/>
      <c r="N9" s="13"/>
      <c r="O9" s="13"/>
      <c r="P9" s="13"/>
      <c r="Q9" s="13"/>
      <c r="R9" s="13"/>
      <c r="S9" s="13"/>
      <c r="T9" s="13"/>
    </row>
    <row r="10" spans="1:20">
      <c r="A10" s="15" t="s">
        <v>71</v>
      </c>
      <c r="B10" s="13"/>
      <c r="C10" s="13"/>
      <c r="D10" s="16"/>
      <c r="E10" s="16"/>
      <c r="F10" s="16"/>
      <c r="G10" s="16"/>
      <c r="H10" s="13"/>
      <c r="I10" s="13"/>
      <c r="J10" s="13"/>
      <c r="K10" s="13"/>
      <c r="L10" s="13"/>
      <c r="M10" s="13"/>
      <c r="N10" s="13"/>
      <c r="O10" s="13"/>
      <c r="P10" s="13"/>
      <c r="Q10" s="13"/>
      <c r="R10" s="13"/>
      <c r="S10" s="13"/>
      <c r="T10" s="13"/>
    </row>
    <row r="11" spans="1:20">
      <c r="A11" s="15" t="s">
        <v>72</v>
      </c>
      <c r="B11" s="13"/>
      <c r="C11" s="13"/>
      <c r="D11" s="13"/>
      <c r="E11" s="13"/>
      <c r="F11" s="13"/>
      <c r="G11" s="13"/>
      <c r="H11" s="13"/>
      <c r="I11" s="13"/>
      <c r="J11" s="13"/>
      <c r="K11" s="13"/>
      <c r="L11" s="13"/>
      <c r="M11" s="13"/>
      <c r="N11" s="13"/>
      <c r="O11" s="13"/>
      <c r="P11" s="13"/>
      <c r="Q11" s="13"/>
      <c r="R11" s="13"/>
      <c r="S11" s="13"/>
      <c r="T11" s="13"/>
    </row>
    <row r="12" spans="1:20">
      <c r="A12" s="15" t="s">
        <v>73</v>
      </c>
      <c r="B12" s="13"/>
      <c r="C12" s="13"/>
      <c r="D12" s="13"/>
      <c r="E12" s="13"/>
      <c r="F12" s="13"/>
      <c r="G12" s="13"/>
      <c r="H12" s="13"/>
      <c r="I12" s="13"/>
      <c r="J12" s="13"/>
      <c r="K12" s="13"/>
      <c r="L12" s="13"/>
      <c r="M12" s="13"/>
      <c r="N12" s="13"/>
      <c r="O12" s="13"/>
      <c r="P12" s="13"/>
      <c r="Q12" s="13"/>
      <c r="R12" s="13"/>
      <c r="S12" s="13"/>
      <c r="T12" s="13"/>
    </row>
    <row r="13" spans="1:20">
      <c r="A13" s="13"/>
      <c r="B13" s="13"/>
      <c r="C13" s="13"/>
      <c r="D13" s="13"/>
      <c r="E13" s="13"/>
      <c r="F13" s="13"/>
      <c r="G13" s="13"/>
      <c r="H13" s="13"/>
      <c r="I13" s="13"/>
      <c r="J13" s="13"/>
      <c r="K13" s="13"/>
      <c r="L13" s="13"/>
      <c r="M13" s="13"/>
      <c r="N13" s="13"/>
      <c r="O13" s="13"/>
      <c r="P13" s="13"/>
      <c r="Q13" s="13"/>
      <c r="R13" s="13"/>
      <c r="S13" s="13"/>
      <c r="T13" s="13"/>
    </row>
  </sheetData>
  <hyperlinks>
    <hyperlink ref="H3" location="dv_coincidencia_bl!A1" display="dv_coincidencia_bl" xr:uid="{0DB9A7A6-B614-41D9-8932-0970FDE8FB75}"/>
    <hyperlink ref="M3" r:id="rId1" xr:uid="{9E2F8D7A-1BAE-47E1-A09E-247A4E50E148}"/>
    <hyperlink ref="H4" location="dv_coincidencia_documento!A1" display="dv_coincidencia_documento" xr:uid="{DA84F26C-8483-4F59-AD1D-59C0E52EDCE3}"/>
    <hyperlink ref="M4" r:id="rId2" xr:uid="{91FE189A-A5EC-4764-86D6-EDC80A445D85}"/>
    <hyperlink ref="H5" location="v_coincidencia_bl!A1" display="v_coincidencia_bl" xr:uid="{8715EC42-BCB9-4845-8513-5BD416B98D14}"/>
    <hyperlink ref="M5" r:id="rId3" xr:uid="{87B7FEA6-FD04-4DAA-B0B8-195A5707C09D}"/>
    <hyperlink ref="H6" location="v_coincidencia_documento!A1" display="v_coincidencia_documento" xr:uid="{336C166C-6936-4C13-A6EE-5F70185418F7}"/>
    <hyperlink ref="M6" r:id="rId4" xr:uid="{0DE1EBB5-A900-48A1-9800-4EB304C59755}"/>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29"/>
  <sheetViews>
    <sheetView showGridLines="0" workbookViewId="0">
      <selection activeCell="F29" sqref="F3:F29"/>
    </sheetView>
  </sheetViews>
  <sheetFormatPr baseColWidth="10" defaultColWidth="11.42578125" defaultRowHeight="15"/>
  <cols>
    <col min="1" max="1" width="29" customWidth="1"/>
    <col min="2" max="2" width="35.42578125" customWidth="1"/>
    <col min="3" max="4" width="29" customWidth="1"/>
    <col min="5" max="5" width="64.7109375" customWidth="1"/>
    <col min="6" max="6" width="85.7109375" customWidth="1"/>
    <col min="7" max="8" width="29" customWidth="1"/>
    <col min="9" max="9" width="40.5703125" customWidth="1"/>
    <col min="10" max="13" width="29" customWidth="1"/>
  </cols>
  <sheetData>
    <row r="1" spans="1:13" ht="32.25" thickBot="1">
      <c r="A1" s="17" t="s">
        <v>18</v>
      </c>
      <c r="B1" s="18" t="s">
        <v>19</v>
      </c>
      <c r="C1" s="18" t="s">
        <v>6</v>
      </c>
      <c r="D1" s="18" t="s">
        <v>7</v>
      </c>
      <c r="E1" s="18" t="s">
        <v>74</v>
      </c>
      <c r="F1" s="18" t="s">
        <v>75</v>
      </c>
      <c r="G1" s="18" t="s">
        <v>76</v>
      </c>
      <c r="H1" s="18" t="s">
        <v>77</v>
      </c>
      <c r="I1" s="18" t="s">
        <v>78</v>
      </c>
      <c r="J1" s="18" t="s">
        <v>79</v>
      </c>
      <c r="K1" s="18" t="s">
        <v>80</v>
      </c>
      <c r="L1" s="18" t="s">
        <v>81</v>
      </c>
      <c r="M1" s="18" t="s">
        <v>82</v>
      </c>
    </row>
    <row r="2" spans="1:13" ht="48" thickBot="1">
      <c r="A2" s="19" t="s">
        <v>36</v>
      </c>
      <c r="B2" s="20" t="s">
        <v>37</v>
      </c>
      <c r="C2" s="20" t="s">
        <v>83</v>
      </c>
      <c r="D2" s="20" t="s">
        <v>84</v>
      </c>
      <c r="E2" s="20" t="s">
        <v>85</v>
      </c>
      <c r="F2" s="20" t="s">
        <v>86</v>
      </c>
      <c r="G2" s="20" t="s">
        <v>87</v>
      </c>
      <c r="H2" s="20" t="s">
        <v>88</v>
      </c>
      <c r="I2" s="20" t="s">
        <v>89</v>
      </c>
      <c r="J2" s="20" t="s">
        <v>90</v>
      </c>
      <c r="K2" s="20" t="s">
        <v>91</v>
      </c>
      <c r="L2" s="20" t="s">
        <v>92</v>
      </c>
      <c r="M2" s="20" t="s">
        <v>91</v>
      </c>
    </row>
    <row r="3" spans="1:13" ht="15.75" thickBot="1">
      <c r="A3" s="21" t="s">
        <v>52</v>
      </c>
      <c r="B3" s="22" t="s">
        <v>53</v>
      </c>
      <c r="C3" s="23" t="s">
        <v>54</v>
      </c>
      <c r="D3" s="24" t="s">
        <v>93</v>
      </c>
      <c r="E3" s="24" t="str">
        <f>UPPER(F3)</f>
        <v>FECHA DE FOTO/DATOS CONFIGURADA EN EL ETL PARA LA EXTRACCIÓN DE DATOS, CORRESPONDE A APERTURAS DE COMERCIOS HASTA EL CIERRE DEL DÍA ANTERIOR</v>
      </c>
      <c r="F3" s="24" t="s">
        <v>94</v>
      </c>
      <c r="G3" s="22" t="s">
        <v>59</v>
      </c>
      <c r="H3" s="22" t="s">
        <v>95</v>
      </c>
      <c r="I3" s="25">
        <v>45848</v>
      </c>
      <c r="J3" s="22" t="s">
        <v>59</v>
      </c>
      <c r="K3" s="22" t="s">
        <v>59</v>
      </c>
      <c r="L3" s="22" t="s">
        <v>96</v>
      </c>
      <c r="M3" s="22" t="s">
        <v>59</v>
      </c>
    </row>
    <row r="4" spans="1:13" ht="15.75" thickBot="1">
      <c r="A4" s="21" t="s">
        <v>52</v>
      </c>
      <c r="B4" s="22" t="s">
        <v>53</v>
      </c>
      <c r="C4" s="23" t="s">
        <v>54</v>
      </c>
      <c r="D4" s="24" t="s">
        <v>97</v>
      </c>
      <c r="E4" s="24" t="str">
        <f>UPPER(F4)</f>
        <v>CÓDIGO DEL COMERCIO ACTIVO SOSPECHOSO RELACIONADO A UN COMERCIO BLOQUEADO PO FRAUDE</v>
      </c>
      <c r="F4" s="24" t="s">
        <v>98</v>
      </c>
      <c r="G4" s="22" t="s">
        <v>59</v>
      </c>
      <c r="H4" s="22" t="s">
        <v>99</v>
      </c>
      <c r="I4" s="24">
        <v>5775757</v>
      </c>
      <c r="J4" s="22" t="s">
        <v>59</v>
      </c>
      <c r="K4" s="22" t="s">
        <v>96</v>
      </c>
      <c r="L4" s="22" t="s">
        <v>59</v>
      </c>
      <c r="M4" s="22" t="s">
        <v>59</v>
      </c>
    </row>
    <row r="5" spans="1:13" ht="15.75" thickBot="1">
      <c r="A5" s="21" t="s">
        <v>52</v>
      </c>
      <c r="B5" s="22" t="s">
        <v>53</v>
      </c>
      <c r="C5" s="23" t="s">
        <v>54</v>
      </c>
      <c r="D5" s="24" t="s">
        <v>100</v>
      </c>
      <c r="E5" s="24" t="str">
        <f>UPPER(F5)</f>
        <v>CÓDIGO DEL COMERCIO QUE FUE BLOQUEADO POR FRAUDE Y SE ENCUENTRA EN EL BLACKLIST</v>
      </c>
      <c r="F5" s="24" t="s">
        <v>101</v>
      </c>
      <c r="G5" s="22" t="s">
        <v>59</v>
      </c>
      <c r="H5" s="22" t="s">
        <v>99</v>
      </c>
      <c r="I5" s="24">
        <v>5847445</v>
      </c>
      <c r="J5" s="22" t="s">
        <v>59</v>
      </c>
      <c r="K5" s="22" t="s">
        <v>96</v>
      </c>
      <c r="L5" s="22" t="s">
        <v>59</v>
      </c>
      <c r="M5" s="22" t="s">
        <v>59</v>
      </c>
    </row>
    <row r="6" spans="1:13" ht="15.75" thickBot="1">
      <c r="A6" s="21" t="s">
        <v>52</v>
      </c>
      <c r="B6" s="22" t="s">
        <v>53</v>
      </c>
      <c r="C6" s="23" t="s">
        <v>54</v>
      </c>
      <c r="D6" s="34" t="s">
        <v>12</v>
      </c>
      <c r="E6" s="24" t="str">
        <f t="shared" ref="E6:E19" si="0">UPPER(F6)</f>
        <v>CORREO DE REPRESENTANTE LEGAL DEL COMERCO SOSPECHOSO</v>
      </c>
      <c r="F6" s="24" t="s">
        <v>102</v>
      </c>
      <c r="G6" s="22" t="s">
        <v>96</v>
      </c>
      <c r="H6" s="22" t="s">
        <v>103</v>
      </c>
      <c r="I6" s="24" t="s">
        <v>104</v>
      </c>
      <c r="J6" s="22" t="s">
        <v>59</v>
      </c>
      <c r="K6" s="22" t="s">
        <v>96</v>
      </c>
      <c r="L6" s="22" t="s">
        <v>59</v>
      </c>
      <c r="M6" s="22" t="s">
        <v>59</v>
      </c>
    </row>
    <row r="7" spans="1:13" ht="15.75" thickBot="1">
      <c r="A7" s="21" t="s">
        <v>52</v>
      </c>
      <c r="B7" s="22" t="s">
        <v>53</v>
      </c>
      <c r="C7" s="23" t="s">
        <v>54</v>
      </c>
      <c r="D7" s="24" t="s">
        <v>105</v>
      </c>
      <c r="E7" s="24" t="str">
        <f t="shared" si="0"/>
        <v>CÓDIGO DE BLOQUEO DEL COMERCIO BLOQUEADO</v>
      </c>
      <c r="F7" s="24" t="s">
        <v>106</v>
      </c>
      <c r="G7" s="22" t="s">
        <v>59</v>
      </c>
      <c r="H7" s="22" t="s">
        <v>99</v>
      </c>
      <c r="I7" s="24">
        <v>5</v>
      </c>
      <c r="J7" s="22" t="s">
        <v>59</v>
      </c>
      <c r="K7" s="22" t="s">
        <v>96</v>
      </c>
      <c r="L7" s="22" t="s">
        <v>59</v>
      </c>
      <c r="M7" s="22" t="s">
        <v>96</v>
      </c>
    </row>
    <row r="8" spans="1:13" ht="15.75" thickBot="1">
      <c r="A8" s="21" t="s">
        <v>52</v>
      </c>
      <c r="B8" s="22" t="s">
        <v>53</v>
      </c>
      <c r="C8" s="23" t="s">
        <v>54</v>
      </c>
      <c r="D8" s="24" t="s">
        <v>107</v>
      </c>
      <c r="E8" s="24" t="str">
        <f t="shared" si="0"/>
        <v>DETALLE DEL MOTIVO DEL BLOQUEO DEL COMERCIO BLOQUEADO</v>
      </c>
      <c r="F8" s="24" t="s">
        <v>108</v>
      </c>
      <c r="G8" s="22" t="s">
        <v>59</v>
      </c>
      <c r="H8" s="22" t="s">
        <v>99</v>
      </c>
      <c r="I8" s="24" t="s">
        <v>109</v>
      </c>
      <c r="J8" s="22" t="s">
        <v>59</v>
      </c>
      <c r="K8" s="22" t="s">
        <v>96</v>
      </c>
      <c r="L8" s="22" t="s">
        <v>59</v>
      </c>
      <c r="M8" s="22" t="s">
        <v>59</v>
      </c>
    </row>
    <row r="9" spans="1:13" ht="15.75" thickBot="1">
      <c r="A9" s="21" t="s">
        <v>52</v>
      </c>
      <c r="B9" s="22" t="s">
        <v>53</v>
      </c>
      <c r="C9" s="23" t="s">
        <v>54</v>
      </c>
      <c r="D9" s="24" t="s">
        <v>110</v>
      </c>
      <c r="E9" s="24" t="str">
        <f t="shared" si="0"/>
        <v>FECHA DE APERTURA DEL COMERCIO SOSPECHOSO</v>
      </c>
      <c r="F9" s="24" t="s">
        <v>111</v>
      </c>
      <c r="G9" s="22" t="s">
        <v>59</v>
      </c>
      <c r="H9" s="22" t="s">
        <v>95</v>
      </c>
      <c r="I9" s="24">
        <v>45649</v>
      </c>
      <c r="J9" s="22" t="s">
        <v>59</v>
      </c>
      <c r="K9" s="22" t="s">
        <v>96</v>
      </c>
      <c r="L9" s="22" t="s">
        <v>59</v>
      </c>
      <c r="M9" s="22" t="s">
        <v>96</v>
      </c>
    </row>
    <row r="10" spans="1:13" ht="15.75" thickBot="1">
      <c r="A10" s="21" t="s">
        <v>52</v>
      </c>
      <c r="B10" s="22" t="s">
        <v>53</v>
      </c>
      <c r="C10" s="23" t="s">
        <v>54</v>
      </c>
      <c r="D10" s="24" t="s">
        <v>112</v>
      </c>
      <c r="E10" s="24" t="str">
        <f t="shared" si="0"/>
        <v>SIRVE PARA VER EL ESTADO O SITUACIÓN DEL COMERCIOEL COMERCIO SOSPECHOSO</v>
      </c>
      <c r="F10" s="24" t="s">
        <v>113</v>
      </c>
      <c r="G10" s="22" t="s">
        <v>59</v>
      </c>
      <c r="H10" s="22" t="s">
        <v>99</v>
      </c>
      <c r="I10" s="24">
        <v>4</v>
      </c>
      <c r="J10" s="22" t="s">
        <v>59</v>
      </c>
      <c r="K10" s="22" t="s">
        <v>96</v>
      </c>
      <c r="L10" s="22" t="s">
        <v>59</v>
      </c>
      <c r="M10" s="22" t="s">
        <v>59</v>
      </c>
    </row>
    <row r="11" spans="1:13" ht="15.75" thickBot="1">
      <c r="A11" s="21" t="s">
        <v>52</v>
      </c>
      <c r="B11" s="22" t="s">
        <v>53</v>
      </c>
      <c r="C11" s="23" t="s">
        <v>54</v>
      </c>
      <c r="D11" s="34" t="s">
        <v>114</v>
      </c>
      <c r="E11" s="24" t="str">
        <f t="shared" si="0"/>
        <v>CÓDIGO ÚNICO DEL NÚMERO DE DOCUMENTO CON EL CUAL SE AFILIA EL CLIENTE A IZIPAY ASOCIADO AL COMERCIO SOSPECHOSO</v>
      </c>
      <c r="F11" s="24" t="s">
        <v>115</v>
      </c>
      <c r="G11" s="22" t="s">
        <v>96</v>
      </c>
      <c r="H11" s="22" t="s">
        <v>99</v>
      </c>
      <c r="I11" s="24">
        <v>72868885</v>
      </c>
      <c r="J11" s="22" t="s">
        <v>59</v>
      </c>
      <c r="K11" s="22" t="s">
        <v>96</v>
      </c>
      <c r="L11" s="22" t="s">
        <v>59</v>
      </c>
      <c r="M11" s="22" t="s">
        <v>59</v>
      </c>
    </row>
    <row r="12" spans="1:13" ht="15.75" thickBot="1">
      <c r="A12" s="21" t="s">
        <v>52</v>
      </c>
      <c r="B12" s="22" t="s">
        <v>53</v>
      </c>
      <c r="C12" s="23" t="s">
        <v>54</v>
      </c>
      <c r="D12" s="34" t="s">
        <v>116</v>
      </c>
      <c r="E12" s="24" t="str">
        <f t="shared" si="0"/>
        <v>NÚMERO DE DOCUMENTO (DNI/CARNET DE EXTRANJERÍA) AFILIADO DEL COMERCIO SOSPECHOSO</v>
      </c>
      <c r="F12" s="24" t="s">
        <v>117</v>
      </c>
      <c r="G12" s="22" t="s">
        <v>96</v>
      </c>
      <c r="H12" s="22" t="s">
        <v>99</v>
      </c>
      <c r="I12" s="24">
        <v>72868885</v>
      </c>
      <c r="J12" s="22" t="s">
        <v>59</v>
      </c>
      <c r="K12" s="22" t="s">
        <v>96</v>
      </c>
      <c r="L12" s="22" t="s">
        <v>59</v>
      </c>
      <c r="M12" s="22" t="s">
        <v>59</v>
      </c>
    </row>
    <row r="13" spans="1:13" ht="15.75" thickBot="1">
      <c r="A13" s="21" t="s">
        <v>52</v>
      </c>
      <c r="B13" s="22" t="s">
        <v>53</v>
      </c>
      <c r="C13" s="23" t="s">
        <v>54</v>
      </c>
      <c r="D13" s="24" t="s">
        <v>118</v>
      </c>
      <c r="E13" s="24" t="str">
        <f t="shared" si="0"/>
        <v>CATEGORÍA DEFINIDA PARA CLIENTES (DNI/RUC) DEFINIDA POR LA GESTIÓN COMERCIAL DEL COMERCIO SOSPECHOSO</v>
      </c>
      <c r="F13" s="24" t="s">
        <v>119</v>
      </c>
      <c r="G13" s="22" t="s">
        <v>59</v>
      </c>
      <c r="H13" s="22" t="s">
        <v>99</v>
      </c>
      <c r="I13" s="24" t="s">
        <v>120</v>
      </c>
      <c r="J13" s="22" t="s">
        <v>59</v>
      </c>
      <c r="K13" s="22" t="s">
        <v>96</v>
      </c>
      <c r="L13" s="22" t="s">
        <v>59</v>
      </c>
      <c r="M13" s="22" t="s">
        <v>96</v>
      </c>
    </row>
    <row r="14" spans="1:13" ht="15.75" thickBot="1">
      <c r="A14" s="21" t="s">
        <v>52</v>
      </c>
      <c r="B14" s="22" t="s">
        <v>53</v>
      </c>
      <c r="C14" s="23" t="s">
        <v>54</v>
      </c>
      <c r="D14" s="24" t="s">
        <v>121</v>
      </c>
      <c r="E14" s="24" t="str">
        <f t="shared" si="0"/>
        <v>NOMBRE DEL COMERCIO SOSPECHOSO</v>
      </c>
      <c r="F14" s="24" t="s">
        <v>122</v>
      </c>
      <c r="G14" s="22" t="s">
        <v>59</v>
      </c>
      <c r="H14" s="22" t="s">
        <v>99</v>
      </c>
      <c r="I14" s="24" t="s">
        <v>123</v>
      </c>
      <c r="J14" s="22" t="s">
        <v>59</v>
      </c>
      <c r="K14" s="22" t="s">
        <v>96</v>
      </c>
      <c r="L14" s="22" t="s">
        <v>59</v>
      </c>
      <c r="M14" s="22" t="s">
        <v>96</v>
      </c>
    </row>
    <row r="15" spans="1:13" ht="15.75" thickBot="1">
      <c r="A15" s="21" t="s">
        <v>52</v>
      </c>
      <c r="B15" s="22" t="s">
        <v>53</v>
      </c>
      <c r="C15" s="23" t="s">
        <v>54</v>
      </c>
      <c r="D15" s="34" t="s">
        <v>10</v>
      </c>
      <c r="E15" s="24" t="str">
        <f t="shared" si="0"/>
        <v>NÚMERO DE CUENTA A PAGAR DEL COMERCIO SOSPECHOSO</v>
      </c>
      <c r="F15" s="24" t="s">
        <v>124</v>
      </c>
      <c r="G15" s="22" t="s">
        <v>96</v>
      </c>
      <c r="H15" s="22" t="s">
        <v>103</v>
      </c>
      <c r="I15" s="24">
        <v>8983269685460</v>
      </c>
      <c r="J15" s="22" t="s">
        <v>59</v>
      </c>
      <c r="K15" s="22" t="s">
        <v>96</v>
      </c>
      <c r="L15" s="22" t="s">
        <v>59</v>
      </c>
      <c r="M15" s="22" t="s">
        <v>59</v>
      </c>
    </row>
    <row r="16" spans="1:13" ht="15.75" thickBot="1">
      <c r="A16" s="21" t="s">
        <v>52</v>
      </c>
      <c r="B16" s="22" t="s">
        <v>53</v>
      </c>
      <c r="C16" s="23" t="s">
        <v>54</v>
      </c>
      <c r="D16" s="34" t="s">
        <v>9</v>
      </c>
      <c r="E16" s="24" t="str">
        <f t="shared" si="0"/>
        <v>TELÉFONO DEL COMERCIO SOSPECHOSO</v>
      </c>
      <c r="F16" s="24" t="s">
        <v>125</v>
      </c>
      <c r="G16" s="22" t="s">
        <v>96</v>
      </c>
      <c r="H16" s="22" t="s">
        <v>103</v>
      </c>
      <c r="I16" s="24">
        <v>924641025</v>
      </c>
      <c r="J16" s="22" t="s">
        <v>59</v>
      </c>
      <c r="K16" s="22" t="s">
        <v>96</v>
      </c>
      <c r="L16" s="22" t="s">
        <v>59</v>
      </c>
      <c r="M16" s="22" t="s">
        <v>59</v>
      </c>
    </row>
    <row r="17" spans="1:13" ht="15.75" thickBot="1">
      <c r="A17" s="21" t="s">
        <v>52</v>
      </c>
      <c r="B17" s="22" t="s">
        <v>53</v>
      </c>
      <c r="C17" s="23" t="s">
        <v>54</v>
      </c>
      <c r="D17" s="24" t="s">
        <v>126</v>
      </c>
      <c r="E17" s="24" t="str">
        <f t="shared" si="0"/>
        <v>NOMBRE DEL PRODUCTO ADQUIRIDO POR EL COMERCIO SOSPECHOSO</v>
      </c>
      <c r="F17" s="24" t="s">
        <v>127</v>
      </c>
      <c r="G17" s="22" t="s">
        <v>59</v>
      </c>
      <c r="H17" s="22" t="s">
        <v>99</v>
      </c>
      <c r="I17" s="24" t="s">
        <v>128</v>
      </c>
      <c r="J17" s="22" t="s">
        <v>59</v>
      </c>
      <c r="K17" s="22" t="s">
        <v>96</v>
      </c>
      <c r="L17" s="22" t="s">
        <v>59</v>
      </c>
      <c r="M17" s="22" t="s">
        <v>59</v>
      </c>
    </row>
    <row r="18" spans="1:13" ht="15.75" thickBot="1">
      <c r="A18" s="21" t="s">
        <v>52</v>
      </c>
      <c r="B18" s="22" t="s">
        <v>53</v>
      </c>
      <c r="C18" s="23" t="s">
        <v>54</v>
      </c>
      <c r="D18" s="24" t="s">
        <v>129</v>
      </c>
      <c r="E18" s="24" t="str">
        <f t="shared" si="0"/>
        <v>NOMBRE DEL DISTRIBUIDOR GENERAL QUE REGISTRÓ EL COMERCIO SOSPECHOSO</v>
      </c>
      <c r="F18" s="24" t="s">
        <v>130</v>
      </c>
      <c r="G18" s="22" t="s">
        <v>59</v>
      </c>
      <c r="H18" s="22" t="s">
        <v>99</v>
      </c>
      <c r="I18" s="24" t="s">
        <v>50</v>
      </c>
      <c r="J18" s="22" t="s">
        <v>59</v>
      </c>
      <c r="K18" s="22" t="s">
        <v>96</v>
      </c>
      <c r="L18" s="22" t="s">
        <v>59</v>
      </c>
      <c r="M18" s="22" t="s">
        <v>59</v>
      </c>
    </row>
    <row r="19" spans="1:13" ht="15.75" thickBot="1">
      <c r="A19" s="21" t="s">
        <v>52</v>
      </c>
      <c r="B19" s="22" t="s">
        <v>53</v>
      </c>
      <c r="C19" s="23" t="s">
        <v>54</v>
      </c>
      <c r="D19" s="24" t="s">
        <v>131</v>
      </c>
      <c r="E19" s="24" t="str">
        <f t="shared" si="0"/>
        <v>CATEGORIZACIÓN DE COINCIDENCIA DETECTADA (EJEMPLO: SOLO TELÉFONO, SOLO RRLL, NRODOC Y RRLL, ETC.) COINCIDENCIA ENTRE AMBOS</v>
      </c>
      <c r="F19" s="24" t="s">
        <v>132</v>
      </c>
      <c r="G19" s="22" t="s">
        <v>59</v>
      </c>
      <c r="H19" s="22" t="s">
        <v>99</v>
      </c>
      <c r="I19" s="24" t="s">
        <v>133</v>
      </c>
      <c r="J19" s="22" t="s">
        <v>59</v>
      </c>
      <c r="K19" s="22" t="s">
        <v>96</v>
      </c>
      <c r="L19" s="22" t="s">
        <v>59</v>
      </c>
      <c r="M19" s="22" t="s">
        <v>59</v>
      </c>
    </row>
    <row r="20" spans="1:13" ht="15.75" thickBot="1">
      <c r="A20" s="21" t="s">
        <v>52</v>
      </c>
      <c r="B20" s="22" t="s">
        <v>53</v>
      </c>
      <c r="C20" s="23" t="s">
        <v>54</v>
      </c>
      <c r="D20" s="24" t="s">
        <v>134</v>
      </c>
      <c r="E20" s="24" t="str">
        <f t="shared" ref="E20:E26" si="1">UPPER(F20)</f>
        <v>FLAG QUE INDICA SI EL TELÉFONO DEL COMERCIO SOSPECHOSO COINCIDE CON EL TELÉFONO DE UN COMERCIO BLOQUEADO</v>
      </c>
      <c r="F20" s="24" t="s">
        <v>169</v>
      </c>
      <c r="G20" s="22" t="s">
        <v>59</v>
      </c>
      <c r="H20" s="22" t="s">
        <v>135</v>
      </c>
      <c r="I20" s="24" t="s">
        <v>136</v>
      </c>
      <c r="J20" s="22" t="s">
        <v>59</v>
      </c>
      <c r="K20" s="22" t="s">
        <v>96</v>
      </c>
      <c r="L20" s="22" t="s">
        <v>59</v>
      </c>
      <c r="M20" s="22" t="s">
        <v>59</v>
      </c>
    </row>
    <row r="21" spans="1:13" ht="15.75" thickBot="1">
      <c r="A21" s="21" t="s">
        <v>52</v>
      </c>
      <c r="B21" s="22" t="s">
        <v>53</v>
      </c>
      <c r="C21" s="23" t="s">
        <v>54</v>
      </c>
      <c r="D21" s="24" t="s">
        <v>137</v>
      </c>
      <c r="E21" s="24" t="str">
        <f t="shared" si="1"/>
        <v>FLAG QUE INDICA SI EL CORREO DEL REPRESENTANTE DEL COMERCIO SOSPECHOSO COINCIDE CON EL CORREO DEL REPRESENTANTE DE UN COMERCIO BLOQUEADO</v>
      </c>
      <c r="F21" s="24" t="s">
        <v>170</v>
      </c>
      <c r="G21" s="22" t="s">
        <v>59</v>
      </c>
      <c r="H21" s="22" t="s">
        <v>135</v>
      </c>
      <c r="I21" s="24" t="s">
        <v>136</v>
      </c>
      <c r="J21" s="22" t="s">
        <v>59</v>
      </c>
      <c r="K21" s="22" t="s">
        <v>96</v>
      </c>
      <c r="L21" s="22" t="s">
        <v>59</v>
      </c>
      <c r="M21" s="22" t="s">
        <v>59</v>
      </c>
    </row>
    <row r="22" spans="1:13" ht="15.75" thickBot="1">
      <c r="A22" s="21" t="s">
        <v>52</v>
      </c>
      <c r="B22" s="22" t="s">
        <v>53</v>
      </c>
      <c r="C22" s="23" t="s">
        <v>54</v>
      </c>
      <c r="D22" s="24" t="s">
        <v>138</v>
      </c>
      <c r="E22" s="24" t="str">
        <f t="shared" si="1"/>
        <v>FLAG QUE INDICA SI LA CUENTA BANCARIA DEL COMERCIO SOSPECHOSO COINCIDE CON LA CUENTA BANCARIA DE UN COMERCIO BLOQUEADO</v>
      </c>
      <c r="F22" s="24" t="s">
        <v>171</v>
      </c>
      <c r="G22" s="22" t="s">
        <v>59</v>
      </c>
      <c r="H22" s="22" t="s">
        <v>135</v>
      </c>
      <c r="I22" s="24" t="s">
        <v>136</v>
      </c>
      <c r="J22" s="22" t="s">
        <v>59</v>
      </c>
      <c r="K22" s="22" t="s">
        <v>96</v>
      </c>
      <c r="L22" s="22" t="s">
        <v>59</v>
      </c>
      <c r="M22" s="22" t="s">
        <v>59</v>
      </c>
    </row>
    <row r="23" spans="1:13" ht="15.75" thickBot="1">
      <c r="A23" s="21" t="s">
        <v>52</v>
      </c>
      <c r="B23" s="22" t="s">
        <v>53</v>
      </c>
      <c r="C23" s="23" t="s">
        <v>54</v>
      </c>
      <c r="D23" s="24" t="s">
        <v>139</v>
      </c>
      <c r="E23" s="24" t="str">
        <f t="shared" si="1"/>
        <v>FLAG QUE INDICA SI EL DOCUMENTO AFILIADO DEL COMERCIO SOSPECHOSO COINCIDE CON EL DOCUMENTO AFILIADO O DEL REPRESENTANTE DE UN COMERCIO BLOQUEADO</v>
      </c>
      <c r="F23" s="24" t="s">
        <v>172</v>
      </c>
      <c r="G23" s="22" t="s">
        <v>59</v>
      </c>
      <c r="H23" s="22" t="s">
        <v>135</v>
      </c>
      <c r="I23" s="24" t="s">
        <v>136</v>
      </c>
      <c r="J23" s="22" t="s">
        <v>59</v>
      </c>
      <c r="K23" s="22" t="s">
        <v>96</v>
      </c>
      <c r="L23" s="22" t="s">
        <v>59</v>
      </c>
      <c r="M23" s="22" t="s">
        <v>59</v>
      </c>
    </row>
    <row r="24" spans="1:13" ht="15.75" thickBot="1">
      <c r="A24" s="21" t="s">
        <v>52</v>
      </c>
      <c r="B24" s="22" t="s">
        <v>53</v>
      </c>
      <c r="C24" s="23" t="s">
        <v>54</v>
      </c>
      <c r="D24" s="24" t="s">
        <v>140</v>
      </c>
      <c r="E24" s="24" t="str">
        <f t="shared" si="1"/>
        <v>FLAG QUE INDICA SI EL DOCUMENTO DEL REPRESENTANTE DEL COMERCIO SOSPECHOSO COINCIDE CON EL DOCUMENTO AFILIADO O DEL REPRESENTANTE DE UN COMERCIO BLOQUEADO</v>
      </c>
      <c r="F24" s="24" t="s">
        <v>173</v>
      </c>
      <c r="G24" s="22" t="s">
        <v>59</v>
      </c>
      <c r="H24" s="22" t="s">
        <v>135</v>
      </c>
      <c r="I24" s="24" t="s">
        <v>136</v>
      </c>
      <c r="J24" s="22" t="s">
        <v>59</v>
      </c>
      <c r="K24" s="22" t="s">
        <v>96</v>
      </c>
      <c r="L24" s="22" t="s">
        <v>59</v>
      </c>
      <c r="M24" s="22" t="s">
        <v>59</v>
      </c>
    </row>
    <row r="25" spans="1:13" ht="15.75" thickBot="1">
      <c r="A25" s="21" t="s">
        <v>52</v>
      </c>
      <c r="B25" s="22" t="s">
        <v>53</v>
      </c>
      <c r="C25" s="23" t="s">
        <v>54</v>
      </c>
      <c r="D25" s="24" t="s">
        <v>141</v>
      </c>
      <c r="E25" s="24" t="str">
        <f t="shared" si="1"/>
        <v>FLAG QUE INDICA SI EL DOCUMENTO AFILIADO (RUC 10) DEL COMERCIO SOSPECHOSO COINCIDE CON EL DNI DEL DOCUMENTO AFILIADO O DEL REPRESENTANTE DE UN COMERCIO BLOQUEADO</v>
      </c>
      <c r="F25" s="24" t="s">
        <v>174</v>
      </c>
      <c r="G25" s="22" t="s">
        <v>59</v>
      </c>
      <c r="H25" s="22" t="s">
        <v>135</v>
      </c>
      <c r="I25" s="24" t="s">
        <v>136</v>
      </c>
      <c r="J25" s="22" t="s">
        <v>59</v>
      </c>
      <c r="K25" s="22" t="s">
        <v>96</v>
      </c>
      <c r="L25" s="22" t="s">
        <v>59</v>
      </c>
      <c r="M25" s="22" t="s">
        <v>59</v>
      </c>
    </row>
    <row r="26" spans="1:13" ht="15.75" thickBot="1">
      <c r="A26" s="21" t="s">
        <v>52</v>
      </c>
      <c r="B26" s="22" t="s">
        <v>53</v>
      </c>
      <c r="C26" s="23" t="s">
        <v>54</v>
      </c>
      <c r="D26" s="24" t="s">
        <v>142</v>
      </c>
      <c r="E26" s="24" t="str">
        <f t="shared" si="1"/>
        <v>FLAG QUE INDICA SI EL COMERCIO SOSPECHOSO FUE BLOQUEADO POR FRAUDE</v>
      </c>
      <c r="F26" s="24" t="s">
        <v>143</v>
      </c>
      <c r="G26" s="22" t="s">
        <v>59</v>
      </c>
      <c r="H26" s="22" t="s">
        <v>135</v>
      </c>
      <c r="I26" s="24" t="s">
        <v>136</v>
      </c>
      <c r="J26" s="22" t="s">
        <v>59</v>
      </c>
      <c r="K26" s="22" t="s">
        <v>96</v>
      </c>
      <c r="L26" s="22" t="s">
        <v>59</v>
      </c>
      <c r="M26" s="22" t="s">
        <v>59</v>
      </c>
    </row>
    <row r="27" spans="1:13" ht="15.75" thickBot="1">
      <c r="A27" s="21" t="s">
        <v>52</v>
      </c>
      <c r="B27" s="22" t="s">
        <v>53</v>
      </c>
      <c r="C27" s="23" t="s">
        <v>54</v>
      </c>
      <c r="D27" s="24" t="s">
        <v>144</v>
      </c>
      <c r="E27" s="24" t="str">
        <f t="shared" ref="E27:E29" si="2">UPPER(F27)</f>
        <v>DATO DE AUDITORÍA: DESCRIPCIÓN DEL APLICATIVO ORIGEN DE LOS DATOS.</v>
      </c>
      <c r="F27" s="24" t="s">
        <v>145</v>
      </c>
      <c r="G27" s="22" t="s">
        <v>59</v>
      </c>
      <c r="H27" s="22" t="s">
        <v>99</v>
      </c>
      <c r="I27" s="24" t="s">
        <v>146</v>
      </c>
      <c r="J27" s="22" t="s">
        <v>59</v>
      </c>
      <c r="K27" s="22" t="s">
        <v>59</v>
      </c>
      <c r="L27" s="22" t="s">
        <v>59</v>
      </c>
      <c r="M27" s="22" t="s">
        <v>59</v>
      </c>
    </row>
    <row r="28" spans="1:13" ht="15.75" thickBot="1">
      <c r="A28" s="21" t="s">
        <v>52</v>
      </c>
      <c r="B28" s="22" t="s">
        <v>53</v>
      </c>
      <c r="C28" s="23" t="s">
        <v>54</v>
      </c>
      <c r="D28" s="24" t="s">
        <v>147</v>
      </c>
      <c r="E28" s="24" t="str">
        <f t="shared" si="2"/>
        <v>FECHA Y HORA DE INSERCIÓN DEL REGISTRO EN EL MODELO</v>
      </c>
      <c r="F28" s="24" t="s">
        <v>148</v>
      </c>
      <c r="G28" s="22" t="s">
        <v>59</v>
      </c>
      <c r="H28" s="22" t="s">
        <v>149</v>
      </c>
      <c r="I28" s="24" t="s">
        <v>150</v>
      </c>
      <c r="J28" s="22" t="s">
        <v>59</v>
      </c>
      <c r="K28" s="22" t="s">
        <v>59</v>
      </c>
      <c r="L28" s="22" t="s">
        <v>59</v>
      </c>
      <c r="M28" s="22" t="s">
        <v>59</v>
      </c>
    </row>
    <row r="29" spans="1:13" ht="15.75" thickBot="1">
      <c r="A29" s="21" t="s">
        <v>52</v>
      </c>
      <c r="B29" s="22" t="s">
        <v>53</v>
      </c>
      <c r="C29" s="23" t="s">
        <v>54</v>
      </c>
      <c r="D29" s="24" t="s">
        <v>151</v>
      </c>
      <c r="E29" s="24" t="str">
        <f t="shared" si="2"/>
        <v>USUARIO QUE CREA EL REGISTRO EN LA BD</v>
      </c>
      <c r="F29" s="24" t="s">
        <v>152</v>
      </c>
      <c r="G29" s="22" t="s">
        <v>59</v>
      </c>
      <c r="H29" s="22" t="s">
        <v>99</v>
      </c>
      <c r="I29" s="24" t="s">
        <v>153</v>
      </c>
      <c r="J29" s="22" t="s">
        <v>59</v>
      </c>
      <c r="K29" s="22" t="s">
        <v>59</v>
      </c>
      <c r="L29" s="22" t="s">
        <v>59</v>
      </c>
      <c r="M29" s="22" t="s">
        <v>59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24CC1-26D8-4CA7-A8B0-A25498F9276D}">
  <sheetPr codeName="Hoja3"/>
  <dimension ref="A1:M21"/>
  <sheetViews>
    <sheetView showGridLines="0" workbookViewId="0">
      <selection activeCell="D28" sqref="D28"/>
    </sheetView>
  </sheetViews>
  <sheetFormatPr baseColWidth="10" defaultColWidth="11.42578125" defaultRowHeight="15"/>
  <cols>
    <col min="1" max="1" width="29" customWidth="1"/>
    <col min="2" max="2" width="35.42578125" customWidth="1"/>
    <col min="3" max="3" width="30.28515625" customWidth="1"/>
    <col min="4" max="4" width="29" customWidth="1"/>
    <col min="5" max="5" width="85.140625" customWidth="1"/>
    <col min="6" max="6" width="80" customWidth="1"/>
    <col min="7" max="7" width="15.140625" customWidth="1"/>
    <col min="8" max="8" width="29" customWidth="1"/>
    <col min="9" max="9" width="40.5703125" customWidth="1"/>
    <col min="10" max="13" width="29" customWidth="1"/>
  </cols>
  <sheetData>
    <row r="1" spans="1:13" ht="32.25" thickBot="1">
      <c r="A1" s="17" t="s">
        <v>18</v>
      </c>
      <c r="B1" s="18" t="s">
        <v>19</v>
      </c>
      <c r="C1" s="18" t="s">
        <v>6</v>
      </c>
      <c r="D1" s="18" t="s">
        <v>7</v>
      </c>
      <c r="E1" s="18" t="s">
        <v>74</v>
      </c>
      <c r="F1" s="18" t="s">
        <v>75</v>
      </c>
      <c r="G1" s="18" t="s">
        <v>76</v>
      </c>
      <c r="H1" s="18" t="s">
        <v>77</v>
      </c>
      <c r="I1" s="18" t="s">
        <v>78</v>
      </c>
      <c r="J1" s="18" t="s">
        <v>79</v>
      </c>
      <c r="K1" s="18" t="s">
        <v>80</v>
      </c>
      <c r="L1" s="18" t="s">
        <v>81</v>
      </c>
      <c r="M1" s="18" t="s">
        <v>82</v>
      </c>
    </row>
    <row r="2" spans="1:13" ht="48" thickBot="1">
      <c r="A2" s="19" t="s">
        <v>36</v>
      </c>
      <c r="B2" s="20" t="s">
        <v>37</v>
      </c>
      <c r="C2" s="20" t="s">
        <v>83</v>
      </c>
      <c r="D2" s="20" t="s">
        <v>84</v>
      </c>
      <c r="E2" s="20" t="s">
        <v>85</v>
      </c>
      <c r="F2" s="20" t="s">
        <v>86</v>
      </c>
      <c r="G2" s="20" t="s">
        <v>87</v>
      </c>
      <c r="H2" s="20" t="s">
        <v>88</v>
      </c>
      <c r="I2" s="20" t="s">
        <v>89</v>
      </c>
      <c r="J2" s="20" t="s">
        <v>90</v>
      </c>
      <c r="K2" s="20" t="s">
        <v>91</v>
      </c>
      <c r="L2" s="20" t="s">
        <v>92</v>
      </c>
      <c r="M2" s="20" t="s">
        <v>91</v>
      </c>
    </row>
    <row r="3" spans="1:13" ht="15.75" thickBot="1">
      <c r="A3" s="21" t="s">
        <v>52</v>
      </c>
      <c r="B3" s="22" t="s">
        <v>53</v>
      </c>
      <c r="C3" s="23" t="s">
        <v>63</v>
      </c>
      <c r="D3" s="24" t="s">
        <v>93</v>
      </c>
      <c r="E3" s="24" t="str">
        <f>UPPER(F3)</f>
        <v>FECHA DE FOTO/DATOS CONFIGURADA EN EL ETL PARA LA EXTRACCIÓN DE DATOS, CORRESPONDE A APERTURAS DE COMERCIOS HASTA EL CIERRE DEL DÍA ANTERIOR</v>
      </c>
      <c r="F3" s="24" t="s">
        <v>94</v>
      </c>
      <c r="G3" s="22" t="s">
        <v>59</v>
      </c>
      <c r="H3" s="22" t="s">
        <v>95</v>
      </c>
      <c r="I3" s="25">
        <v>45848</v>
      </c>
      <c r="J3" s="22" t="s">
        <v>59</v>
      </c>
      <c r="K3" s="22" t="s">
        <v>59</v>
      </c>
      <c r="L3" s="22" t="s">
        <v>96</v>
      </c>
      <c r="M3" s="22" t="s">
        <v>59</v>
      </c>
    </row>
    <row r="4" spans="1:13" ht="15.75" thickBot="1">
      <c r="A4" s="21" t="s">
        <v>52</v>
      </c>
      <c r="B4" s="22" t="s">
        <v>53</v>
      </c>
      <c r="C4" s="23" t="s">
        <v>63</v>
      </c>
      <c r="D4" s="24" t="s">
        <v>97</v>
      </c>
      <c r="E4" s="24" t="str">
        <f>UPPER(F4)</f>
        <v>CÓDIGO DEL COMERCIO ACTIVO SOSPECHOSO RELACIONADO A UN COMERCIO BLOQUEADO PO FRAUDE</v>
      </c>
      <c r="F4" s="24" t="s">
        <v>98</v>
      </c>
      <c r="G4" s="22" t="s">
        <v>59</v>
      </c>
      <c r="H4" s="22" t="s">
        <v>99</v>
      </c>
      <c r="I4" s="24">
        <v>5875350</v>
      </c>
      <c r="J4" s="22" t="s">
        <v>59</v>
      </c>
      <c r="K4" s="22" t="s">
        <v>96</v>
      </c>
      <c r="L4" s="22" t="s">
        <v>59</v>
      </c>
      <c r="M4" s="22" t="s">
        <v>96</v>
      </c>
    </row>
    <row r="5" spans="1:13" ht="15.75" thickBot="1">
      <c r="A5" s="21" t="s">
        <v>52</v>
      </c>
      <c r="B5" s="22" t="s">
        <v>53</v>
      </c>
      <c r="C5" s="23" t="s">
        <v>63</v>
      </c>
      <c r="D5" s="34" t="s">
        <v>12</v>
      </c>
      <c r="E5" s="24" t="str">
        <f>UPPER(F5)</f>
        <v>CORREO DE REPRESENTANTE LEGAL DEL COMERCO SOSPECHOSO</v>
      </c>
      <c r="F5" s="24" t="s">
        <v>102</v>
      </c>
      <c r="G5" s="22" t="s">
        <v>96</v>
      </c>
      <c r="H5" s="22" t="s">
        <v>103</v>
      </c>
      <c r="I5" s="24" t="s">
        <v>154</v>
      </c>
      <c r="J5" s="22" t="s">
        <v>59</v>
      </c>
      <c r="K5" s="22" t="s">
        <v>96</v>
      </c>
      <c r="L5" s="22" t="s">
        <v>59</v>
      </c>
      <c r="M5" s="22" t="s">
        <v>59</v>
      </c>
    </row>
    <row r="6" spans="1:13" ht="15.75" thickBot="1">
      <c r="A6" s="21" t="s">
        <v>52</v>
      </c>
      <c r="B6" s="22" t="s">
        <v>53</v>
      </c>
      <c r="C6" s="23" t="s">
        <v>63</v>
      </c>
      <c r="D6" s="24" t="s">
        <v>155</v>
      </c>
      <c r="E6" s="24" t="str">
        <f t="shared" ref="E6:E21" si="0">UPPER(F6)</f>
        <v>CÓDIGO DE BLOQUEO DEL COMERCIO SOSPECHOSO</v>
      </c>
      <c r="F6" s="24" t="s">
        <v>156</v>
      </c>
      <c r="G6" s="22" t="s">
        <v>59</v>
      </c>
      <c r="H6" s="22" t="s">
        <v>99</v>
      </c>
      <c r="I6" s="24"/>
      <c r="J6" s="22" t="s">
        <v>59</v>
      </c>
      <c r="K6" s="22" t="s">
        <v>96</v>
      </c>
      <c r="L6" s="22" t="s">
        <v>59</v>
      </c>
      <c r="M6" s="22" t="s">
        <v>59</v>
      </c>
    </row>
    <row r="7" spans="1:13" ht="15.75" thickBot="1">
      <c r="A7" s="21" t="s">
        <v>52</v>
      </c>
      <c r="B7" s="22" t="s">
        <v>53</v>
      </c>
      <c r="C7" s="23" t="s">
        <v>63</v>
      </c>
      <c r="D7" s="24" t="s">
        <v>157</v>
      </c>
      <c r="E7" s="24" t="str">
        <f t="shared" si="0"/>
        <v>DETALLE DEL MOTIVO DEL BLOQUEO DEL COMERCIO SOSPECHOSO</v>
      </c>
      <c r="F7" s="24" t="s">
        <v>158</v>
      </c>
      <c r="G7" s="22" t="s">
        <v>59</v>
      </c>
      <c r="H7" s="22" t="s">
        <v>99</v>
      </c>
      <c r="I7" s="24"/>
      <c r="J7" s="22" t="s">
        <v>59</v>
      </c>
      <c r="K7" s="22" t="s">
        <v>96</v>
      </c>
      <c r="L7" s="22" t="s">
        <v>59</v>
      </c>
      <c r="M7" s="22" t="s">
        <v>59</v>
      </c>
    </row>
    <row r="8" spans="1:13" ht="15.75" thickBot="1">
      <c r="A8" s="21" t="s">
        <v>52</v>
      </c>
      <c r="B8" s="22" t="s">
        <v>53</v>
      </c>
      <c r="C8" s="23" t="s">
        <v>63</v>
      </c>
      <c r="D8" s="24" t="s">
        <v>110</v>
      </c>
      <c r="E8" s="24" t="str">
        <f t="shared" si="0"/>
        <v>FECHA DE APERTURA DEL COMERCIO SOSPECHOSO</v>
      </c>
      <c r="F8" s="24" t="s">
        <v>111</v>
      </c>
      <c r="G8" s="22" t="s">
        <v>59</v>
      </c>
      <c r="H8" s="22" t="s">
        <v>95</v>
      </c>
      <c r="I8" s="24">
        <v>45930</v>
      </c>
      <c r="J8" s="22" t="s">
        <v>59</v>
      </c>
      <c r="K8" s="22" t="s">
        <v>96</v>
      </c>
      <c r="L8" s="22" t="s">
        <v>59</v>
      </c>
      <c r="M8" s="22" t="s">
        <v>59</v>
      </c>
    </row>
    <row r="9" spans="1:13" ht="15.75" thickBot="1">
      <c r="A9" s="21" t="s">
        <v>52</v>
      </c>
      <c r="B9" s="22" t="s">
        <v>53</v>
      </c>
      <c r="C9" s="23" t="s">
        <v>63</v>
      </c>
      <c r="D9" s="24" t="s">
        <v>112</v>
      </c>
      <c r="E9" s="24" t="str">
        <f t="shared" si="0"/>
        <v>SIRVE PARA VER EL ESTADO O SITUACIÓN DEL COMERCIOEL COMERCIO SOSPECHOSO</v>
      </c>
      <c r="F9" s="24" t="s">
        <v>113</v>
      </c>
      <c r="G9" s="22" t="s">
        <v>59</v>
      </c>
      <c r="H9" s="22" t="s">
        <v>99</v>
      </c>
      <c r="I9" s="24">
        <v>7</v>
      </c>
      <c r="J9" s="22" t="s">
        <v>59</v>
      </c>
      <c r="K9" s="22" t="s">
        <v>96</v>
      </c>
      <c r="L9" s="22" t="s">
        <v>59</v>
      </c>
      <c r="M9" s="22" t="s">
        <v>96</v>
      </c>
    </row>
    <row r="10" spans="1:13" ht="15.75" thickBot="1">
      <c r="A10" s="21" t="s">
        <v>52</v>
      </c>
      <c r="B10" s="22" t="s">
        <v>53</v>
      </c>
      <c r="C10" s="23" t="s">
        <v>63</v>
      </c>
      <c r="D10" s="34" t="s">
        <v>114</v>
      </c>
      <c r="E10" s="24" t="str">
        <f t="shared" si="0"/>
        <v>CÓDIGO ÚNICO DEL NÚMERO DE DOCUMENTO CON EL CUAL SE AFILIA EL CLIENTE A IZIPAY ASOCIADO AL COMERCIO SOSPECHOSO</v>
      </c>
      <c r="F10" s="24" t="s">
        <v>115</v>
      </c>
      <c r="G10" s="22" t="s">
        <v>96</v>
      </c>
      <c r="H10" s="22" t="s">
        <v>99</v>
      </c>
      <c r="I10" s="24">
        <v>1.12586877331592E+16</v>
      </c>
      <c r="J10" s="22" t="s">
        <v>59</v>
      </c>
      <c r="K10" s="22" t="s">
        <v>96</v>
      </c>
      <c r="L10" s="22" t="s">
        <v>59</v>
      </c>
      <c r="M10" s="22" t="s">
        <v>59</v>
      </c>
    </row>
    <row r="11" spans="1:13" ht="15.75" thickBot="1">
      <c r="A11" s="21" t="s">
        <v>52</v>
      </c>
      <c r="B11" s="22" t="s">
        <v>53</v>
      </c>
      <c r="C11" s="23" t="s">
        <v>63</v>
      </c>
      <c r="D11" s="34" t="s">
        <v>116</v>
      </c>
      <c r="E11" s="24" t="str">
        <f t="shared" si="0"/>
        <v>NÚMERO DE DOCUMENTO (DNI/CARNET DE EXTRANJERÍA) AFILIADO DEL COMERCIO SOSPECHOSO</v>
      </c>
      <c r="F11" s="24" t="s">
        <v>117</v>
      </c>
      <c r="G11" s="22" t="s">
        <v>96</v>
      </c>
      <c r="H11" s="22" t="s">
        <v>99</v>
      </c>
      <c r="I11" s="24">
        <v>1.80781137331592E+16</v>
      </c>
      <c r="J11" s="22" t="s">
        <v>59</v>
      </c>
      <c r="K11" s="22" t="s">
        <v>96</v>
      </c>
      <c r="L11" s="22" t="s">
        <v>59</v>
      </c>
      <c r="M11" s="22" t="s">
        <v>59</v>
      </c>
    </row>
    <row r="12" spans="1:13" ht="15.75" thickBot="1">
      <c r="A12" s="21" t="s">
        <v>52</v>
      </c>
      <c r="B12" s="22" t="s">
        <v>53</v>
      </c>
      <c r="C12" s="23" t="s">
        <v>63</v>
      </c>
      <c r="D12" s="34" t="s">
        <v>11</v>
      </c>
      <c r="E12" s="24" t="str">
        <f t="shared" si="0"/>
        <v>NOMBRE DE REPRESENTANTE LEGAL DEL COMERCIO</v>
      </c>
      <c r="F12" s="24" t="s">
        <v>159</v>
      </c>
      <c r="G12" s="22" t="s">
        <v>96</v>
      </c>
      <c r="H12" s="22" t="s">
        <v>103</v>
      </c>
      <c r="I12" s="24" t="s">
        <v>160</v>
      </c>
      <c r="J12" s="22" t="s">
        <v>59</v>
      </c>
      <c r="K12" s="22" t="s">
        <v>96</v>
      </c>
      <c r="L12" s="22" t="s">
        <v>59</v>
      </c>
      <c r="M12" s="22" t="s">
        <v>59</v>
      </c>
    </row>
    <row r="13" spans="1:13" ht="15.75" thickBot="1">
      <c r="A13" s="21" t="s">
        <v>52</v>
      </c>
      <c r="B13" s="22" t="s">
        <v>53</v>
      </c>
      <c r="C13" s="23" t="s">
        <v>63</v>
      </c>
      <c r="D13" s="24" t="s">
        <v>118</v>
      </c>
      <c r="E13" s="24" t="str">
        <f t="shared" si="0"/>
        <v>CATEGORÍA DEFINIDA PARA CLIENTES (DNI/RUC) DEFINIDA POR LA GESTIÓN COMERCIAL DEL COMERCIO SOSPECHOSO</v>
      </c>
      <c r="F13" s="24" t="s">
        <v>119</v>
      </c>
      <c r="G13" s="22" t="s">
        <v>59</v>
      </c>
      <c r="H13" s="22" t="s">
        <v>99</v>
      </c>
      <c r="I13" s="24" t="s">
        <v>161</v>
      </c>
      <c r="J13" s="22" t="s">
        <v>59</v>
      </c>
      <c r="K13" s="22" t="s">
        <v>96</v>
      </c>
      <c r="L13" s="22" t="s">
        <v>59</v>
      </c>
      <c r="M13" s="22" t="s">
        <v>96</v>
      </c>
    </row>
    <row r="14" spans="1:13" ht="15.75" thickBot="1">
      <c r="A14" s="21" t="s">
        <v>52</v>
      </c>
      <c r="B14" s="22" t="s">
        <v>53</v>
      </c>
      <c r="C14" s="23" t="s">
        <v>63</v>
      </c>
      <c r="D14" s="24" t="s">
        <v>121</v>
      </c>
      <c r="E14" s="24" t="str">
        <f t="shared" si="0"/>
        <v>NOMBRE DEL COMERCIO SOSPECHOSO</v>
      </c>
      <c r="F14" s="24" t="s">
        <v>122</v>
      </c>
      <c r="G14" s="22" t="s">
        <v>59</v>
      </c>
      <c r="H14" s="22" t="s">
        <v>99</v>
      </c>
      <c r="I14" s="24" t="s">
        <v>162</v>
      </c>
      <c r="J14" s="22" t="s">
        <v>59</v>
      </c>
      <c r="K14" s="22" t="s">
        <v>96</v>
      </c>
      <c r="L14" s="22" t="s">
        <v>59</v>
      </c>
      <c r="M14" s="22" t="s">
        <v>96</v>
      </c>
    </row>
    <row r="15" spans="1:13" ht="15.75" thickBot="1">
      <c r="A15" s="21" t="s">
        <v>52</v>
      </c>
      <c r="B15" s="22" t="s">
        <v>53</v>
      </c>
      <c r="C15" s="23" t="s">
        <v>63</v>
      </c>
      <c r="D15" s="34" t="s">
        <v>10</v>
      </c>
      <c r="E15" s="24" t="str">
        <f t="shared" si="0"/>
        <v>NÚMERO DE CUENTA A PAGAR DEL COMERCIO SOSPECHOSO</v>
      </c>
      <c r="F15" s="24" t="s">
        <v>124</v>
      </c>
      <c r="G15" s="22" t="s">
        <v>96</v>
      </c>
      <c r="H15" s="22" t="s">
        <v>103</v>
      </c>
      <c r="I15" s="24" t="s">
        <v>163</v>
      </c>
      <c r="J15" s="22" t="s">
        <v>59</v>
      </c>
      <c r="K15" s="22" t="s">
        <v>96</v>
      </c>
      <c r="L15" s="22" t="s">
        <v>59</v>
      </c>
      <c r="M15" s="22" t="s">
        <v>59</v>
      </c>
    </row>
    <row r="16" spans="1:13" ht="15.75" thickBot="1">
      <c r="A16" s="21" t="s">
        <v>52</v>
      </c>
      <c r="B16" s="22" t="s">
        <v>53</v>
      </c>
      <c r="C16" s="23" t="s">
        <v>63</v>
      </c>
      <c r="D16" s="34" t="s">
        <v>9</v>
      </c>
      <c r="E16" s="24" t="str">
        <f t="shared" si="0"/>
        <v>TELÉFONO DEL COMERCIO SOSPECHOSO</v>
      </c>
      <c r="F16" s="24" t="s">
        <v>125</v>
      </c>
      <c r="G16" s="22" t="s">
        <v>96</v>
      </c>
      <c r="H16" s="22" t="s">
        <v>103</v>
      </c>
      <c r="I16" s="24" t="s">
        <v>164</v>
      </c>
      <c r="J16" s="22" t="s">
        <v>59</v>
      </c>
      <c r="K16" s="22" t="s">
        <v>96</v>
      </c>
      <c r="L16" s="22" t="s">
        <v>59</v>
      </c>
      <c r="M16" s="22" t="s">
        <v>59</v>
      </c>
    </row>
    <row r="17" spans="1:13" ht="15.75" thickBot="1">
      <c r="A17" s="21" t="s">
        <v>52</v>
      </c>
      <c r="B17" s="22" t="s">
        <v>53</v>
      </c>
      <c r="C17" s="23" t="s">
        <v>63</v>
      </c>
      <c r="D17" s="24" t="s">
        <v>126</v>
      </c>
      <c r="E17" s="24" t="str">
        <f t="shared" si="0"/>
        <v>NOMBRE DEL PRODUCTO ADQUIRIDO POR EL COMERCIO SOSPECHOSO</v>
      </c>
      <c r="F17" s="24" t="s">
        <v>127</v>
      </c>
      <c r="G17" s="22" t="s">
        <v>59</v>
      </c>
      <c r="H17" s="22" t="s">
        <v>99</v>
      </c>
      <c r="I17" s="24" t="s">
        <v>165</v>
      </c>
      <c r="J17" s="22" t="s">
        <v>59</v>
      </c>
      <c r="K17" s="22" t="s">
        <v>96</v>
      </c>
      <c r="L17" s="22" t="s">
        <v>59</v>
      </c>
      <c r="M17" s="22" t="s">
        <v>59</v>
      </c>
    </row>
    <row r="18" spans="1:13" ht="15.75" thickBot="1">
      <c r="A18" s="21" t="s">
        <v>52</v>
      </c>
      <c r="B18" s="22" t="s">
        <v>53</v>
      </c>
      <c r="C18" s="23" t="s">
        <v>63</v>
      </c>
      <c r="D18" s="24" t="s">
        <v>129</v>
      </c>
      <c r="E18" s="24" t="str">
        <f t="shared" si="0"/>
        <v>NOMBRE DEL DISTRIBUIDOR GENERAL QUE REGISTRÓ EL COMERCIO SOSPECHOSO</v>
      </c>
      <c r="F18" s="24" t="s">
        <v>130</v>
      </c>
      <c r="G18" s="22" t="s">
        <v>59</v>
      </c>
      <c r="H18" s="22" t="s">
        <v>99</v>
      </c>
      <c r="I18" s="24" t="s">
        <v>166</v>
      </c>
      <c r="J18" s="22" t="s">
        <v>59</v>
      </c>
      <c r="K18" s="22" t="s">
        <v>96</v>
      </c>
      <c r="L18" s="22" t="s">
        <v>59</v>
      </c>
      <c r="M18" s="22" t="s">
        <v>59</v>
      </c>
    </row>
    <row r="19" spans="1:13" ht="15.75" thickBot="1">
      <c r="A19" s="21" t="s">
        <v>52</v>
      </c>
      <c r="B19" s="22" t="s">
        <v>53</v>
      </c>
      <c r="C19" s="23" t="s">
        <v>63</v>
      </c>
      <c r="D19" s="24" t="s">
        <v>144</v>
      </c>
      <c r="E19" s="24" t="str">
        <f t="shared" si="0"/>
        <v>DATO DE AUDITORÍA: DESCRIPCIÓN DEL APLICATIVO ORIGEN DE LOS DATOS.</v>
      </c>
      <c r="F19" s="24" t="s">
        <v>145</v>
      </c>
      <c r="G19" s="22" t="s">
        <v>59</v>
      </c>
      <c r="H19" s="22" t="s">
        <v>99</v>
      </c>
      <c r="I19" s="24" t="s">
        <v>146</v>
      </c>
      <c r="J19" s="22" t="s">
        <v>59</v>
      </c>
      <c r="K19" s="22" t="s">
        <v>59</v>
      </c>
      <c r="L19" s="22" t="s">
        <v>59</v>
      </c>
      <c r="M19" s="22" t="s">
        <v>59</v>
      </c>
    </row>
    <row r="20" spans="1:13" ht="15.75" thickBot="1">
      <c r="A20" s="21" t="s">
        <v>52</v>
      </c>
      <c r="B20" s="22" t="s">
        <v>53</v>
      </c>
      <c r="C20" s="23" t="s">
        <v>63</v>
      </c>
      <c r="D20" s="24" t="s">
        <v>147</v>
      </c>
      <c r="E20" s="24" t="str">
        <f t="shared" si="0"/>
        <v>FECHA Y HORA DE INSERCIÓN DEL REGISTRO EN EL MODELO</v>
      </c>
      <c r="F20" s="24" t="s">
        <v>148</v>
      </c>
      <c r="G20" s="22" t="s">
        <v>59</v>
      </c>
      <c r="H20" s="22" t="s">
        <v>149</v>
      </c>
      <c r="I20" s="24" t="s">
        <v>150</v>
      </c>
      <c r="J20" s="22" t="s">
        <v>59</v>
      </c>
      <c r="K20" s="22" t="s">
        <v>59</v>
      </c>
      <c r="L20" s="22" t="s">
        <v>59</v>
      </c>
      <c r="M20" s="22" t="s">
        <v>59</v>
      </c>
    </row>
    <row r="21" spans="1:13" ht="15.75" thickBot="1">
      <c r="A21" s="21" t="s">
        <v>52</v>
      </c>
      <c r="B21" s="22" t="s">
        <v>53</v>
      </c>
      <c r="C21" s="23" t="s">
        <v>63</v>
      </c>
      <c r="D21" s="24" t="s">
        <v>151</v>
      </c>
      <c r="E21" s="24" t="str">
        <f t="shared" si="0"/>
        <v>USUARIO QUE CREA EL REGISTRO EN LA BD</v>
      </c>
      <c r="F21" s="24" t="s">
        <v>152</v>
      </c>
      <c r="G21" s="22" t="s">
        <v>59</v>
      </c>
      <c r="H21" s="22" t="s">
        <v>99</v>
      </c>
      <c r="I21" s="24" t="s">
        <v>153</v>
      </c>
      <c r="J21" s="22" t="s">
        <v>59</v>
      </c>
      <c r="K21" s="22" t="s">
        <v>59</v>
      </c>
      <c r="L21" s="22" t="s">
        <v>59</v>
      </c>
      <c r="M21" s="22" t="s">
        <v>59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22CC-E61D-4CDE-97EA-AC0CF26B400E}">
  <sheetPr codeName="Hoja4"/>
  <dimension ref="A1:M29"/>
  <sheetViews>
    <sheetView showGridLines="0" tabSelected="1" workbookViewId="0">
      <selection activeCell="F30" sqref="F30"/>
    </sheetView>
  </sheetViews>
  <sheetFormatPr baseColWidth="10" defaultColWidth="11.42578125" defaultRowHeight="15"/>
  <cols>
    <col min="1" max="1" width="29" customWidth="1"/>
    <col min="2" max="2" width="35.42578125" customWidth="1"/>
    <col min="3" max="3" width="29" customWidth="1"/>
    <col min="4" max="4" width="34.140625" customWidth="1"/>
    <col min="5" max="5" width="85.140625" customWidth="1"/>
    <col min="6" max="6" width="80" customWidth="1"/>
    <col min="7" max="8" width="29" customWidth="1"/>
    <col min="9" max="9" width="40.5703125" customWidth="1"/>
    <col min="10" max="13" width="29" customWidth="1"/>
  </cols>
  <sheetData>
    <row r="1" spans="1:13" ht="32.25" thickBot="1">
      <c r="A1" s="17" t="s">
        <v>18</v>
      </c>
      <c r="B1" s="18" t="s">
        <v>19</v>
      </c>
      <c r="C1" s="18" t="s">
        <v>6</v>
      </c>
      <c r="D1" s="18" t="s">
        <v>7</v>
      </c>
      <c r="E1" s="18" t="s">
        <v>74</v>
      </c>
      <c r="F1" s="18" t="s">
        <v>75</v>
      </c>
      <c r="G1" s="18" t="s">
        <v>76</v>
      </c>
      <c r="H1" s="18" t="s">
        <v>77</v>
      </c>
      <c r="I1" s="18" t="s">
        <v>78</v>
      </c>
      <c r="J1" s="18" t="s">
        <v>79</v>
      </c>
      <c r="K1" s="18" t="s">
        <v>80</v>
      </c>
      <c r="L1" s="18" t="s">
        <v>81</v>
      </c>
      <c r="M1" s="18" t="s">
        <v>82</v>
      </c>
    </row>
    <row r="2" spans="1:13" ht="48" thickBot="1">
      <c r="A2" s="19" t="s">
        <v>36</v>
      </c>
      <c r="B2" s="20" t="s">
        <v>37</v>
      </c>
      <c r="C2" s="20" t="s">
        <v>83</v>
      </c>
      <c r="D2" s="20" t="s">
        <v>84</v>
      </c>
      <c r="E2" s="20" t="s">
        <v>85</v>
      </c>
      <c r="F2" s="20" t="s">
        <v>86</v>
      </c>
      <c r="G2" s="20" t="s">
        <v>87</v>
      </c>
      <c r="H2" s="20" t="s">
        <v>88</v>
      </c>
      <c r="I2" s="20" t="s">
        <v>89</v>
      </c>
      <c r="J2" s="20" t="s">
        <v>90</v>
      </c>
      <c r="K2" s="20" t="s">
        <v>91</v>
      </c>
      <c r="L2" s="20" t="s">
        <v>92</v>
      </c>
      <c r="M2" s="20" t="s">
        <v>91</v>
      </c>
    </row>
    <row r="3" spans="1:13" ht="15.75" thickBot="1">
      <c r="A3" s="21" t="s">
        <v>52</v>
      </c>
      <c r="B3" s="22" t="s">
        <v>53</v>
      </c>
      <c r="C3" s="23" t="s">
        <v>65</v>
      </c>
      <c r="D3" s="24" t="s">
        <v>93</v>
      </c>
      <c r="E3" s="24" t="str">
        <f>UPPER(F3)</f>
        <v>FECHA DE FOTO/DATOS CONFIGURADA EN EL ETL PARA LA EXTRACCIÓN DE DATOS, CORRESPONDE A APERTURAS DE COMERCIOS HASTA EL CIERRE DEL DÍA ANTERIOR</v>
      </c>
      <c r="F3" s="24" t="s">
        <v>94</v>
      </c>
      <c r="G3" s="22" t="s">
        <v>59</v>
      </c>
      <c r="H3" s="22" t="s">
        <v>95</v>
      </c>
      <c r="I3" s="25">
        <v>45848</v>
      </c>
      <c r="J3" s="22" t="s">
        <v>59</v>
      </c>
      <c r="K3" s="22" t="s">
        <v>59</v>
      </c>
      <c r="L3" s="22" t="s">
        <v>96</v>
      </c>
      <c r="M3" s="22" t="s">
        <v>59</v>
      </c>
    </row>
    <row r="4" spans="1:13" ht="15.75" thickBot="1">
      <c r="A4" s="21" t="s">
        <v>52</v>
      </c>
      <c r="B4" s="22" t="s">
        <v>53</v>
      </c>
      <c r="C4" s="23" t="s">
        <v>65</v>
      </c>
      <c r="D4" s="24" t="s">
        <v>97</v>
      </c>
      <c r="E4" s="24" t="str">
        <f>UPPER(F4)</f>
        <v>CÓDIGO DEL COMERCIO ACTIVO SOSPECHOSO RELACIONADO A UN COMERCIO BLOQUEADO PO FRAUDE</v>
      </c>
      <c r="F4" s="24" t="s">
        <v>98</v>
      </c>
      <c r="G4" s="22" t="s">
        <v>59</v>
      </c>
      <c r="H4" s="22" t="s">
        <v>99</v>
      </c>
      <c r="I4" s="24">
        <v>5775757</v>
      </c>
      <c r="J4" s="22" t="s">
        <v>59</v>
      </c>
      <c r="K4" s="22" t="s">
        <v>96</v>
      </c>
      <c r="L4" s="22" t="s">
        <v>59</v>
      </c>
      <c r="M4" s="22" t="s">
        <v>59</v>
      </c>
    </row>
    <row r="5" spans="1:13" ht="15.75" thickBot="1">
      <c r="A5" s="21" t="s">
        <v>52</v>
      </c>
      <c r="B5" s="22" t="s">
        <v>53</v>
      </c>
      <c r="C5" s="23" t="s">
        <v>65</v>
      </c>
      <c r="D5" s="24" t="s">
        <v>100</v>
      </c>
      <c r="E5" s="24" t="str">
        <f>UPPER(F5)</f>
        <v>CÓDIGO DEL COMERCIO QUE FUE BLOQUEADO POR FRAUDE Y SE ENCUENTRA EN EL BLACKLIST</v>
      </c>
      <c r="F5" s="24" t="s">
        <v>101</v>
      </c>
      <c r="G5" s="22" t="s">
        <v>59</v>
      </c>
      <c r="H5" s="22" t="s">
        <v>99</v>
      </c>
      <c r="I5" s="24">
        <v>5847445</v>
      </c>
      <c r="J5" s="22" t="s">
        <v>59</v>
      </c>
      <c r="K5" s="22" t="s">
        <v>96</v>
      </c>
      <c r="L5" s="22" t="s">
        <v>59</v>
      </c>
      <c r="M5" s="22" t="s">
        <v>59</v>
      </c>
    </row>
    <row r="6" spans="1:13" ht="15.75" thickBot="1">
      <c r="A6" s="21" t="s">
        <v>52</v>
      </c>
      <c r="B6" s="22" t="s">
        <v>53</v>
      </c>
      <c r="C6" s="23" t="s">
        <v>65</v>
      </c>
      <c r="D6" s="34" t="s">
        <v>12</v>
      </c>
      <c r="E6" s="24" t="str">
        <f t="shared" ref="E6:E29" si="0">UPPER(F6)</f>
        <v>CORREO DE REPRESENTANTE LEGAL DEL COMERCO SOSPECHOSO</v>
      </c>
      <c r="F6" s="24" t="s">
        <v>102</v>
      </c>
      <c r="G6" s="22" t="s">
        <v>96</v>
      </c>
      <c r="H6" s="22" t="s">
        <v>103</v>
      </c>
      <c r="I6" s="24" t="s">
        <v>104</v>
      </c>
      <c r="J6" s="22" t="s">
        <v>59</v>
      </c>
      <c r="K6" s="22" t="s">
        <v>96</v>
      </c>
      <c r="L6" s="22" t="s">
        <v>59</v>
      </c>
      <c r="M6" s="22" t="s">
        <v>59</v>
      </c>
    </row>
    <row r="7" spans="1:13" ht="15.75" thickBot="1">
      <c r="A7" s="21" t="s">
        <v>52</v>
      </c>
      <c r="B7" s="22" t="s">
        <v>53</v>
      </c>
      <c r="C7" s="23" t="s">
        <v>65</v>
      </c>
      <c r="D7" s="24" t="s">
        <v>105</v>
      </c>
      <c r="E7" s="24" t="str">
        <f t="shared" si="0"/>
        <v>CÓDIGO DE BLOQUEO DEL COMERCIO BLOQUEADO</v>
      </c>
      <c r="F7" s="24" t="s">
        <v>106</v>
      </c>
      <c r="G7" s="22" t="s">
        <v>59</v>
      </c>
      <c r="H7" s="22" t="s">
        <v>99</v>
      </c>
      <c r="I7" s="24">
        <v>5</v>
      </c>
      <c r="J7" s="22" t="s">
        <v>59</v>
      </c>
      <c r="K7" s="22" t="s">
        <v>96</v>
      </c>
      <c r="L7" s="22" t="s">
        <v>59</v>
      </c>
      <c r="M7" s="22" t="s">
        <v>96</v>
      </c>
    </row>
    <row r="8" spans="1:13" ht="15.75" thickBot="1">
      <c r="A8" s="21" t="s">
        <v>52</v>
      </c>
      <c r="B8" s="22" t="s">
        <v>53</v>
      </c>
      <c r="C8" s="23" t="s">
        <v>65</v>
      </c>
      <c r="D8" s="24" t="s">
        <v>107</v>
      </c>
      <c r="E8" s="24" t="str">
        <f t="shared" si="0"/>
        <v>DETALLE DEL MOTIVO DEL BLOQUEO DEL COMERCIO BLOQUEADO</v>
      </c>
      <c r="F8" s="24" t="s">
        <v>108</v>
      </c>
      <c r="G8" s="22" t="s">
        <v>59</v>
      </c>
      <c r="H8" s="22" t="s">
        <v>99</v>
      </c>
      <c r="I8" s="24" t="s">
        <v>109</v>
      </c>
      <c r="J8" s="22" t="s">
        <v>59</v>
      </c>
      <c r="K8" s="22" t="s">
        <v>96</v>
      </c>
      <c r="L8" s="22" t="s">
        <v>59</v>
      </c>
      <c r="M8" s="22" t="s">
        <v>59</v>
      </c>
    </row>
    <row r="9" spans="1:13" ht="15.75" thickBot="1">
      <c r="A9" s="21" t="s">
        <v>52</v>
      </c>
      <c r="B9" s="22" t="s">
        <v>53</v>
      </c>
      <c r="C9" s="23" t="s">
        <v>65</v>
      </c>
      <c r="D9" s="24" t="s">
        <v>110</v>
      </c>
      <c r="E9" s="24" t="str">
        <f t="shared" si="0"/>
        <v>FECHA DE APERTURA DEL COMERCIO SOSPECHOSO</v>
      </c>
      <c r="F9" s="24" t="s">
        <v>111</v>
      </c>
      <c r="G9" s="22" t="s">
        <v>59</v>
      </c>
      <c r="H9" s="22" t="s">
        <v>95</v>
      </c>
      <c r="I9" s="24">
        <v>45649</v>
      </c>
      <c r="J9" s="22" t="s">
        <v>59</v>
      </c>
      <c r="K9" s="22" t="s">
        <v>96</v>
      </c>
      <c r="L9" s="22" t="s">
        <v>59</v>
      </c>
      <c r="M9" s="22" t="s">
        <v>96</v>
      </c>
    </row>
    <row r="10" spans="1:13" ht="15.75" thickBot="1">
      <c r="A10" s="21" t="s">
        <v>52</v>
      </c>
      <c r="B10" s="22" t="s">
        <v>53</v>
      </c>
      <c r="C10" s="23" t="s">
        <v>65</v>
      </c>
      <c r="D10" s="24" t="s">
        <v>112</v>
      </c>
      <c r="E10" s="24" t="str">
        <f t="shared" si="0"/>
        <v>SIRVE PARA VER EL ESTADO O SITUACIÓN DEL COMERCIOEL COMERCIO SOSPECHOSO</v>
      </c>
      <c r="F10" s="24" t="s">
        <v>113</v>
      </c>
      <c r="G10" s="22" t="s">
        <v>59</v>
      </c>
      <c r="H10" s="22" t="s">
        <v>99</v>
      </c>
      <c r="I10" s="24">
        <v>4</v>
      </c>
      <c r="J10" s="22" t="s">
        <v>59</v>
      </c>
      <c r="K10" s="22" t="s">
        <v>96</v>
      </c>
      <c r="L10" s="22" t="s">
        <v>59</v>
      </c>
      <c r="M10" s="22" t="s">
        <v>59</v>
      </c>
    </row>
    <row r="11" spans="1:13" ht="15.75" thickBot="1">
      <c r="A11" s="21" t="s">
        <v>52</v>
      </c>
      <c r="B11" s="22" t="s">
        <v>53</v>
      </c>
      <c r="C11" s="23" t="s">
        <v>65</v>
      </c>
      <c r="D11" s="34" t="s">
        <v>167</v>
      </c>
      <c r="E11" s="24" t="str">
        <f t="shared" si="0"/>
        <v>CÓDIGO ÚNICO DEL NÚMERO DE DOCUMENTO CON EL CUAL SE AFILIA EL CLIENTE A IZIPAY ASOCIADO AL COMERCIO SOSPECHOSO</v>
      </c>
      <c r="F11" s="24" t="s">
        <v>115</v>
      </c>
      <c r="G11" s="22" t="s">
        <v>96</v>
      </c>
      <c r="H11" s="22" t="s">
        <v>99</v>
      </c>
      <c r="I11" s="24">
        <v>72868885</v>
      </c>
      <c r="J11" s="22" t="s">
        <v>59</v>
      </c>
      <c r="K11" s="22" t="s">
        <v>96</v>
      </c>
      <c r="L11" s="22" t="s">
        <v>59</v>
      </c>
      <c r="M11" s="22" t="s">
        <v>59</v>
      </c>
    </row>
    <row r="12" spans="1:13" ht="15.75" thickBot="1">
      <c r="A12" s="21" t="s">
        <v>52</v>
      </c>
      <c r="B12" s="22" t="s">
        <v>53</v>
      </c>
      <c r="C12" s="23" t="s">
        <v>65</v>
      </c>
      <c r="D12" s="34" t="s">
        <v>168</v>
      </c>
      <c r="E12" s="24" t="str">
        <f t="shared" si="0"/>
        <v>NÚMERO DE DOCUMENTO (DNI/CARNET DE EXTRANJERÍA) AFILIADO DEL COMERCIO SOSPECHOSO</v>
      </c>
      <c r="F12" s="24" t="s">
        <v>117</v>
      </c>
      <c r="G12" s="22" t="s">
        <v>96</v>
      </c>
      <c r="H12" s="22" t="s">
        <v>99</v>
      </c>
      <c r="I12" s="24">
        <v>72868885</v>
      </c>
      <c r="J12" s="22" t="s">
        <v>59</v>
      </c>
      <c r="K12" s="22" t="s">
        <v>96</v>
      </c>
      <c r="L12" s="22" t="s">
        <v>59</v>
      </c>
      <c r="M12" s="22" t="s">
        <v>59</v>
      </c>
    </row>
    <row r="13" spans="1:13" ht="15.75" thickBot="1">
      <c r="A13" s="21" t="s">
        <v>52</v>
      </c>
      <c r="B13" s="22" t="s">
        <v>53</v>
      </c>
      <c r="C13" s="23" t="s">
        <v>65</v>
      </c>
      <c r="D13" s="24" t="s">
        <v>118</v>
      </c>
      <c r="E13" s="24" t="str">
        <f t="shared" si="0"/>
        <v>CATEGORÍA DEFINIDA PARA CLIENTES (DNI/RUC) DEFINIDA POR LA GESTIÓN COMERCIAL DEL COMERCIO SOSPECHOSO</v>
      </c>
      <c r="F13" s="24" t="s">
        <v>119</v>
      </c>
      <c r="G13" s="22" t="s">
        <v>59</v>
      </c>
      <c r="H13" s="22" t="s">
        <v>99</v>
      </c>
      <c r="I13" s="24" t="s">
        <v>120</v>
      </c>
      <c r="J13" s="22" t="s">
        <v>59</v>
      </c>
      <c r="K13" s="22" t="s">
        <v>96</v>
      </c>
      <c r="L13" s="22" t="s">
        <v>59</v>
      </c>
      <c r="M13" s="22" t="s">
        <v>96</v>
      </c>
    </row>
    <row r="14" spans="1:13" ht="15.75" thickBot="1">
      <c r="A14" s="21" t="s">
        <v>52</v>
      </c>
      <c r="B14" s="22" t="s">
        <v>53</v>
      </c>
      <c r="C14" s="23" t="s">
        <v>65</v>
      </c>
      <c r="D14" s="24" t="s">
        <v>121</v>
      </c>
      <c r="E14" s="24" t="str">
        <f t="shared" si="0"/>
        <v>NOMBRE DEL COMERCIO SOSPECHOSO</v>
      </c>
      <c r="F14" s="24" t="s">
        <v>122</v>
      </c>
      <c r="G14" s="22" t="s">
        <v>59</v>
      </c>
      <c r="H14" s="22" t="s">
        <v>99</v>
      </c>
      <c r="I14" s="24" t="s">
        <v>123</v>
      </c>
      <c r="J14" s="22" t="s">
        <v>59</v>
      </c>
      <c r="K14" s="22" t="s">
        <v>96</v>
      </c>
      <c r="L14" s="22" t="s">
        <v>59</v>
      </c>
      <c r="M14" s="22" t="s">
        <v>96</v>
      </c>
    </row>
    <row r="15" spans="1:13" ht="15.75" thickBot="1">
      <c r="A15" s="21" t="s">
        <v>52</v>
      </c>
      <c r="B15" s="22" t="s">
        <v>53</v>
      </c>
      <c r="C15" s="23" t="s">
        <v>65</v>
      </c>
      <c r="D15" s="34" t="s">
        <v>10</v>
      </c>
      <c r="E15" s="24" t="str">
        <f t="shared" si="0"/>
        <v>NÚMERO DE CUENTA A PAGAR DEL COMERCIO SOSPECHOSO</v>
      </c>
      <c r="F15" s="24" t="s">
        <v>124</v>
      </c>
      <c r="G15" s="22" t="s">
        <v>96</v>
      </c>
      <c r="H15" s="22" t="s">
        <v>103</v>
      </c>
      <c r="I15" s="24">
        <v>8983269685460</v>
      </c>
      <c r="J15" s="22" t="s">
        <v>59</v>
      </c>
      <c r="K15" s="22" t="s">
        <v>96</v>
      </c>
      <c r="L15" s="22" t="s">
        <v>59</v>
      </c>
      <c r="M15" s="22" t="s">
        <v>59</v>
      </c>
    </row>
    <row r="16" spans="1:13" ht="15.75" thickBot="1">
      <c r="A16" s="21" t="s">
        <v>52</v>
      </c>
      <c r="B16" s="22" t="s">
        <v>53</v>
      </c>
      <c r="C16" s="23" t="s">
        <v>65</v>
      </c>
      <c r="D16" s="34" t="s">
        <v>9</v>
      </c>
      <c r="E16" s="24" t="str">
        <f t="shared" si="0"/>
        <v>TELÉFONO DEL COMERCIO SOSPECHOSO</v>
      </c>
      <c r="F16" s="24" t="s">
        <v>125</v>
      </c>
      <c r="G16" s="22" t="s">
        <v>96</v>
      </c>
      <c r="H16" s="22" t="s">
        <v>103</v>
      </c>
      <c r="I16" s="24">
        <v>924641025</v>
      </c>
      <c r="J16" s="22" t="s">
        <v>59</v>
      </c>
      <c r="K16" s="22" t="s">
        <v>96</v>
      </c>
      <c r="L16" s="22" t="s">
        <v>59</v>
      </c>
      <c r="M16" s="22" t="s">
        <v>59</v>
      </c>
    </row>
    <row r="17" spans="1:13" ht="15.75" thickBot="1">
      <c r="A17" s="21" t="s">
        <v>52</v>
      </c>
      <c r="B17" s="22" t="s">
        <v>53</v>
      </c>
      <c r="C17" s="23" t="s">
        <v>65</v>
      </c>
      <c r="D17" s="24" t="s">
        <v>126</v>
      </c>
      <c r="E17" s="24" t="str">
        <f t="shared" si="0"/>
        <v>NOMBRE DEL PRODUCTO ADQUIRIDO POR EL COMERCIO SOSPECHOSO</v>
      </c>
      <c r="F17" s="24" t="s">
        <v>127</v>
      </c>
      <c r="G17" s="22" t="s">
        <v>59</v>
      </c>
      <c r="H17" s="22" t="s">
        <v>99</v>
      </c>
      <c r="I17" s="24" t="s">
        <v>128</v>
      </c>
      <c r="J17" s="22" t="s">
        <v>59</v>
      </c>
      <c r="K17" s="22" t="s">
        <v>96</v>
      </c>
      <c r="L17" s="22" t="s">
        <v>59</v>
      </c>
      <c r="M17" s="22" t="s">
        <v>59</v>
      </c>
    </row>
    <row r="18" spans="1:13" ht="15.75" thickBot="1">
      <c r="A18" s="21" t="s">
        <v>52</v>
      </c>
      <c r="B18" s="22" t="s">
        <v>53</v>
      </c>
      <c r="C18" s="23" t="s">
        <v>65</v>
      </c>
      <c r="D18" s="24" t="s">
        <v>129</v>
      </c>
      <c r="E18" s="24" t="str">
        <f t="shared" si="0"/>
        <v>NOMBRE DEL DISTRIBUIDOR GENERAL QUE REGISTRÓ EL COMERCIO SOSPECHOSO</v>
      </c>
      <c r="F18" s="24" t="s">
        <v>130</v>
      </c>
      <c r="G18" s="22" t="s">
        <v>59</v>
      </c>
      <c r="H18" s="22" t="s">
        <v>99</v>
      </c>
      <c r="I18" s="24" t="s">
        <v>50</v>
      </c>
      <c r="J18" s="22" t="s">
        <v>59</v>
      </c>
      <c r="K18" s="22" t="s">
        <v>96</v>
      </c>
      <c r="L18" s="22" t="s">
        <v>59</v>
      </c>
      <c r="M18" s="22" t="s">
        <v>59</v>
      </c>
    </row>
    <row r="19" spans="1:13" ht="15.75" thickBot="1">
      <c r="A19" s="21" t="s">
        <v>52</v>
      </c>
      <c r="B19" s="22" t="s">
        <v>53</v>
      </c>
      <c r="C19" s="23" t="s">
        <v>65</v>
      </c>
      <c r="D19" s="24" t="s">
        <v>131</v>
      </c>
      <c r="E19" s="24" t="str">
        <f t="shared" si="0"/>
        <v>CATEGORIZACIÓN DE COINCIDENCIA DETECTADA (EJEMPLO: SOLO TELÉFONO, SOLO RRLL, NRODOC Y RRLL, ETC.) COINCIDENCIA ENTRE AMBOS</v>
      </c>
      <c r="F19" s="24" t="s">
        <v>132</v>
      </c>
      <c r="G19" s="22" t="s">
        <v>59</v>
      </c>
      <c r="H19" s="22" t="s">
        <v>99</v>
      </c>
      <c r="I19" s="24" t="s">
        <v>133</v>
      </c>
      <c r="J19" s="22" t="s">
        <v>59</v>
      </c>
      <c r="K19" s="22" t="s">
        <v>96</v>
      </c>
      <c r="L19" s="22" t="s">
        <v>59</v>
      </c>
      <c r="M19" s="22" t="s">
        <v>59</v>
      </c>
    </row>
    <row r="20" spans="1:13" ht="15.75" thickBot="1">
      <c r="A20" s="21" t="s">
        <v>52</v>
      </c>
      <c r="B20" s="22" t="s">
        <v>53</v>
      </c>
      <c r="C20" s="23" t="s">
        <v>65</v>
      </c>
      <c r="D20" s="24" t="s">
        <v>134</v>
      </c>
      <c r="E20" s="24" t="str">
        <f t="shared" si="0"/>
        <v>FLAG QUE INDICA SI EL TELÉFONO DEL COMERCIO SOSPECHOSO COINCIDE CON EL TELÉFONO DE UN COMERCIO BLOQUEADO</v>
      </c>
      <c r="F20" s="24" t="s">
        <v>169</v>
      </c>
      <c r="G20" s="22" t="s">
        <v>59</v>
      </c>
      <c r="H20" s="22" t="s">
        <v>135</v>
      </c>
      <c r="I20" s="24" t="s">
        <v>136</v>
      </c>
      <c r="J20" s="22" t="s">
        <v>59</v>
      </c>
      <c r="K20" s="22" t="s">
        <v>96</v>
      </c>
      <c r="L20" s="22" t="s">
        <v>59</v>
      </c>
      <c r="M20" s="22" t="s">
        <v>59</v>
      </c>
    </row>
    <row r="21" spans="1:13" ht="15.75" thickBot="1">
      <c r="A21" s="21" t="s">
        <v>52</v>
      </c>
      <c r="B21" s="22" t="s">
        <v>53</v>
      </c>
      <c r="C21" s="23" t="s">
        <v>65</v>
      </c>
      <c r="D21" s="24" t="s">
        <v>137</v>
      </c>
      <c r="E21" s="24" t="str">
        <f t="shared" si="0"/>
        <v>FLAG QUE INDICA SI EL CORREO DEL REPRESENTANTE DEL COMERCIO SOSPECHOSO COINCIDE CON EL CORREO DEL REPRESENTANTE DE UN COMERCIO BLOQUEADO</v>
      </c>
      <c r="F21" s="24" t="s">
        <v>170</v>
      </c>
      <c r="G21" s="22" t="s">
        <v>59</v>
      </c>
      <c r="H21" s="22" t="s">
        <v>135</v>
      </c>
      <c r="I21" s="24" t="s">
        <v>136</v>
      </c>
      <c r="J21" s="22" t="s">
        <v>59</v>
      </c>
      <c r="K21" s="22" t="s">
        <v>96</v>
      </c>
      <c r="L21" s="22" t="s">
        <v>59</v>
      </c>
      <c r="M21" s="22" t="s">
        <v>59</v>
      </c>
    </row>
    <row r="22" spans="1:13" ht="15.75" thickBot="1">
      <c r="A22" s="21" t="s">
        <v>52</v>
      </c>
      <c r="B22" s="22" t="s">
        <v>53</v>
      </c>
      <c r="C22" s="23" t="s">
        <v>65</v>
      </c>
      <c r="D22" s="24" t="s">
        <v>138</v>
      </c>
      <c r="E22" s="24" t="str">
        <f t="shared" si="0"/>
        <v>FLAG QUE INDICA SI LA CUENTA BANCARIA DEL COMERCIO SOSPECHOSO COINCIDE CON LA CUENTA BANCARIA DE UN COMERCIO BLOQUEADO</v>
      </c>
      <c r="F22" s="24" t="s">
        <v>171</v>
      </c>
      <c r="G22" s="22" t="s">
        <v>59</v>
      </c>
      <c r="H22" s="22" t="s">
        <v>135</v>
      </c>
      <c r="I22" s="24" t="s">
        <v>136</v>
      </c>
      <c r="J22" s="22" t="s">
        <v>59</v>
      </c>
      <c r="K22" s="22" t="s">
        <v>96</v>
      </c>
      <c r="L22" s="22" t="s">
        <v>59</v>
      </c>
      <c r="M22" s="22" t="s">
        <v>59</v>
      </c>
    </row>
    <row r="23" spans="1:13" ht="15.75" thickBot="1">
      <c r="A23" s="21" t="s">
        <v>52</v>
      </c>
      <c r="B23" s="22" t="s">
        <v>53</v>
      </c>
      <c r="C23" s="23" t="s">
        <v>65</v>
      </c>
      <c r="D23" s="24" t="s">
        <v>139</v>
      </c>
      <c r="E23" s="24" t="str">
        <f t="shared" si="0"/>
        <v>FLAG QUE INDICA SI EL DOCUMENTO AFILIADO DEL COMERCIO SOSPECHOSO COINCIDE CON EL DOCUMENTO AFILIADO O DEL REPRESENTANTE DE UN COMERCIO BLOQUEADO</v>
      </c>
      <c r="F23" s="24" t="s">
        <v>172</v>
      </c>
      <c r="G23" s="22" t="s">
        <v>59</v>
      </c>
      <c r="H23" s="22" t="s">
        <v>135</v>
      </c>
      <c r="I23" s="24" t="s">
        <v>136</v>
      </c>
      <c r="J23" s="22" t="s">
        <v>59</v>
      </c>
      <c r="K23" s="22" t="s">
        <v>96</v>
      </c>
      <c r="L23" s="22" t="s">
        <v>59</v>
      </c>
      <c r="M23" s="22" t="s">
        <v>59</v>
      </c>
    </row>
    <row r="24" spans="1:13" ht="15.75" thickBot="1">
      <c r="A24" s="21" t="s">
        <v>52</v>
      </c>
      <c r="B24" s="22" t="s">
        <v>53</v>
      </c>
      <c r="C24" s="23" t="s">
        <v>65</v>
      </c>
      <c r="D24" s="24" t="s">
        <v>140</v>
      </c>
      <c r="E24" s="24" t="str">
        <f t="shared" si="0"/>
        <v>FLAG QUE INDICA SI EL DOCUMENTO DEL REPRESENTANTE DEL COMERCIO SOSPECHOSO COINCIDE CON EL DOCUMENTO AFILIADO O DEL REPRESENTANTE DE UN COMERCIO BLOQUEADO</v>
      </c>
      <c r="F24" s="24" t="s">
        <v>173</v>
      </c>
      <c r="G24" s="22" t="s">
        <v>59</v>
      </c>
      <c r="H24" s="22" t="s">
        <v>135</v>
      </c>
      <c r="I24" s="24" t="s">
        <v>136</v>
      </c>
      <c r="J24" s="22" t="s">
        <v>59</v>
      </c>
      <c r="K24" s="22" t="s">
        <v>96</v>
      </c>
      <c r="L24" s="22" t="s">
        <v>59</v>
      </c>
      <c r="M24" s="22" t="s">
        <v>59</v>
      </c>
    </row>
    <row r="25" spans="1:13" ht="15.75" thickBot="1">
      <c r="A25" s="21" t="s">
        <v>52</v>
      </c>
      <c r="B25" s="22" t="s">
        <v>53</v>
      </c>
      <c r="C25" s="23" t="s">
        <v>65</v>
      </c>
      <c r="D25" s="24" t="s">
        <v>141</v>
      </c>
      <c r="E25" s="24" t="str">
        <f t="shared" si="0"/>
        <v>FLAG QUE INDICA SI EL DOCUMENTO AFILIADO (RUC 10) DEL COMERCIO SOSPECHOSO COINCIDE CON EL DNI DEL DOCUMENTO AFILIADO O DEL REPRESENTANTE DE UN COMERCIO BLOQUEADO</v>
      </c>
      <c r="F25" s="24" t="s">
        <v>174</v>
      </c>
      <c r="G25" s="22" t="s">
        <v>59</v>
      </c>
      <c r="H25" s="22" t="s">
        <v>135</v>
      </c>
      <c r="I25" s="24" t="s">
        <v>136</v>
      </c>
      <c r="J25" s="22" t="s">
        <v>59</v>
      </c>
      <c r="K25" s="22" t="s">
        <v>96</v>
      </c>
      <c r="L25" s="22" t="s">
        <v>59</v>
      </c>
      <c r="M25" s="22" t="s">
        <v>59</v>
      </c>
    </row>
    <row r="26" spans="1:13" ht="15.75" thickBot="1">
      <c r="A26" s="21" t="s">
        <v>52</v>
      </c>
      <c r="B26" s="22" t="s">
        <v>53</v>
      </c>
      <c r="C26" s="23" t="s">
        <v>65</v>
      </c>
      <c r="D26" s="24" t="s">
        <v>142</v>
      </c>
      <c r="E26" s="24" t="str">
        <f t="shared" si="0"/>
        <v>FLAG QUE INDICA SI EL COMERCIO SOSPECHOSO FUE BLOQUEADO POR FRAUDE</v>
      </c>
      <c r="F26" s="24" t="s">
        <v>143</v>
      </c>
      <c r="G26" s="22" t="s">
        <v>59</v>
      </c>
      <c r="H26" s="22" t="s">
        <v>135</v>
      </c>
      <c r="I26" s="24" t="s">
        <v>136</v>
      </c>
      <c r="J26" s="22" t="s">
        <v>59</v>
      </c>
      <c r="K26" s="22" t="s">
        <v>96</v>
      </c>
      <c r="L26" s="22" t="s">
        <v>59</v>
      </c>
      <c r="M26" s="22" t="s">
        <v>59</v>
      </c>
    </row>
    <row r="27" spans="1:13" ht="15.75" thickBot="1">
      <c r="A27" s="21" t="s">
        <v>52</v>
      </c>
      <c r="B27" s="22" t="s">
        <v>53</v>
      </c>
      <c r="C27" s="23" t="s">
        <v>65</v>
      </c>
      <c r="D27" s="24" t="s">
        <v>144</v>
      </c>
      <c r="E27" s="24" t="str">
        <f t="shared" si="0"/>
        <v>DATO DE AUDITORÍA: DESCRIPCIÓN DEL APLICATIVO ORIGEN DE LOS DATOS.</v>
      </c>
      <c r="F27" s="24" t="s">
        <v>145</v>
      </c>
      <c r="G27" s="22" t="s">
        <v>59</v>
      </c>
      <c r="H27" s="22" t="s">
        <v>99</v>
      </c>
      <c r="I27" s="24" t="s">
        <v>146</v>
      </c>
      <c r="J27" s="22" t="s">
        <v>59</v>
      </c>
      <c r="K27" s="22" t="s">
        <v>59</v>
      </c>
      <c r="L27" s="22" t="s">
        <v>59</v>
      </c>
      <c r="M27" s="22" t="s">
        <v>59</v>
      </c>
    </row>
    <row r="28" spans="1:13" ht="15.75" thickBot="1">
      <c r="A28" s="21" t="s">
        <v>52</v>
      </c>
      <c r="B28" s="22" t="s">
        <v>53</v>
      </c>
      <c r="C28" s="23" t="s">
        <v>65</v>
      </c>
      <c r="D28" s="24" t="s">
        <v>147</v>
      </c>
      <c r="E28" s="24" t="str">
        <f t="shared" si="0"/>
        <v>FECHA Y HORA DE INSERCIÓN DEL REGISTRO EN EL MODELO</v>
      </c>
      <c r="F28" s="24" t="s">
        <v>148</v>
      </c>
      <c r="G28" s="22" t="s">
        <v>59</v>
      </c>
      <c r="H28" s="22" t="s">
        <v>149</v>
      </c>
      <c r="I28" s="24" t="s">
        <v>150</v>
      </c>
      <c r="J28" s="22" t="s">
        <v>59</v>
      </c>
      <c r="K28" s="22" t="s">
        <v>59</v>
      </c>
      <c r="L28" s="22" t="s">
        <v>59</v>
      </c>
      <c r="M28" s="22" t="s">
        <v>59</v>
      </c>
    </row>
    <row r="29" spans="1:13" ht="15.75" thickBot="1">
      <c r="A29" s="21" t="s">
        <v>52</v>
      </c>
      <c r="B29" s="22" t="s">
        <v>53</v>
      </c>
      <c r="C29" s="23" t="s">
        <v>65</v>
      </c>
      <c r="D29" s="24" t="s">
        <v>151</v>
      </c>
      <c r="E29" s="24" t="str">
        <f t="shared" si="0"/>
        <v>USUARIO QUE CREA EL REGISTRO EN LA BD</v>
      </c>
      <c r="F29" s="24" t="s">
        <v>152</v>
      </c>
      <c r="G29" s="22" t="s">
        <v>59</v>
      </c>
      <c r="H29" s="22" t="s">
        <v>99</v>
      </c>
      <c r="I29" s="24" t="s">
        <v>153</v>
      </c>
      <c r="J29" s="22" t="s">
        <v>59</v>
      </c>
      <c r="K29" s="22" t="s">
        <v>59</v>
      </c>
      <c r="L29" s="22" t="s">
        <v>59</v>
      </c>
      <c r="M29" s="22" t="s">
        <v>59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0FE3B-82A6-4075-9D86-533519A75394}">
  <sheetPr codeName="Hoja5"/>
  <dimension ref="A1:M21"/>
  <sheetViews>
    <sheetView showGridLines="0" workbookViewId="0">
      <selection activeCell="D31" sqref="D31"/>
    </sheetView>
  </sheetViews>
  <sheetFormatPr baseColWidth="10" defaultColWidth="11.42578125" defaultRowHeight="15"/>
  <cols>
    <col min="1" max="1" width="29" customWidth="1"/>
    <col min="2" max="2" width="35.42578125" customWidth="1"/>
    <col min="3" max="4" width="29" customWidth="1"/>
    <col min="5" max="5" width="85.140625" customWidth="1"/>
    <col min="6" max="6" width="80" customWidth="1"/>
    <col min="7" max="7" width="15.140625" customWidth="1"/>
    <col min="8" max="8" width="29" customWidth="1"/>
    <col min="9" max="9" width="40.5703125" customWidth="1"/>
    <col min="10" max="13" width="29" customWidth="1"/>
  </cols>
  <sheetData>
    <row r="1" spans="1:13" ht="32.25" thickBot="1">
      <c r="A1" s="17" t="s">
        <v>18</v>
      </c>
      <c r="B1" s="18" t="s">
        <v>19</v>
      </c>
      <c r="C1" s="18" t="s">
        <v>6</v>
      </c>
      <c r="D1" s="18" t="s">
        <v>7</v>
      </c>
      <c r="E1" s="18" t="s">
        <v>74</v>
      </c>
      <c r="F1" s="18" t="s">
        <v>75</v>
      </c>
      <c r="G1" s="18" t="s">
        <v>76</v>
      </c>
      <c r="H1" s="18" t="s">
        <v>77</v>
      </c>
      <c r="I1" s="18" t="s">
        <v>78</v>
      </c>
      <c r="J1" s="18" t="s">
        <v>79</v>
      </c>
      <c r="K1" s="18" t="s">
        <v>80</v>
      </c>
      <c r="L1" s="18" t="s">
        <v>81</v>
      </c>
      <c r="M1" s="18" t="s">
        <v>82</v>
      </c>
    </row>
    <row r="2" spans="1:13" ht="48" thickBot="1">
      <c r="A2" s="19" t="s">
        <v>36</v>
      </c>
      <c r="B2" s="20" t="s">
        <v>37</v>
      </c>
      <c r="C2" s="20" t="s">
        <v>83</v>
      </c>
      <c r="D2" s="20" t="s">
        <v>84</v>
      </c>
      <c r="E2" s="20" t="s">
        <v>85</v>
      </c>
      <c r="F2" s="20" t="s">
        <v>86</v>
      </c>
      <c r="G2" s="20" t="s">
        <v>87</v>
      </c>
      <c r="H2" s="20" t="s">
        <v>88</v>
      </c>
      <c r="I2" s="20" t="s">
        <v>89</v>
      </c>
      <c r="J2" s="20" t="s">
        <v>90</v>
      </c>
      <c r="K2" s="20" t="s">
        <v>91</v>
      </c>
      <c r="L2" s="20" t="s">
        <v>92</v>
      </c>
      <c r="M2" s="20" t="s">
        <v>91</v>
      </c>
    </row>
    <row r="3" spans="1:13" ht="15.75" thickBot="1">
      <c r="A3" s="21" t="s">
        <v>52</v>
      </c>
      <c r="B3" s="22" t="s">
        <v>53</v>
      </c>
      <c r="C3" s="23" t="s">
        <v>67</v>
      </c>
      <c r="D3" s="24" t="s">
        <v>93</v>
      </c>
      <c r="E3" s="24" t="str">
        <f>UPPER(F3)</f>
        <v>FECHA DE FOTO/DATOS CONFIGURADA EN EL ETL PARA LA EXTRACCIÓN DE DATOS, CORRESPONDE A APERTURAS DE COMERCIOS HASTA EL CIERRE DEL DÍA ANTERIOR</v>
      </c>
      <c r="F3" s="24" t="s">
        <v>94</v>
      </c>
      <c r="G3" s="22" t="s">
        <v>59</v>
      </c>
      <c r="H3" s="22" t="s">
        <v>95</v>
      </c>
      <c r="I3" s="25">
        <v>45848</v>
      </c>
      <c r="J3" s="22" t="s">
        <v>59</v>
      </c>
      <c r="K3" s="22" t="s">
        <v>59</v>
      </c>
      <c r="L3" s="22" t="s">
        <v>96</v>
      </c>
      <c r="M3" s="22" t="s">
        <v>59</v>
      </c>
    </row>
    <row r="4" spans="1:13" ht="15.75" thickBot="1">
      <c r="A4" s="21" t="s">
        <v>52</v>
      </c>
      <c r="B4" s="22" t="s">
        <v>53</v>
      </c>
      <c r="C4" s="23" t="s">
        <v>67</v>
      </c>
      <c r="D4" s="24" t="s">
        <v>97</v>
      </c>
      <c r="E4" s="24" t="str">
        <f>UPPER(F4)</f>
        <v>CÓDIGO DEL COMERCIO ACTIVO SOSPECHOSO RELACIONADO A UN COMERCIO BLOQUEADO PO FRAUDE</v>
      </c>
      <c r="F4" s="24" t="s">
        <v>98</v>
      </c>
      <c r="G4" s="22" t="s">
        <v>59</v>
      </c>
      <c r="H4" s="22" t="s">
        <v>99</v>
      </c>
      <c r="I4" s="24">
        <v>5875350</v>
      </c>
      <c r="J4" s="22" t="s">
        <v>59</v>
      </c>
      <c r="K4" s="22" t="s">
        <v>96</v>
      </c>
      <c r="L4" s="22" t="s">
        <v>59</v>
      </c>
      <c r="M4" s="22" t="s">
        <v>96</v>
      </c>
    </row>
    <row r="5" spans="1:13" ht="15.75" thickBot="1">
      <c r="A5" s="21" t="s">
        <v>52</v>
      </c>
      <c r="B5" s="22" t="s">
        <v>53</v>
      </c>
      <c r="C5" s="23" t="s">
        <v>67</v>
      </c>
      <c r="D5" s="34" t="s">
        <v>12</v>
      </c>
      <c r="E5" s="24" t="str">
        <f>UPPER(F5)</f>
        <v>CORREO DE REPRESENTANTE LEGAL DEL COMERCO SOSPECHOSO</v>
      </c>
      <c r="F5" s="24" t="s">
        <v>102</v>
      </c>
      <c r="G5" s="22" t="s">
        <v>96</v>
      </c>
      <c r="H5" s="22" t="s">
        <v>103</v>
      </c>
      <c r="I5" s="24" t="s">
        <v>154</v>
      </c>
      <c r="J5" s="22" t="s">
        <v>59</v>
      </c>
      <c r="K5" s="22" t="s">
        <v>96</v>
      </c>
      <c r="L5" s="22" t="s">
        <v>59</v>
      </c>
      <c r="M5" s="22" t="s">
        <v>59</v>
      </c>
    </row>
    <row r="6" spans="1:13" ht="15.75" thickBot="1">
      <c r="A6" s="21" t="s">
        <v>52</v>
      </c>
      <c r="B6" s="22" t="s">
        <v>53</v>
      </c>
      <c r="C6" s="23" t="s">
        <v>67</v>
      </c>
      <c r="D6" s="24" t="s">
        <v>155</v>
      </c>
      <c r="E6" s="24" t="str">
        <f t="shared" ref="E6:E21" si="0">UPPER(F6)</f>
        <v>CÓDIGO DE BLOQUEO DEL COMERCIO SOSPECHOSO</v>
      </c>
      <c r="F6" s="24" t="s">
        <v>156</v>
      </c>
      <c r="G6" s="22" t="s">
        <v>59</v>
      </c>
      <c r="H6" s="22" t="s">
        <v>99</v>
      </c>
      <c r="I6" s="24"/>
      <c r="J6" s="22" t="s">
        <v>59</v>
      </c>
      <c r="K6" s="22" t="s">
        <v>96</v>
      </c>
      <c r="L6" s="22" t="s">
        <v>59</v>
      </c>
      <c r="M6" s="22" t="s">
        <v>59</v>
      </c>
    </row>
    <row r="7" spans="1:13" ht="15.75" thickBot="1">
      <c r="A7" s="21" t="s">
        <v>52</v>
      </c>
      <c r="B7" s="22" t="s">
        <v>53</v>
      </c>
      <c r="C7" s="23" t="s">
        <v>67</v>
      </c>
      <c r="D7" s="24" t="s">
        <v>157</v>
      </c>
      <c r="E7" s="24" t="str">
        <f t="shared" si="0"/>
        <v>DETALLE DEL MOTIVO DEL BLOQUEO DEL COMERCIO SOSPECHOSO</v>
      </c>
      <c r="F7" s="24" t="s">
        <v>158</v>
      </c>
      <c r="G7" s="22" t="s">
        <v>59</v>
      </c>
      <c r="H7" s="22" t="s">
        <v>99</v>
      </c>
      <c r="I7" s="24"/>
      <c r="J7" s="22" t="s">
        <v>59</v>
      </c>
      <c r="K7" s="22" t="s">
        <v>96</v>
      </c>
      <c r="L7" s="22" t="s">
        <v>59</v>
      </c>
      <c r="M7" s="22" t="s">
        <v>59</v>
      </c>
    </row>
    <row r="8" spans="1:13" ht="15.75" thickBot="1">
      <c r="A8" s="21" t="s">
        <v>52</v>
      </c>
      <c r="B8" s="22" t="s">
        <v>53</v>
      </c>
      <c r="C8" s="23" t="s">
        <v>67</v>
      </c>
      <c r="D8" s="24" t="s">
        <v>110</v>
      </c>
      <c r="E8" s="24" t="str">
        <f t="shared" si="0"/>
        <v>FECHA DE APERTURA DEL COMERCIO SOSPECHOSO</v>
      </c>
      <c r="F8" s="24" t="s">
        <v>111</v>
      </c>
      <c r="G8" s="22" t="s">
        <v>59</v>
      </c>
      <c r="H8" s="22" t="s">
        <v>95</v>
      </c>
      <c r="I8" s="24">
        <v>45930</v>
      </c>
      <c r="J8" s="22" t="s">
        <v>59</v>
      </c>
      <c r="K8" s="22" t="s">
        <v>96</v>
      </c>
      <c r="L8" s="22" t="s">
        <v>59</v>
      </c>
      <c r="M8" s="22" t="s">
        <v>59</v>
      </c>
    </row>
    <row r="9" spans="1:13" ht="15.75" thickBot="1">
      <c r="A9" s="21" t="s">
        <v>52</v>
      </c>
      <c r="B9" s="22" t="s">
        <v>53</v>
      </c>
      <c r="C9" s="23" t="s">
        <v>67</v>
      </c>
      <c r="D9" s="24" t="s">
        <v>112</v>
      </c>
      <c r="E9" s="24" t="str">
        <f t="shared" si="0"/>
        <v>SIRVE PARA VER EL ESTADO O SITUACIÓN DEL COMERCIOEL COMERCIO SOSPECHOSO</v>
      </c>
      <c r="F9" s="24" t="s">
        <v>113</v>
      </c>
      <c r="G9" s="22" t="s">
        <v>59</v>
      </c>
      <c r="H9" s="22" t="s">
        <v>99</v>
      </c>
      <c r="I9" s="24">
        <v>7</v>
      </c>
      <c r="J9" s="22" t="s">
        <v>59</v>
      </c>
      <c r="K9" s="22" t="s">
        <v>96</v>
      </c>
      <c r="L9" s="22" t="s">
        <v>59</v>
      </c>
      <c r="M9" s="22" t="s">
        <v>96</v>
      </c>
    </row>
    <row r="10" spans="1:13" ht="15.75" thickBot="1">
      <c r="A10" s="21" t="s">
        <v>52</v>
      </c>
      <c r="B10" s="22" t="s">
        <v>53</v>
      </c>
      <c r="C10" s="23" t="s">
        <v>67</v>
      </c>
      <c r="D10" s="34" t="s">
        <v>167</v>
      </c>
      <c r="E10" s="24" t="str">
        <f t="shared" si="0"/>
        <v>CÓDIGO ÚNICO DEL NÚMERO DE DOCUMENTO CON EL CUAL SE AFILIA EL CLIENTE A IZIPAY ASOCIADO AL COMERCIO SOSPECHOSO</v>
      </c>
      <c r="F10" s="24" t="s">
        <v>115</v>
      </c>
      <c r="G10" s="22" t="s">
        <v>96</v>
      </c>
      <c r="H10" s="22" t="s">
        <v>99</v>
      </c>
      <c r="I10" s="24">
        <v>1.12586877331592E+16</v>
      </c>
      <c r="J10" s="22" t="s">
        <v>59</v>
      </c>
      <c r="K10" s="22" t="s">
        <v>96</v>
      </c>
      <c r="L10" s="22" t="s">
        <v>59</v>
      </c>
      <c r="M10" s="22" t="s">
        <v>59</v>
      </c>
    </row>
    <row r="11" spans="1:13" ht="15.75" thickBot="1">
      <c r="A11" s="21" t="s">
        <v>52</v>
      </c>
      <c r="B11" s="22" t="s">
        <v>53</v>
      </c>
      <c r="C11" s="23" t="s">
        <v>67</v>
      </c>
      <c r="D11" s="34" t="s">
        <v>168</v>
      </c>
      <c r="E11" s="24" t="str">
        <f t="shared" si="0"/>
        <v>NÚMERO DE DOCUMENTO (DNI/CARNET DE EXTRANJERÍA) AFILIADO DEL COMERCIO SOSPECHOSO</v>
      </c>
      <c r="F11" s="24" t="s">
        <v>117</v>
      </c>
      <c r="G11" s="22" t="s">
        <v>96</v>
      </c>
      <c r="H11" s="22" t="s">
        <v>99</v>
      </c>
      <c r="I11" s="24">
        <v>1.80781137331592E+16</v>
      </c>
      <c r="J11" s="22" t="s">
        <v>59</v>
      </c>
      <c r="K11" s="22" t="s">
        <v>96</v>
      </c>
      <c r="L11" s="22" t="s">
        <v>59</v>
      </c>
      <c r="M11" s="22" t="s">
        <v>59</v>
      </c>
    </row>
    <row r="12" spans="1:13" ht="15.75" thickBot="1">
      <c r="A12" s="21" t="s">
        <v>52</v>
      </c>
      <c r="B12" s="22" t="s">
        <v>53</v>
      </c>
      <c r="C12" s="23" t="s">
        <v>67</v>
      </c>
      <c r="D12" s="34" t="s">
        <v>11</v>
      </c>
      <c r="E12" s="24" t="str">
        <f t="shared" si="0"/>
        <v>NOMBRE DE REPRESENTANTE LEGAL DEL COMERCIO</v>
      </c>
      <c r="F12" s="24" t="s">
        <v>159</v>
      </c>
      <c r="G12" s="22" t="s">
        <v>96</v>
      </c>
      <c r="H12" s="22" t="s">
        <v>103</v>
      </c>
      <c r="I12" s="24" t="s">
        <v>160</v>
      </c>
      <c r="J12" s="22" t="s">
        <v>59</v>
      </c>
      <c r="K12" s="22" t="s">
        <v>96</v>
      </c>
      <c r="L12" s="22" t="s">
        <v>59</v>
      </c>
      <c r="M12" s="22" t="s">
        <v>59</v>
      </c>
    </row>
    <row r="13" spans="1:13" ht="15.75" thickBot="1">
      <c r="A13" s="21" t="s">
        <v>52</v>
      </c>
      <c r="B13" s="22" t="s">
        <v>53</v>
      </c>
      <c r="C13" s="23" t="s">
        <v>67</v>
      </c>
      <c r="D13" s="24" t="s">
        <v>118</v>
      </c>
      <c r="E13" s="24" t="str">
        <f t="shared" si="0"/>
        <v>CATEGORÍA DEFINIDA PARA CLIENTES (DNI/RUC) DEFINIDA POR LA GESTIÓN COMERCIAL DEL COMERCIO SOSPECHOSO</v>
      </c>
      <c r="F13" s="24" t="s">
        <v>119</v>
      </c>
      <c r="G13" s="22" t="s">
        <v>59</v>
      </c>
      <c r="H13" s="22" t="s">
        <v>99</v>
      </c>
      <c r="I13" s="24" t="s">
        <v>161</v>
      </c>
      <c r="J13" s="22" t="s">
        <v>59</v>
      </c>
      <c r="K13" s="22" t="s">
        <v>96</v>
      </c>
      <c r="L13" s="22" t="s">
        <v>59</v>
      </c>
      <c r="M13" s="22" t="s">
        <v>96</v>
      </c>
    </row>
    <row r="14" spans="1:13" ht="15.75" thickBot="1">
      <c r="A14" s="21" t="s">
        <v>52</v>
      </c>
      <c r="B14" s="22" t="s">
        <v>53</v>
      </c>
      <c r="C14" s="23" t="s">
        <v>67</v>
      </c>
      <c r="D14" s="24" t="s">
        <v>121</v>
      </c>
      <c r="E14" s="24" t="str">
        <f t="shared" si="0"/>
        <v>NOMBRE DEL COMERCIO SOSPECHOSO</v>
      </c>
      <c r="F14" s="24" t="s">
        <v>122</v>
      </c>
      <c r="G14" s="22" t="s">
        <v>59</v>
      </c>
      <c r="H14" s="22" t="s">
        <v>99</v>
      </c>
      <c r="I14" s="24" t="s">
        <v>162</v>
      </c>
      <c r="J14" s="22" t="s">
        <v>59</v>
      </c>
      <c r="K14" s="22" t="s">
        <v>96</v>
      </c>
      <c r="L14" s="22" t="s">
        <v>59</v>
      </c>
      <c r="M14" s="22" t="s">
        <v>96</v>
      </c>
    </row>
    <row r="15" spans="1:13" ht="15.75" thickBot="1">
      <c r="A15" s="21" t="s">
        <v>52</v>
      </c>
      <c r="B15" s="22" t="s">
        <v>53</v>
      </c>
      <c r="C15" s="23" t="s">
        <v>67</v>
      </c>
      <c r="D15" s="34" t="s">
        <v>10</v>
      </c>
      <c r="E15" s="24" t="str">
        <f t="shared" si="0"/>
        <v>NÚMERO DE CUENTA A PAGAR DEL COMERCIO SOSPECHOSO</v>
      </c>
      <c r="F15" s="24" t="s">
        <v>124</v>
      </c>
      <c r="G15" s="22" t="s">
        <v>96</v>
      </c>
      <c r="H15" s="22" t="s">
        <v>103</v>
      </c>
      <c r="I15" s="24" t="s">
        <v>163</v>
      </c>
      <c r="J15" s="22" t="s">
        <v>59</v>
      </c>
      <c r="K15" s="22" t="s">
        <v>96</v>
      </c>
      <c r="L15" s="22" t="s">
        <v>59</v>
      </c>
      <c r="M15" s="22" t="s">
        <v>59</v>
      </c>
    </row>
    <row r="16" spans="1:13" ht="15.75" thickBot="1">
      <c r="A16" s="21" t="s">
        <v>52</v>
      </c>
      <c r="B16" s="22" t="s">
        <v>53</v>
      </c>
      <c r="C16" s="23" t="s">
        <v>67</v>
      </c>
      <c r="D16" s="34" t="s">
        <v>9</v>
      </c>
      <c r="E16" s="24" t="str">
        <f t="shared" si="0"/>
        <v>TELÉFONO DEL COMERCIO SOSPECHOSO</v>
      </c>
      <c r="F16" s="24" t="s">
        <v>125</v>
      </c>
      <c r="G16" s="22" t="s">
        <v>96</v>
      </c>
      <c r="H16" s="22" t="s">
        <v>103</v>
      </c>
      <c r="I16" s="24" t="s">
        <v>164</v>
      </c>
      <c r="J16" s="22" t="s">
        <v>59</v>
      </c>
      <c r="K16" s="22" t="s">
        <v>96</v>
      </c>
      <c r="L16" s="22" t="s">
        <v>59</v>
      </c>
      <c r="M16" s="22" t="s">
        <v>59</v>
      </c>
    </row>
    <row r="17" spans="1:13" ht="15.75" thickBot="1">
      <c r="A17" s="21" t="s">
        <v>52</v>
      </c>
      <c r="B17" s="22" t="s">
        <v>53</v>
      </c>
      <c r="C17" s="23" t="s">
        <v>67</v>
      </c>
      <c r="D17" s="24" t="s">
        <v>126</v>
      </c>
      <c r="E17" s="24" t="str">
        <f t="shared" si="0"/>
        <v>NOMBRE DEL PRODUCTO ADQUIRIDO POR EL COMERCIO SOSPECHOSO</v>
      </c>
      <c r="F17" s="24" t="s">
        <v>127</v>
      </c>
      <c r="G17" s="22" t="s">
        <v>59</v>
      </c>
      <c r="H17" s="22" t="s">
        <v>99</v>
      </c>
      <c r="I17" s="24" t="s">
        <v>165</v>
      </c>
      <c r="J17" s="22" t="s">
        <v>59</v>
      </c>
      <c r="K17" s="22" t="s">
        <v>96</v>
      </c>
      <c r="L17" s="22" t="s">
        <v>59</v>
      </c>
      <c r="M17" s="22" t="s">
        <v>59</v>
      </c>
    </row>
    <row r="18" spans="1:13" ht="15.75" thickBot="1">
      <c r="A18" s="21" t="s">
        <v>52</v>
      </c>
      <c r="B18" s="22" t="s">
        <v>53</v>
      </c>
      <c r="C18" s="23" t="s">
        <v>67</v>
      </c>
      <c r="D18" s="24" t="s">
        <v>129</v>
      </c>
      <c r="E18" s="24" t="str">
        <f t="shared" si="0"/>
        <v>NOMBRE DEL DISTRIBUIDOR GENERAL QUE REGISTRÓ EL COMERCIO SOSPECHOSO</v>
      </c>
      <c r="F18" s="24" t="s">
        <v>130</v>
      </c>
      <c r="G18" s="22" t="s">
        <v>59</v>
      </c>
      <c r="H18" s="22" t="s">
        <v>99</v>
      </c>
      <c r="I18" s="24" t="s">
        <v>166</v>
      </c>
      <c r="J18" s="22" t="s">
        <v>59</v>
      </c>
      <c r="K18" s="22" t="s">
        <v>96</v>
      </c>
      <c r="L18" s="22" t="s">
        <v>59</v>
      </c>
      <c r="M18" s="22" t="s">
        <v>59</v>
      </c>
    </row>
    <row r="19" spans="1:13" ht="15.75" thickBot="1">
      <c r="A19" s="21" t="s">
        <v>52</v>
      </c>
      <c r="B19" s="22" t="s">
        <v>53</v>
      </c>
      <c r="C19" s="23" t="s">
        <v>67</v>
      </c>
      <c r="D19" s="24" t="s">
        <v>144</v>
      </c>
      <c r="E19" s="24" t="str">
        <f t="shared" si="0"/>
        <v>DATO DE AUDITORÍA: DESCRIPCIÓN DEL APLICATIVO ORIGEN DE LOS DATOS.</v>
      </c>
      <c r="F19" s="24" t="s">
        <v>145</v>
      </c>
      <c r="G19" s="22" t="s">
        <v>59</v>
      </c>
      <c r="H19" s="22" t="s">
        <v>99</v>
      </c>
      <c r="I19" s="24" t="s">
        <v>146</v>
      </c>
      <c r="J19" s="22" t="s">
        <v>59</v>
      </c>
      <c r="K19" s="22" t="s">
        <v>59</v>
      </c>
      <c r="L19" s="22" t="s">
        <v>59</v>
      </c>
      <c r="M19" s="22" t="s">
        <v>59</v>
      </c>
    </row>
    <row r="20" spans="1:13" ht="15.75" thickBot="1">
      <c r="A20" s="21" t="s">
        <v>52</v>
      </c>
      <c r="B20" s="22" t="s">
        <v>53</v>
      </c>
      <c r="C20" s="23" t="s">
        <v>67</v>
      </c>
      <c r="D20" s="24" t="s">
        <v>147</v>
      </c>
      <c r="E20" s="24" t="str">
        <f t="shared" si="0"/>
        <v>FECHA Y HORA DE INSERCIÓN DEL REGISTRO EN EL MODELO</v>
      </c>
      <c r="F20" s="24" t="s">
        <v>148</v>
      </c>
      <c r="G20" s="22" t="s">
        <v>59</v>
      </c>
      <c r="H20" s="22" t="s">
        <v>149</v>
      </c>
      <c r="I20" s="24" t="s">
        <v>150</v>
      </c>
      <c r="J20" s="22" t="s">
        <v>59</v>
      </c>
      <c r="K20" s="22" t="s">
        <v>59</v>
      </c>
      <c r="L20" s="22" t="s">
        <v>59</v>
      </c>
      <c r="M20" s="22" t="s">
        <v>59</v>
      </c>
    </row>
    <row r="21" spans="1:13" ht="15.75" thickBot="1">
      <c r="A21" s="21" t="s">
        <v>52</v>
      </c>
      <c r="B21" s="22" t="s">
        <v>53</v>
      </c>
      <c r="C21" s="23" t="s">
        <v>67</v>
      </c>
      <c r="D21" s="24" t="s">
        <v>151</v>
      </c>
      <c r="E21" s="24" t="str">
        <f t="shared" si="0"/>
        <v>USUARIO QUE CREA EL REGISTRO EN LA BD</v>
      </c>
      <c r="F21" s="24" t="s">
        <v>152</v>
      </c>
      <c r="G21" s="22" t="s">
        <v>59</v>
      </c>
      <c r="H21" s="22" t="s">
        <v>99</v>
      </c>
      <c r="I21" s="24" t="s">
        <v>153</v>
      </c>
      <c r="J21" s="22" t="s">
        <v>59</v>
      </c>
      <c r="K21" s="22" t="s">
        <v>59</v>
      </c>
      <c r="L21" s="22" t="s">
        <v>59</v>
      </c>
      <c r="M21" s="22" t="s">
        <v>59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9a36ae274e70674bbe0d17cb2fced91a">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998993720155a38f4a0d96e810513cc6"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2.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3.xml><?xml version="1.0" encoding="utf-8"?>
<ds:datastoreItem xmlns:ds="http://schemas.openxmlformats.org/officeDocument/2006/customXml" ds:itemID="{871894DB-96A6-47B6-A070-706AF8C4BB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Datos Sensibles</vt:lpstr>
      <vt:lpstr>Estructuras del Modelo</vt:lpstr>
      <vt:lpstr>dv_coincidencia_bl</vt:lpstr>
      <vt:lpstr>dv_coincidencia_documento</vt:lpstr>
      <vt:lpstr>v_coincidencia_bl</vt:lpstr>
      <vt:lpstr>v_coincidencia_documento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2025-10-20T15:50:37Z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