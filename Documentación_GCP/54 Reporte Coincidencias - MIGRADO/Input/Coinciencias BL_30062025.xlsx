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54 Reporte Coincidencias/Input/"/>
    </mc:Choice>
  </mc:AlternateContent>
  <xr:revisionPtr revIDLastSave="46" documentId="8_{C97B5587-86B8-44AD-B948-624574021BF0}" xr6:coauthVersionLast="47" xr6:coauthVersionMax="47" xr10:uidLastSave="{9AE81181-A992-4F81-AFA5-977A02C882F0}"/>
  <bookViews>
    <workbookView xWindow="-120" yWindow="-120" windowWidth="29040" windowHeight="15720" activeTab="1" xr2:uid="{9E582B73-1EC3-42D5-A8D2-30F8C6176080}"/>
  </bookViews>
  <sheets>
    <sheet name="Resumen" sheetId="7" r:id="rId1"/>
    <sheet name="Base" sheetId="1" r:id="rId2"/>
    <sheet name="Coincidencia Por Documento" sheetId="3" r:id="rId3"/>
  </sheets>
  <definedNames>
    <definedName name="_xlnm._FilterDatabase" localSheetId="1" hidden="1">Base!$A$1:$AE$31</definedName>
    <definedName name="_xlnm._FilterDatabase" localSheetId="2" hidden="1">'Coincidencia Por Documento'!$A$1:$O$30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2" i="3"/>
</calcChain>
</file>

<file path=xl/sharedStrings.xml><?xml version="1.0" encoding="utf-8"?>
<sst xmlns="http://schemas.openxmlformats.org/spreadsheetml/2006/main" count="1398" uniqueCount="346">
  <si>
    <t>codigo</t>
  </si>
  <si>
    <t>CODIGO_BL</t>
  </si>
  <si>
    <t>mailrleg</t>
  </si>
  <si>
    <t>motblq</t>
  </si>
  <si>
    <t>observ</t>
  </si>
  <si>
    <t>Telefono</t>
  </si>
  <si>
    <t>Correo</t>
  </si>
  <si>
    <t>Cuenta</t>
  </si>
  <si>
    <t>NroDoc</t>
  </si>
  <si>
    <t>RepLeg</t>
  </si>
  <si>
    <t>Codigo2</t>
  </si>
  <si>
    <t>Vol</t>
  </si>
  <si>
    <t>TRX</t>
  </si>
  <si>
    <t>Vol_Fraude</t>
  </si>
  <si>
    <t>TRX_Fraude</t>
  </si>
  <si>
    <t>Vol_CC</t>
  </si>
  <si>
    <t>TRX_CC</t>
  </si>
  <si>
    <t>Deuda</t>
  </si>
  <si>
    <t>TrxDeuda</t>
  </si>
  <si>
    <t>fecape</t>
  </si>
  <si>
    <t>situac</t>
  </si>
  <si>
    <t>blq_frau</t>
  </si>
  <si>
    <t>NroDoc2</t>
  </si>
  <si>
    <t>RepLegal</t>
  </si>
  <si>
    <t>segmento</t>
  </si>
  <si>
    <t>Nomcom</t>
  </si>
  <si>
    <t>nrocta</t>
  </si>
  <si>
    <t>telefo</t>
  </si>
  <si>
    <t>NOMBRE_PRODUCTO</t>
  </si>
  <si>
    <t>Dealer</t>
  </si>
  <si>
    <t>Grupo</t>
  </si>
  <si>
    <t xml:space="preserve">05 </t>
  </si>
  <si>
    <t>0</t>
  </si>
  <si>
    <t>1</t>
  </si>
  <si>
    <t>Negocio</t>
  </si>
  <si>
    <t>NULL</t>
  </si>
  <si>
    <t>7</t>
  </si>
  <si>
    <t>IZIPAY</t>
  </si>
  <si>
    <t>Etiquetas de fila</t>
  </si>
  <si>
    <t>Total general</t>
  </si>
  <si>
    <t>Cuenta de Grupo</t>
  </si>
  <si>
    <t>Cuenta de telefo</t>
  </si>
  <si>
    <t>Cuenta de NroDoc2</t>
  </si>
  <si>
    <t>Cuenta de RepLegal</t>
  </si>
  <si>
    <t>Cuenta de nrocta</t>
  </si>
  <si>
    <t>NroDoc y RRLL</t>
  </si>
  <si>
    <t>nroruc</t>
  </si>
  <si>
    <t>DNI</t>
  </si>
  <si>
    <t>reprleg</t>
  </si>
  <si>
    <t>nomcom</t>
  </si>
  <si>
    <t>Solo RRLL</t>
  </si>
  <si>
    <t>Solo Telefono</t>
  </si>
  <si>
    <t>WUNDERMAN</t>
  </si>
  <si>
    <t xml:space="preserve">10 </t>
  </si>
  <si>
    <t>6 DE RULETEO DE TARJETA</t>
  </si>
  <si>
    <t>0.00</t>
  </si>
  <si>
    <t>9.00</t>
  </si>
  <si>
    <t>TELEATENTO DEL PERU SAC</t>
  </si>
  <si>
    <t>3 SEG FRAUDE /TRX. RECHAZADAS</t>
  </si>
  <si>
    <t>CERRADO POR SEG</t>
  </si>
  <si>
    <t>CMBRANDO</t>
  </si>
  <si>
    <t>Solo Correo</t>
  </si>
  <si>
    <t>TEAM ZUMA LIMA</t>
  </si>
  <si>
    <t>ZAS  MASTER AGENTE</t>
  </si>
  <si>
    <t>C Y C ASESORIA Y GESTION COMERCIAL</t>
  </si>
  <si>
    <t>1.00</t>
  </si>
  <si>
    <t>Empresa</t>
  </si>
  <si>
    <t>NroDoc, RRLL, Telefono y Correo</t>
  </si>
  <si>
    <t>2</t>
  </si>
  <si>
    <t>MARTINEZGMZ.18@GMAIL.COM</t>
  </si>
  <si>
    <t>CACO IBK SEG</t>
  </si>
  <si>
    <t>961848309</t>
  </si>
  <si>
    <t>3534706</t>
  </si>
  <si>
    <t>1 SEG TRX.RECHAZADAS</t>
  </si>
  <si>
    <t>BIO</t>
  </si>
  <si>
    <t>4 SEG COINCIDENCIA BL</t>
  </si>
  <si>
    <t>4</t>
  </si>
  <si>
    <t>6</t>
  </si>
  <si>
    <t>4.00</t>
  </si>
  <si>
    <t>4 SEG COINCIDENCIA BL CUENTA</t>
  </si>
  <si>
    <t>5840830</t>
  </si>
  <si>
    <t>10468006273</t>
  </si>
  <si>
    <t>46800627</t>
  </si>
  <si>
    <t>IZI*BODEGA IRVIN</t>
  </si>
  <si>
    <t>8983444015030</t>
  </si>
  <si>
    <t>SAFE APP CHICLAYO</t>
  </si>
  <si>
    <t>5840829</t>
  </si>
  <si>
    <t>5810947</t>
  </si>
  <si>
    <t>902600388</t>
  </si>
  <si>
    <t>BLMG CUSCO</t>
  </si>
  <si>
    <t>5765658</t>
  </si>
  <si>
    <t>MARTINEZPOJOVICTOR@GMAIL.COM</t>
  </si>
  <si>
    <t>20241203</t>
  </si>
  <si>
    <t>MARTINEZ GOMEZ IRVIN JHON</t>
  </si>
  <si>
    <t>IZI*MINIMARKET MARTINEZ</t>
  </si>
  <si>
    <t>2423376727071</t>
  </si>
  <si>
    <t>915220897</t>
  </si>
  <si>
    <t>NroDoc, RRLL y Correo</t>
  </si>
  <si>
    <t>5845819</t>
  </si>
  <si>
    <t>3524224</t>
  </si>
  <si>
    <t>SOFIAJALCA12@GMAIL.COM</t>
  </si>
  <si>
    <t>SEG KEVIN CACO</t>
  </si>
  <si>
    <t>10723755722</t>
  </si>
  <si>
    <t>72375572</t>
  </si>
  <si>
    <t>IZI*LIBRERIA BAZAR WILMER</t>
  </si>
  <si>
    <t>8983474250581</t>
  </si>
  <si>
    <t>935881739</t>
  </si>
  <si>
    <t>2 SEG FRAUDES</t>
  </si>
  <si>
    <t>5845807</t>
  </si>
  <si>
    <t>SANDOVALUIS124@GMAIL.COM</t>
  </si>
  <si>
    <t>10474691506</t>
  </si>
  <si>
    <t>47469150</t>
  </si>
  <si>
    <t>IZI*MULTISERVICIOS EMANUEL</t>
  </si>
  <si>
    <t>8983183504101</t>
  </si>
  <si>
    <t>BIO - Outbound</t>
  </si>
  <si>
    <t>TEMPORAL NOMBRE COMERCIAL</t>
  </si>
  <si>
    <t>NroDoc, RRLL y Cuenta</t>
  </si>
  <si>
    <t>5775757</t>
  </si>
  <si>
    <t>5847445</t>
  </si>
  <si>
    <t>BUCEXA335@GMAIL.COM</t>
  </si>
  <si>
    <t>12851.20</t>
  </si>
  <si>
    <t>105.00</t>
  </si>
  <si>
    <t>2024-12-23</t>
  </si>
  <si>
    <t>72868885</t>
  </si>
  <si>
    <t>IZI*INVERSIONES PERU SAC</t>
  </si>
  <si>
    <t>8983269685460</t>
  </si>
  <si>
    <t>924641025</t>
  </si>
  <si>
    <t>5847118</t>
  </si>
  <si>
    <t>5847137</t>
  </si>
  <si>
    <t>CHRISTEAMO1370@GMAIL.COM</t>
  </si>
  <si>
    <t>2025-06-27</t>
  </si>
  <si>
    <t>47767147</t>
  </si>
  <si>
    <t>IZI*LA POSITIVA SOAT</t>
  </si>
  <si>
    <t>902619166</t>
  </si>
  <si>
    <t>5780743</t>
  </si>
  <si>
    <t>CONSULTORESBOSSBOSS@GMAIL.COM</t>
  </si>
  <si>
    <t>14607.00</t>
  </si>
  <si>
    <t>111.00</t>
  </si>
  <si>
    <t>800.00</t>
  </si>
  <si>
    <t>2025-01-04</t>
  </si>
  <si>
    <t>20605535268</t>
  </si>
  <si>
    <t>47767146</t>
  </si>
  <si>
    <t>IZI*SEGUROS FALABELLA</t>
  </si>
  <si>
    <t>7203006034269</t>
  </si>
  <si>
    <t>914704362</t>
  </si>
  <si>
    <t>5371899</t>
  </si>
  <si>
    <t>ANDREDARIO12@GMAIL.COM</t>
  </si>
  <si>
    <t>7586.64</t>
  </si>
  <si>
    <t>33.00</t>
  </si>
  <si>
    <t>2023-02-10</t>
  </si>
  <si>
    <t>10477671468</t>
  </si>
  <si>
    <t>IZI*DOCTECH</t>
  </si>
  <si>
    <t>8983153833380</t>
  </si>
  <si>
    <t>920236611</t>
  </si>
  <si>
    <t>BLMG SAC - PIURA</t>
  </si>
  <si>
    <t>5846787</t>
  </si>
  <si>
    <t>5827191</t>
  </si>
  <si>
    <t>ALEDELROSARI@GMAIL.COM</t>
  </si>
  <si>
    <t>2025-06-26</t>
  </si>
  <si>
    <t>48296210</t>
  </si>
  <si>
    <t>IZI*ALEX</t>
  </si>
  <si>
    <t>20705018231400</t>
  </si>
  <si>
    <t>941942263</t>
  </si>
  <si>
    <t>SAFE APP</t>
  </si>
  <si>
    <t>5653102</t>
  </si>
  <si>
    <t>5847482</t>
  </si>
  <si>
    <t>2025-06-29</t>
  </si>
  <si>
    <t>IZI*INVERSIONES SANDOVAL</t>
  </si>
  <si>
    <t>5847239</t>
  </si>
  <si>
    <t>5501308</t>
  </si>
  <si>
    <t>MINEPACHI805@GMAIL.COM</t>
  </si>
  <si>
    <t>2025-06-28</t>
  </si>
  <si>
    <t>77753276</t>
  </si>
  <si>
    <t>IZI*CONFIANZAEIRL</t>
  </si>
  <si>
    <t>19190294677042</t>
  </si>
  <si>
    <t>974356897</t>
  </si>
  <si>
    <t>5847226</t>
  </si>
  <si>
    <t>5822851</t>
  </si>
  <si>
    <t>TALANPANTHER@GMAIL.COM</t>
  </si>
  <si>
    <t>943.00</t>
  </si>
  <si>
    <t>73965537</t>
  </si>
  <si>
    <t>IZI*YOLU ORIGINALS EIRL.</t>
  </si>
  <si>
    <t>30002866370004</t>
  </si>
  <si>
    <t>970068632</t>
  </si>
  <si>
    <t>5775746</t>
  </si>
  <si>
    <t>OMEKS7527@GMAIL.COM</t>
  </si>
  <si>
    <t>IZI*INVERSIONES PERUANAS SAC</t>
  </si>
  <si>
    <t>990752342</t>
  </si>
  <si>
    <t>5775750</t>
  </si>
  <si>
    <t>990652824</t>
  </si>
  <si>
    <t>5847285</t>
  </si>
  <si>
    <t>6080045</t>
  </si>
  <si>
    <t>PABLO.ARRAEZ2021@GMAIL.COM</t>
  </si>
  <si>
    <t>71653319</t>
  </si>
  <si>
    <t>IZI*LOGISTIC SERVICES GROUP</t>
  </si>
  <si>
    <t>966360097</t>
  </si>
  <si>
    <t>5846268</t>
  </si>
  <si>
    <t>PRISBY0125@HOTMAIL.COM</t>
  </si>
  <si>
    <t>525.00</t>
  </si>
  <si>
    <t>6.00</t>
  </si>
  <si>
    <t>2025-06-25</t>
  </si>
  <si>
    <t>10712931251</t>
  </si>
  <si>
    <t>71293125</t>
  </si>
  <si>
    <t>IZI*HOTEL MAYZA</t>
  </si>
  <si>
    <t>8983474548505</t>
  </si>
  <si>
    <t>5847552</t>
  </si>
  <si>
    <t>5733635</t>
  </si>
  <si>
    <t>KMELISSA2525@GMAIL.COM</t>
  </si>
  <si>
    <t>6 DE - RULETEO DE TARJETA</t>
  </si>
  <si>
    <t>10418258166</t>
  </si>
  <si>
    <t>41825816</t>
  </si>
  <si>
    <t>IZI*MACHOLA</t>
  </si>
  <si>
    <t>942084384</t>
  </si>
  <si>
    <t>5847532</t>
  </si>
  <si>
    <t>3024797</t>
  </si>
  <si>
    <t>5847738</t>
  </si>
  <si>
    <t>5837709</t>
  </si>
  <si>
    <t>EFUSVASQUEZSUJEYMILENY@GMAIL.COM</t>
  </si>
  <si>
    <t>2025-06-30</t>
  </si>
  <si>
    <t>10730774511</t>
  </si>
  <si>
    <t>73077451</t>
  </si>
  <si>
    <t>IZI*MARKET SUJEY</t>
  </si>
  <si>
    <t>8983373235069</t>
  </si>
  <si>
    <t>953650860</t>
  </si>
  <si>
    <t>SAFE APP SAN MARTIN</t>
  </si>
  <si>
    <t>5846733</t>
  </si>
  <si>
    <t>5832389</t>
  </si>
  <si>
    <t>RENZOMANUELLAYMETORRES@GMAIL.COM</t>
  </si>
  <si>
    <t>4 SEG COINCIDENCIA CUENTA- DIRECC</t>
  </si>
  <si>
    <t>75584955</t>
  </si>
  <si>
    <t>IZI*INVERSIONES GENERALES</t>
  </si>
  <si>
    <t>19104961285097</t>
  </si>
  <si>
    <t>931046983</t>
  </si>
  <si>
    <t>5847873</t>
  </si>
  <si>
    <t>IZI*MARKET DONA EFUS</t>
  </si>
  <si>
    <t>5847424</t>
  </si>
  <si>
    <t>20610751459</t>
  </si>
  <si>
    <t>2003007210564</t>
  </si>
  <si>
    <t>5770821</t>
  </si>
  <si>
    <t>18449.00</t>
  </si>
  <si>
    <t>140.00</t>
  </si>
  <si>
    <t>179.00</t>
  </si>
  <si>
    <t>2024-12-13</t>
  </si>
  <si>
    <t>IZI*DARK COMPANY SAC</t>
  </si>
  <si>
    <t>931788386</t>
  </si>
  <si>
    <t>5829599</t>
  </si>
  <si>
    <t>5846537</t>
  </si>
  <si>
    <t>JAMJJOKER@GMAIL.COM</t>
  </si>
  <si>
    <t>1221.00</t>
  </si>
  <si>
    <t>2025-05-06</t>
  </si>
  <si>
    <t>29607669</t>
  </si>
  <si>
    <t>IZI*REPUESTOS MAX AVEDANO</t>
  </si>
  <si>
    <t>8983438294859</t>
  </si>
  <si>
    <t>970475563</t>
  </si>
  <si>
    <t>5785121</t>
  </si>
  <si>
    <t>LUYANBENBEIS@GMAIL.COM</t>
  </si>
  <si>
    <t>22308.20</t>
  </si>
  <si>
    <t>176.00</t>
  </si>
  <si>
    <t>150.00</t>
  </si>
  <si>
    <t>2025-01-15</t>
  </si>
  <si>
    <t>IZI*INVERSIONES PERUANAS EIRL</t>
  </si>
  <si>
    <t>974891893</t>
  </si>
  <si>
    <t>5834780</t>
  </si>
  <si>
    <t>TELETICKET.LIMAPERU@GMAIL.COM</t>
  </si>
  <si>
    <t>238.20</t>
  </si>
  <si>
    <t>2025-05-21</t>
  </si>
  <si>
    <t>IZI*TELETICKET</t>
  </si>
  <si>
    <t>00110814140274552617</t>
  </si>
  <si>
    <t>3536937</t>
  </si>
  <si>
    <t>5847660</t>
  </si>
  <si>
    <t>5046017</t>
  </si>
  <si>
    <t>KATYCAMPOS332@GMAIL.COM</t>
  </si>
  <si>
    <t>45808700</t>
  </si>
  <si>
    <t>IZI*BAR RESTAURANTE EL TIBURON</t>
  </si>
  <si>
    <t>38071007029033</t>
  </si>
  <si>
    <t>970392869</t>
  </si>
  <si>
    <t>5067498</t>
  </si>
  <si>
    <t>3536933</t>
  </si>
  <si>
    <t>5847013</t>
  </si>
  <si>
    <t>5846182</t>
  </si>
  <si>
    <t>GEORGEJORGE161@GMAIL.COM</t>
  </si>
  <si>
    <t>10166604554</t>
  </si>
  <si>
    <t>16660455</t>
  </si>
  <si>
    <t>IZI*MINIMARKET OLMEDO</t>
  </si>
  <si>
    <t>8983467899416</t>
  </si>
  <si>
    <t>906056140</t>
  </si>
  <si>
    <t>5847749</t>
  </si>
  <si>
    <t>5772880</t>
  </si>
  <si>
    <t>MISHEL198352@GMAIL.COM</t>
  </si>
  <si>
    <t>15606764151</t>
  </si>
  <si>
    <t>002486494</t>
  </si>
  <si>
    <t>IZI*MISHEL</t>
  </si>
  <si>
    <t>38096124918038</t>
  </si>
  <si>
    <t>900389469</t>
  </si>
  <si>
    <t>20250609</t>
  </si>
  <si>
    <t>5800084</t>
  </si>
  <si>
    <t>JOKERJAMJ2@GMAIL.COM</t>
  </si>
  <si>
    <t>20250215</t>
  </si>
  <si>
    <t>CHAMBI MAMANI GENY HERNAN</t>
  </si>
  <si>
    <t>IZI*PROSEGUR S A</t>
  </si>
  <si>
    <t>8983438294858</t>
  </si>
  <si>
    <t>980344799</t>
  </si>
  <si>
    <t>20250624</t>
  </si>
  <si>
    <t>SANDOVAL SANDOVAL LUIS ALBERTO</t>
  </si>
  <si>
    <t>5513645</t>
  </si>
  <si>
    <t>20230722</t>
  </si>
  <si>
    <t>DOMINGUEZ BARBOZA ALEXANDRA DEL ROSARI</t>
  </si>
  <si>
    <t>IZI*ALE D</t>
  </si>
  <si>
    <t>5673852</t>
  </si>
  <si>
    <t>20240531</t>
  </si>
  <si>
    <t>IZI*ALEXANDRA DOMINGUEZ</t>
  </si>
  <si>
    <t>SAFE APP CAJAMARCA</t>
  </si>
  <si>
    <t>5685086</t>
  </si>
  <si>
    <t>20240621</t>
  </si>
  <si>
    <t>10482962101</t>
  </si>
  <si>
    <t>5827684</t>
  </si>
  <si>
    <t>20250430</t>
  </si>
  <si>
    <t>IZI*ARDB</t>
  </si>
  <si>
    <t>5663904</t>
  </si>
  <si>
    <t>20240513</t>
  </si>
  <si>
    <t>RIVAS VILLAO MAYRA ELVIRA</t>
  </si>
  <si>
    <t>IZI*MAY</t>
  </si>
  <si>
    <t>7003370993000</t>
  </si>
  <si>
    <t>948783876</t>
  </si>
  <si>
    <t>5831552</t>
  </si>
  <si>
    <t>20250512</t>
  </si>
  <si>
    <t>PRIETO OLIVERA LOHADA</t>
  </si>
  <si>
    <t>5502762</t>
  </si>
  <si>
    <t>MILENYEFUS23@GMAIL.COM</t>
  </si>
  <si>
    <t>20230704</t>
  </si>
  <si>
    <t>EFUS VASQUEZ SUJEY MILENY</t>
  </si>
  <si>
    <t>IZI*SUJEY MILENY</t>
  </si>
  <si>
    <t>978349401</t>
  </si>
  <si>
    <t>5804500</t>
  </si>
  <si>
    <t>SUJEYEFUSVASQUEZ@GMAIL.COM</t>
  </si>
  <si>
    <t>20250228</t>
  </si>
  <si>
    <t>IZI*COMERCIAL EFUS</t>
  </si>
  <si>
    <t>979111470</t>
  </si>
  <si>
    <t>5675790</t>
  </si>
  <si>
    <t>20240604</t>
  </si>
  <si>
    <t>IZI*BOUTIQUE MILENY</t>
  </si>
  <si>
    <t>993292654</t>
  </si>
  <si>
    <t>IZI*MARKET EFUS II</t>
  </si>
  <si>
    <t>5838322</t>
  </si>
  <si>
    <t>20250531</t>
  </si>
  <si>
    <t>JALCA VALDIVIA MARIA 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</si>
</sst>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2" borderId="0" xfId="0" applyNumberForma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LLARY SILVA" refreshedDate="45845.672250231481" createdVersion="7" refreshedVersion="7" minRefreshableVersion="3" recordCount="30" xr:uid="{09BE5A54-EB5F-4E98-8545-9A8B3DF276DA}">
  <cacheSource type="worksheet">
    <worksheetSource ref="A1:AE31" sheet="Base"/>
  </cacheSource>
  <cacheFields count="31">
    <cacheField name="codigo" numFmtId="49">
      <sharedItems/>
    </cacheField>
    <cacheField name="CODIGO_BL" numFmtId="49">
      <sharedItems/>
    </cacheField>
    <cacheField name="mailrleg" numFmtId="49">
      <sharedItems count="22">
        <s v="BUCEXA335@GMAIL.COM"/>
        <s v="CHRISTEAMO1370@GMAIL.COM"/>
        <s v="CONSULTORESBOSSBOSS@GMAIL.COM"/>
        <s v="ANDREDARIO12@GMAIL.COM"/>
        <s v="ALEDELROSARI@GMAIL.COM"/>
        <s v="SANDOVALUIS124@GMAIL.COM"/>
        <s v="MINEPACHI805@GMAIL.COM"/>
        <s v="TALANPANTHER@GMAIL.COM"/>
        <s v="OMEKS7527@GMAIL.COM"/>
        <s v="PABLO.ARRAEZ2021@GMAIL.COM"/>
        <s v="PRISBY0125@HOTMAIL.COM"/>
        <s v="KMELISSA2525@GMAIL.COM"/>
        <s v="MARTINEZGMZ.18@GMAIL.COM"/>
        <s v="EFUSVASQUEZSUJEYMILENY@GMAIL.COM"/>
        <s v="RENZOMANUELLAYMETORRES@GMAIL.COM"/>
        <s v="JAMJJOKER@GMAIL.COM"/>
        <s v="LUYANBENBEIS@GMAIL.COM"/>
        <s v="TELETICKET.LIMAPERU@GMAIL.COM"/>
        <s v="SOFIAJALCA12@GMAIL.COM"/>
        <s v="KATYCAMPOS332@GMAIL.COM"/>
        <s v="GEORGEJORGE161@GMAIL.COM"/>
        <s v="MISHEL198352@GMAIL.COM"/>
      </sharedItems>
    </cacheField>
    <cacheField name="motblq" numFmtId="49">
      <sharedItems/>
    </cacheField>
    <cacheField name="observ" numFmtId="49">
      <sharedItems/>
    </cacheField>
    <cacheField name="Telefono" numFmtId="49">
      <sharedItems count="2">
        <s v="0"/>
        <s v="1"/>
      </sharedItems>
    </cacheField>
    <cacheField name="Correo" numFmtId="49">
      <sharedItems count="2">
        <s v="0"/>
        <s v="1"/>
      </sharedItems>
    </cacheField>
    <cacheField name="Cuenta" numFmtId="49">
      <sharedItems count="2">
        <s v="0"/>
        <s v="1"/>
      </sharedItems>
    </cacheField>
    <cacheField name="NroDoc" numFmtId="49">
      <sharedItems count="2">
        <s v="1"/>
        <s v="0"/>
      </sharedItems>
    </cacheField>
    <cacheField name="RepLeg" numFmtId="49">
      <sharedItems count="2">
        <s v="1"/>
        <s v="0"/>
      </sharedItems>
    </cacheField>
    <cacheField name="Codigo2" numFmtId="49">
      <sharedItems/>
    </cacheField>
    <cacheField name="Vol" numFmtId="49">
      <sharedItems/>
    </cacheField>
    <cacheField name="TRX" numFmtId="49">
      <sharedItems/>
    </cacheField>
    <cacheField name="Vol_Fraude" numFmtId="49">
      <sharedItems/>
    </cacheField>
    <cacheField name="TRX_Fraude" numFmtId="49">
      <sharedItems/>
    </cacheField>
    <cacheField name="Vol_CC" numFmtId="49">
      <sharedItems/>
    </cacheField>
    <cacheField name="TRX_CC" numFmtId="49">
      <sharedItems/>
    </cacheField>
    <cacheField name="Deuda" numFmtId="49">
      <sharedItems/>
    </cacheField>
    <cacheField name="TrxDeuda" numFmtId="49">
      <sharedItems/>
    </cacheField>
    <cacheField name="fecape" numFmtId="49">
      <sharedItems/>
    </cacheField>
    <cacheField name="situac" numFmtId="49">
      <sharedItems/>
    </cacheField>
    <cacheField name="blq_frau" numFmtId="49">
      <sharedItems/>
    </cacheField>
    <cacheField name="NroDoc2" numFmtId="49">
      <sharedItems count="20">
        <s v="72868885"/>
        <s v="47767147"/>
        <s v="20605535268"/>
        <s v="10477671468"/>
        <s v="48296210"/>
        <s v="10474691506"/>
        <s v="77753276"/>
        <s v="73965537"/>
        <s v="71653319"/>
        <s v="10712931251"/>
        <s v="10418258166"/>
        <s v="10468006273"/>
        <s v="10730774511"/>
        <s v="75584955"/>
        <s v="20610751459"/>
        <s v="29607669"/>
        <s v="10723755722"/>
        <s v="45808700"/>
        <s v="10166604554"/>
        <s v="15606764151"/>
      </sharedItems>
    </cacheField>
    <cacheField name="RepLegal" numFmtId="49">
      <sharedItems count="18">
        <s v="72868885"/>
        <s v="47767147"/>
        <s v="47767146"/>
        <s v="48296210"/>
        <s v="47469150"/>
        <s v="77753276"/>
        <s v="73965537"/>
        <s v="71653319"/>
        <s v="71293125"/>
        <s v="41825816"/>
        <s v="46800627"/>
        <s v="73077451"/>
        <s v="75584955"/>
        <s v="29607669"/>
        <s v="72375572"/>
        <s v="45808700"/>
        <s v="16660455"/>
        <s v="002486494"/>
      </sharedItems>
    </cacheField>
    <cacheField name="segmento" numFmtId="49">
      <sharedItems/>
    </cacheField>
    <cacheField name="Nomcom" numFmtId="49">
      <sharedItems/>
    </cacheField>
    <cacheField name="nrocta" numFmtId="49">
      <sharedItems containsBlank="1" count="18">
        <s v="8983269685460"/>
        <m/>
        <s v="7203006034269"/>
        <s v="8983153833380"/>
        <s v="20705018231400"/>
        <s v="8983183504101"/>
        <s v="19190294677042"/>
        <s v="30002866370004"/>
        <s v="8983474548505"/>
        <s v="8983444015030"/>
        <s v="8983373235069"/>
        <s v="19104961285097"/>
        <s v="2003007210564"/>
        <s v="8983438294859"/>
        <s v="00110814140274552617"/>
        <s v="38071007029033"/>
        <s v="8983467899416"/>
        <s v="38096124918038"/>
      </sharedItems>
    </cacheField>
    <cacheField name="telefo" numFmtId="49">
      <sharedItems count="22">
        <s v="924641025"/>
        <s v="902619166"/>
        <s v="914704362"/>
        <s v="920236611"/>
        <s v="941942263"/>
        <s v="935881739"/>
        <s v="974356897"/>
        <s v="970068632"/>
        <s v="990752342"/>
        <s v="990652824"/>
        <s v="966360097"/>
        <s v="902600388"/>
        <s v="942084384"/>
        <s v="961848309"/>
        <s v="953650860"/>
        <s v="931046983"/>
        <s v="931788386"/>
        <s v="970475563"/>
        <s v="974891893"/>
        <s v="970392869"/>
        <s v="906056140"/>
        <s v="900389469"/>
      </sharedItems>
    </cacheField>
    <cacheField name="NOMBRE_PRODUCTO" numFmtId="49">
      <sharedItems/>
    </cacheField>
    <cacheField name="Dealer" numFmtId="49">
      <sharedItems containsBlank="1"/>
    </cacheField>
    <cacheField name="Grupo" numFmtId="49">
      <sharedItems count="7">
        <s v="NroDoc y RRLL"/>
        <s v="Solo Telefono"/>
        <s v="Solo RRLL"/>
        <s v="Solo Correo"/>
        <s v="NroDoc, RRLL y Correo"/>
        <s v="NroDoc, RRLL, Telefono y Correo"/>
        <s v="NroDoc, RRLL y Cuen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5775757"/>
    <s v="5847445"/>
    <x v="0"/>
    <s v="05 "/>
    <s v="4 SEG COINCIDENCIA BL CUENTA"/>
    <x v="0"/>
    <x v="0"/>
    <x v="0"/>
    <x v="0"/>
    <x v="0"/>
    <s v="5775757"/>
    <s v="12851.20"/>
    <s v="105.00"/>
    <s v="0.00"/>
    <s v="0.00"/>
    <s v="0.00"/>
    <s v="0.00"/>
    <s v="0.00"/>
    <s v="0.00"/>
    <s v="2024-12-23"/>
    <s v="4"/>
    <s v="0"/>
    <x v="0"/>
    <x v="0"/>
    <s v="Negocio"/>
    <s v="IZI*INVERSIONES PERU SAC"/>
    <x v="0"/>
    <x v="0"/>
    <s v="NULL"/>
    <s v="IZIPAY"/>
    <x v="0"/>
  </r>
  <r>
    <s v="5847118"/>
    <s v="5847137"/>
    <x v="1"/>
    <s v="05 "/>
    <s v="TEMPORAL NOMBRE COMERCIAL"/>
    <x v="1"/>
    <x v="0"/>
    <x v="0"/>
    <x v="1"/>
    <x v="1"/>
    <s v="NULL"/>
    <s v="NULL"/>
    <s v="NULL"/>
    <s v="NULL"/>
    <s v="NULL"/>
    <s v="NULL"/>
    <s v="NULL"/>
    <s v="NULL"/>
    <s v="NULL"/>
    <s v="2025-06-27"/>
    <s v="7"/>
    <s v="0"/>
    <x v="1"/>
    <x v="1"/>
    <s v="Negocio"/>
    <s v="IZI*LA POSITIVA SOAT"/>
    <x v="1"/>
    <x v="1"/>
    <s v="NULL"/>
    <s v="WUNDERMAN"/>
    <x v="1"/>
  </r>
  <r>
    <s v="5780743"/>
    <s v="5847137"/>
    <x v="2"/>
    <s v="05 "/>
    <s v="TEMPORAL NOMBRE COMERCIAL"/>
    <x v="0"/>
    <x v="0"/>
    <x v="0"/>
    <x v="1"/>
    <x v="0"/>
    <s v="5780743"/>
    <s v="14607.00"/>
    <s v="111.00"/>
    <s v="800.00"/>
    <s v="4.00"/>
    <s v="0.00"/>
    <s v="0.00"/>
    <s v="0.00"/>
    <s v="0.00"/>
    <s v="2025-01-04"/>
    <s v="1"/>
    <s v="0"/>
    <x v="2"/>
    <x v="2"/>
    <s v="Negocio"/>
    <s v="IZI*SEGUROS FALABELLA"/>
    <x v="2"/>
    <x v="2"/>
    <s v="NULL"/>
    <s v="WUNDERMAN"/>
    <x v="2"/>
  </r>
  <r>
    <s v="5371899"/>
    <s v="5847137"/>
    <x v="3"/>
    <s v="05 "/>
    <s v="TEMPORAL NOMBRE COMERCIAL"/>
    <x v="0"/>
    <x v="0"/>
    <x v="0"/>
    <x v="1"/>
    <x v="0"/>
    <s v="5371899"/>
    <s v="7586.64"/>
    <s v="33.00"/>
    <s v="0.00"/>
    <s v="0.00"/>
    <s v="0.00"/>
    <s v="0.00"/>
    <s v="0.00"/>
    <s v="0.00"/>
    <s v="2023-02-10"/>
    <s v="2"/>
    <s v="0"/>
    <x v="3"/>
    <x v="2"/>
    <s v="Negocio"/>
    <s v="IZI*DOCTECH"/>
    <x v="3"/>
    <x v="3"/>
    <s v="NULL"/>
    <s v="BLMG SAC - PIURA"/>
    <x v="2"/>
  </r>
  <r>
    <s v="5846787"/>
    <s v="5827191"/>
    <x v="4"/>
    <s v="10 "/>
    <s v="6 DE RULETEO DE TARJETA"/>
    <x v="1"/>
    <x v="0"/>
    <x v="0"/>
    <x v="1"/>
    <x v="1"/>
    <s v="NULL"/>
    <s v="NULL"/>
    <s v="NULL"/>
    <s v="NULL"/>
    <s v="NULL"/>
    <s v="NULL"/>
    <s v="NULL"/>
    <s v="NULL"/>
    <s v="NULL"/>
    <s v="2025-06-26"/>
    <s v="7"/>
    <s v="0"/>
    <x v="4"/>
    <x v="3"/>
    <s v="Negocio"/>
    <s v="IZI*ALEX"/>
    <x v="4"/>
    <x v="4"/>
    <s v="NULL"/>
    <s v="SAFE APP"/>
    <x v="1"/>
  </r>
  <r>
    <s v="5846787"/>
    <s v="5653102"/>
    <x v="4"/>
    <s v="10 "/>
    <s v="6 DE RULETEO DE TARJETA"/>
    <x v="0"/>
    <x v="1"/>
    <x v="0"/>
    <x v="1"/>
    <x v="1"/>
    <s v="NULL"/>
    <s v="NULL"/>
    <s v="NULL"/>
    <s v="NULL"/>
    <s v="NULL"/>
    <s v="NULL"/>
    <s v="NULL"/>
    <s v="NULL"/>
    <s v="NULL"/>
    <s v="2025-06-26"/>
    <s v="7"/>
    <s v="0"/>
    <x v="4"/>
    <x v="3"/>
    <s v="Negocio"/>
    <s v="IZI*ALEX"/>
    <x v="4"/>
    <x v="4"/>
    <s v="NULL"/>
    <s v="SAFE APP"/>
    <x v="3"/>
  </r>
  <r>
    <s v="5847482"/>
    <s v="3524224"/>
    <x v="5"/>
    <s v="05 "/>
    <s v="SEG KEVIN CACO"/>
    <x v="1"/>
    <x v="0"/>
    <x v="0"/>
    <x v="1"/>
    <x v="1"/>
    <s v="NULL"/>
    <s v="NULL"/>
    <s v="NULL"/>
    <s v="NULL"/>
    <s v="NULL"/>
    <s v="NULL"/>
    <s v="NULL"/>
    <s v="NULL"/>
    <s v="NULL"/>
    <s v="2025-06-29"/>
    <s v="7"/>
    <s v="0"/>
    <x v="5"/>
    <x v="4"/>
    <s v="Empresa"/>
    <s v="IZI*INVERSIONES SANDOVAL"/>
    <x v="5"/>
    <x v="5"/>
    <s v="NULL"/>
    <s v="ZAS  MASTER AGENTE"/>
    <x v="1"/>
  </r>
  <r>
    <s v="5847239"/>
    <s v="5501308"/>
    <x v="6"/>
    <s v="05 "/>
    <s v="CERRADO POR SEG"/>
    <x v="0"/>
    <x v="1"/>
    <x v="0"/>
    <x v="0"/>
    <x v="0"/>
    <s v="NULL"/>
    <s v="NULL"/>
    <s v="NULL"/>
    <s v="NULL"/>
    <s v="NULL"/>
    <s v="NULL"/>
    <s v="NULL"/>
    <s v="NULL"/>
    <s v="NULL"/>
    <s v="2025-06-28"/>
    <s v="7"/>
    <s v="0"/>
    <x v="6"/>
    <x v="5"/>
    <s v="Negocio"/>
    <s v="IZI*CONFIANZAEIRL"/>
    <x v="6"/>
    <x v="6"/>
    <s v="NULL"/>
    <s v="WUNDERMAN"/>
    <x v="4"/>
  </r>
  <r>
    <s v="5847226"/>
    <s v="5822851"/>
    <x v="7"/>
    <s v="05 "/>
    <s v="2 SEG FRAUDES"/>
    <x v="1"/>
    <x v="0"/>
    <x v="0"/>
    <x v="1"/>
    <x v="1"/>
    <s v="5847226"/>
    <s v="943.00"/>
    <s v="4.00"/>
    <s v="0.00"/>
    <s v="0.00"/>
    <s v="0.00"/>
    <s v="0.00"/>
    <s v="0.00"/>
    <s v="0.00"/>
    <s v="2025-06-28"/>
    <s v="1"/>
    <s v="0"/>
    <x v="7"/>
    <x v="6"/>
    <s v="Negocio"/>
    <s v="IZI*YOLU ORIGINALS EIRL."/>
    <x v="7"/>
    <x v="7"/>
    <s v="NULL"/>
    <s v="IZIPAY"/>
    <x v="1"/>
  </r>
  <r>
    <s v="5775746"/>
    <s v="5847445"/>
    <x v="8"/>
    <s v="05 "/>
    <s v="4 SEG COINCIDENCIA BL CUENTA"/>
    <x v="0"/>
    <x v="0"/>
    <x v="0"/>
    <x v="0"/>
    <x v="0"/>
    <s v="NULL"/>
    <s v="NULL"/>
    <s v="NULL"/>
    <s v="NULL"/>
    <s v="NULL"/>
    <s v="NULL"/>
    <s v="NULL"/>
    <s v="NULL"/>
    <s v="NULL"/>
    <s v="2024-12-23"/>
    <s v="7"/>
    <s v="0"/>
    <x v="0"/>
    <x v="0"/>
    <s v="Negocio"/>
    <s v="IZI*INVERSIONES PERUANAS SAC"/>
    <x v="0"/>
    <x v="8"/>
    <s v="NULL"/>
    <s v="WUNDERMAN"/>
    <x v="0"/>
  </r>
  <r>
    <s v="5775750"/>
    <s v="5847445"/>
    <x v="0"/>
    <s v="05 "/>
    <s v="4 SEG COINCIDENCIA BL CUENTA"/>
    <x v="0"/>
    <x v="0"/>
    <x v="0"/>
    <x v="0"/>
    <x v="0"/>
    <s v="NULL"/>
    <s v="NULL"/>
    <s v="NULL"/>
    <s v="NULL"/>
    <s v="NULL"/>
    <s v="NULL"/>
    <s v="NULL"/>
    <s v="NULL"/>
    <s v="NULL"/>
    <s v="2024-12-23"/>
    <s v="7"/>
    <s v="0"/>
    <x v="0"/>
    <x v="0"/>
    <s v="Negocio"/>
    <s v="IZI*INVERSIONES PERUANAS SAC"/>
    <x v="0"/>
    <x v="9"/>
    <s v="NULL"/>
    <s v="WUNDERMAN"/>
    <x v="0"/>
  </r>
  <r>
    <s v="5847285"/>
    <s v="6080045"/>
    <x v="9"/>
    <s v="05 "/>
    <s v="CERRADO POR SEG"/>
    <x v="1"/>
    <x v="0"/>
    <x v="0"/>
    <x v="1"/>
    <x v="1"/>
    <s v="5847285"/>
    <s v="1.00"/>
    <s v="1.00"/>
    <s v="0.00"/>
    <s v="0.00"/>
    <s v="0.00"/>
    <s v="0.00"/>
    <s v="0.00"/>
    <s v="0.00"/>
    <s v="2025-06-28"/>
    <s v="1"/>
    <s v="0"/>
    <x v="8"/>
    <x v="7"/>
    <s v="Negocio"/>
    <s v="IZI*LOGISTIC SERVICES GROUP"/>
    <x v="1"/>
    <x v="10"/>
    <s v="NULL"/>
    <s v="WUNDERMAN"/>
    <x v="1"/>
  </r>
  <r>
    <s v="5846268"/>
    <s v="5810947"/>
    <x v="10"/>
    <s v="05 "/>
    <s v="3 SEG FRAUDE /TRX. RECHAZADAS"/>
    <x v="1"/>
    <x v="0"/>
    <x v="0"/>
    <x v="1"/>
    <x v="1"/>
    <s v="5846268"/>
    <s v="525.00"/>
    <s v="6.00"/>
    <s v="0.00"/>
    <s v="0.00"/>
    <s v="0.00"/>
    <s v="0.00"/>
    <s v="0.00"/>
    <s v="0.00"/>
    <s v="2025-06-25"/>
    <s v="1"/>
    <s v="0"/>
    <x v="9"/>
    <x v="8"/>
    <s v="Negocio"/>
    <s v="IZI*HOTEL MAYZA"/>
    <x v="8"/>
    <x v="11"/>
    <s v="NULL"/>
    <s v="BLMG CUSCO"/>
    <x v="1"/>
  </r>
  <r>
    <s v="5847552"/>
    <s v="5733635"/>
    <x v="11"/>
    <s v="10 "/>
    <s v="6 DE - RULETEO DE TARJETA"/>
    <x v="1"/>
    <x v="1"/>
    <x v="0"/>
    <x v="0"/>
    <x v="0"/>
    <s v="NULL"/>
    <s v="NULL"/>
    <s v="NULL"/>
    <s v="NULL"/>
    <s v="NULL"/>
    <s v="NULL"/>
    <s v="NULL"/>
    <s v="NULL"/>
    <s v="NULL"/>
    <s v="2025-06-29"/>
    <s v="7"/>
    <s v="0"/>
    <x v="10"/>
    <x v="9"/>
    <s v="Negocio"/>
    <s v="IZI*MACHOLA"/>
    <x v="1"/>
    <x v="12"/>
    <s v="NULL"/>
    <s v="BIO"/>
    <x v="5"/>
  </r>
  <r>
    <s v="5847532"/>
    <s v="3534706"/>
    <x v="12"/>
    <s v="05 "/>
    <s v="CACO IBK SEG"/>
    <x v="1"/>
    <x v="0"/>
    <x v="0"/>
    <x v="1"/>
    <x v="1"/>
    <s v="NULL"/>
    <s v="NULL"/>
    <s v="NULL"/>
    <s v="NULL"/>
    <s v="NULL"/>
    <s v="NULL"/>
    <s v="NULL"/>
    <s v="NULL"/>
    <s v="NULL"/>
    <s v="2025-06-29"/>
    <s v="7"/>
    <s v="0"/>
    <x v="11"/>
    <x v="10"/>
    <s v="Negocio"/>
    <s v="IZI*BODEGA IRVIN"/>
    <x v="9"/>
    <x v="13"/>
    <s v="NULL"/>
    <s v="ZAS  MASTER AGENTE"/>
    <x v="1"/>
  </r>
  <r>
    <s v="5847532"/>
    <s v="3024797"/>
    <x v="12"/>
    <s v="05 "/>
    <s v="CACO IBK SEG"/>
    <x v="0"/>
    <x v="1"/>
    <x v="0"/>
    <x v="1"/>
    <x v="1"/>
    <s v="NULL"/>
    <s v="NULL"/>
    <s v="NULL"/>
    <s v="NULL"/>
    <s v="NULL"/>
    <s v="NULL"/>
    <s v="NULL"/>
    <s v="NULL"/>
    <s v="NULL"/>
    <s v="2025-06-29"/>
    <s v="7"/>
    <s v="0"/>
    <x v="11"/>
    <x v="10"/>
    <s v="Negocio"/>
    <s v="IZI*BODEGA IRVIN"/>
    <x v="9"/>
    <x v="13"/>
    <s v="NULL"/>
    <s v="ZAS  MASTER AGENTE"/>
    <x v="3"/>
  </r>
  <r>
    <s v="5847738"/>
    <s v="5837709"/>
    <x v="13"/>
    <s v="10 "/>
    <s v="6 DE RULETEO DE TARJETA"/>
    <x v="1"/>
    <x v="0"/>
    <x v="0"/>
    <x v="1"/>
    <x v="1"/>
    <s v="NULL"/>
    <s v="NULL"/>
    <s v="NULL"/>
    <s v="NULL"/>
    <s v="NULL"/>
    <s v="NULL"/>
    <s v="NULL"/>
    <s v="NULL"/>
    <s v="NULL"/>
    <s v="2025-06-30"/>
    <s v="7"/>
    <s v="0"/>
    <x v="12"/>
    <x v="11"/>
    <s v="Negocio"/>
    <s v="IZI*MARKET SUJEY"/>
    <x v="10"/>
    <x v="14"/>
    <s v="NULL"/>
    <s v="SAFE APP SAN MARTIN"/>
    <x v="1"/>
  </r>
  <r>
    <s v="5846733"/>
    <s v="5832389"/>
    <x v="14"/>
    <s v="05 "/>
    <s v="4 SEG COINCIDENCIA CUENTA- DIRECC"/>
    <x v="0"/>
    <x v="0"/>
    <x v="0"/>
    <x v="0"/>
    <x v="0"/>
    <s v="NULL"/>
    <s v="NULL"/>
    <s v="NULL"/>
    <s v="NULL"/>
    <s v="NULL"/>
    <s v="NULL"/>
    <s v="NULL"/>
    <s v="NULL"/>
    <s v="NULL"/>
    <s v="2025-06-26"/>
    <s v="7"/>
    <s v="0"/>
    <x v="13"/>
    <x v="12"/>
    <s v="Negocio"/>
    <s v="IZI*INVERSIONES GENERALES"/>
    <x v="11"/>
    <x v="15"/>
    <s v="NULL"/>
    <s v="IZIPAY"/>
    <x v="0"/>
  </r>
  <r>
    <s v="5847873"/>
    <s v="5837709"/>
    <x v="13"/>
    <s v="10 "/>
    <s v="6 DE RULETEO DE TARJETA"/>
    <x v="1"/>
    <x v="0"/>
    <x v="0"/>
    <x v="1"/>
    <x v="1"/>
    <s v="NULL"/>
    <s v="NULL"/>
    <s v="NULL"/>
    <s v="NULL"/>
    <s v="NULL"/>
    <s v="NULL"/>
    <s v="NULL"/>
    <s v="NULL"/>
    <s v="NULL"/>
    <s v="2025-06-30"/>
    <s v="7"/>
    <s v="0"/>
    <x v="12"/>
    <x v="11"/>
    <s v="Negocio"/>
    <s v="IZI*MARKET DONA EFUS"/>
    <x v="10"/>
    <x v="14"/>
    <s v="NULL"/>
    <s v="SAFE APP SAN MARTIN"/>
    <x v="1"/>
  </r>
  <r>
    <s v="5847424"/>
    <s v="6080045"/>
    <x v="9"/>
    <s v="05 "/>
    <s v="CERRADO POR SEG"/>
    <x v="1"/>
    <x v="0"/>
    <x v="0"/>
    <x v="1"/>
    <x v="1"/>
    <s v="NULL"/>
    <s v="NULL"/>
    <s v="NULL"/>
    <s v="NULL"/>
    <s v="NULL"/>
    <s v="NULL"/>
    <s v="NULL"/>
    <s v="NULL"/>
    <s v="NULL"/>
    <s v="2025-06-28"/>
    <s v="7"/>
    <s v="0"/>
    <x v="14"/>
    <x v="7"/>
    <s v="Empresa"/>
    <s v="IZI*LOGISTIC SERVICES GROUP"/>
    <x v="12"/>
    <x v="10"/>
    <s v="NULL"/>
    <s v="BIO - Outbound"/>
    <x v="1"/>
  </r>
  <r>
    <s v="5770821"/>
    <s v="5847445"/>
    <x v="8"/>
    <s v="05 "/>
    <s v="4 SEG COINCIDENCIA BL CUENTA"/>
    <x v="0"/>
    <x v="0"/>
    <x v="0"/>
    <x v="0"/>
    <x v="0"/>
    <s v="5770821"/>
    <s v="18449.00"/>
    <s v="140.00"/>
    <s v="179.00"/>
    <s v="1.00"/>
    <s v="0.00"/>
    <s v="0.00"/>
    <s v="0.00"/>
    <s v="0.00"/>
    <s v="2024-12-13"/>
    <s v="6"/>
    <s v="0"/>
    <x v="0"/>
    <x v="0"/>
    <s v="Negocio"/>
    <s v="IZI*DARK COMPANY SAC"/>
    <x v="0"/>
    <x v="16"/>
    <s v="NULL"/>
    <s v="WUNDERMAN"/>
    <x v="0"/>
  </r>
  <r>
    <s v="5829599"/>
    <s v="5846537"/>
    <x v="15"/>
    <s v="05 "/>
    <s v="4 SEG COINCIDENCIA BL"/>
    <x v="1"/>
    <x v="0"/>
    <x v="0"/>
    <x v="1"/>
    <x v="1"/>
    <s v="5829599"/>
    <s v="1221.00"/>
    <s v="9.00"/>
    <s v="0.00"/>
    <s v="0.00"/>
    <s v="0.00"/>
    <s v="0.00"/>
    <s v="0.00"/>
    <s v="0.00"/>
    <s v="2025-05-06"/>
    <s v="1"/>
    <s v="0"/>
    <x v="15"/>
    <x v="13"/>
    <s v="Negocio"/>
    <s v="IZI*REPUESTOS MAX AVEDANO"/>
    <x v="13"/>
    <x v="17"/>
    <s v="NULL"/>
    <s v="IZIPAY"/>
    <x v="1"/>
  </r>
  <r>
    <s v="5785121"/>
    <s v="5847445"/>
    <x v="16"/>
    <s v="05 "/>
    <s v="4 SEG COINCIDENCIA BL CUENTA"/>
    <x v="0"/>
    <x v="0"/>
    <x v="0"/>
    <x v="0"/>
    <x v="0"/>
    <s v="5785121"/>
    <s v="22308.20"/>
    <s v="176.00"/>
    <s v="150.00"/>
    <s v="1.00"/>
    <s v="150.00"/>
    <s v="1.00"/>
    <s v="0.00"/>
    <s v="0.00"/>
    <s v="2025-01-15"/>
    <s v="1"/>
    <s v="0"/>
    <x v="0"/>
    <x v="0"/>
    <s v="Negocio"/>
    <s v="IZI*INVERSIONES PERUANAS EIRL"/>
    <x v="0"/>
    <x v="18"/>
    <s v="NULL"/>
    <s v="WUNDERMAN"/>
    <x v="0"/>
  </r>
  <r>
    <s v="5834780"/>
    <s v="5846537"/>
    <x v="17"/>
    <s v="05 "/>
    <s v="4 SEG COINCIDENCIA BL"/>
    <x v="1"/>
    <x v="0"/>
    <x v="0"/>
    <x v="1"/>
    <x v="1"/>
    <s v="5834780"/>
    <s v="238.20"/>
    <s v="1.00"/>
    <s v="0.00"/>
    <s v="0.00"/>
    <s v="0.00"/>
    <s v="0.00"/>
    <s v="0.00"/>
    <s v="0.00"/>
    <s v="2025-05-21"/>
    <s v="1"/>
    <s v="0"/>
    <x v="15"/>
    <x v="13"/>
    <s v="Negocio"/>
    <s v="IZI*TELETICKET"/>
    <x v="14"/>
    <x v="17"/>
    <s v="NULL"/>
    <s v="IZIPAY"/>
    <x v="1"/>
  </r>
  <r>
    <s v="3536937"/>
    <s v="3524224"/>
    <x v="18"/>
    <s v="05 "/>
    <s v="SEG KEVIN CACO"/>
    <x v="1"/>
    <x v="0"/>
    <x v="0"/>
    <x v="1"/>
    <x v="1"/>
    <s v="NULL"/>
    <s v="NULL"/>
    <s v="NULL"/>
    <s v="NULL"/>
    <s v="NULL"/>
    <s v="NULL"/>
    <s v="NULL"/>
    <s v="NULL"/>
    <s v="NULL"/>
    <s v="2025-06-26"/>
    <s v="7"/>
    <s v="0"/>
    <x v="16"/>
    <x v="14"/>
    <s v="Empresa"/>
    <s v="IZI*LIBRERIA BAZAR WILMER"/>
    <x v="1"/>
    <x v="5"/>
    <s v="NULL"/>
    <m/>
    <x v="1"/>
  </r>
  <r>
    <s v="5847660"/>
    <s v="5046017"/>
    <x v="19"/>
    <s v="05 "/>
    <s v="CERRADO POR SEG"/>
    <x v="0"/>
    <x v="1"/>
    <x v="0"/>
    <x v="1"/>
    <x v="1"/>
    <s v="NULL"/>
    <s v="NULL"/>
    <s v="NULL"/>
    <s v="NULL"/>
    <s v="NULL"/>
    <s v="NULL"/>
    <s v="NULL"/>
    <s v="NULL"/>
    <s v="NULL"/>
    <s v="2025-06-30"/>
    <s v="7"/>
    <s v="0"/>
    <x v="17"/>
    <x v="15"/>
    <s v="Negocio"/>
    <s v="IZI*BAR RESTAURANTE EL TIBURON"/>
    <x v="15"/>
    <x v="19"/>
    <s v="NULL"/>
    <s v="CMBRANDO"/>
    <x v="3"/>
  </r>
  <r>
    <s v="5847660"/>
    <s v="5067498"/>
    <x v="19"/>
    <s v="05 "/>
    <s v="CERRADO POR SEG"/>
    <x v="0"/>
    <x v="0"/>
    <x v="1"/>
    <x v="0"/>
    <x v="0"/>
    <s v="NULL"/>
    <s v="NULL"/>
    <s v="NULL"/>
    <s v="NULL"/>
    <s v="NULL"/>
    <s v="NULL"/>
    <s v="NULL"/>
    <s v="NULL"/>
    <s v="NULL"/>
    <s v="2025-06-30"/>
    <s v="7"/>
    <s v="0"/>
    <x v="17"/>
    <x v="15"/>
    <s v="Negocio"/>
    <s v="IZI*BAR RESTAURANTE EL TIBURON"/>
    <x v="15"/>
    <x v="19"/>
    <s v="NULL"/>
    <s v="CMBRANDO"/>
    <x v="6"/>
  </r>
  <r>
    <s v="3536933"/>
    <s v="3524224"/>
    <x v="5"/>
    <s v="05 "/>
    <s v="SEG KEVIN CACO"/>
    <x v="1"/>
    <x v="0"/>
    <x v="0"/>
    <x v="1"/>
    <x v="1"/>
    <s v="NULL"/>
    <s v="NULL"/>
    <s v="NULL"/>
    <s v="NULL"/>
    <s v="NULL"/>
    <s v="NULL"/>
    <s v="NULL"/>
    <s v="NULL"/>
    <s v="NULL"/>
    <s v="2025-06-26"/>
    <s v="7"/>
    <s v="0"/>
    <x v="5"/>
    <x v="4"/>
    <s v="Empresa"/>
    <s v="IZI*MULTISERVICIOS EMANUEL"/>
    <x v="1"/>
    <x v="5"/>
    <s v="NULL"/>
    <m/>
    <x v="1"/>
  </r>
  <r>
    <s v="5847013"/>
    <s v="5846182"/>
    <x v="20"/>
    <s v="05 "/>
    <s v="4 SEG COINCIDENCIA BL"/>
    <x v="0"/>
    <x v="1"/>
    <x v="0"/>
    <x v="1"/>
    <x v="1"/>
    <s v="5847013"/>
    <s v="1.00"/>
    <s v="1.00"/>
    <s v="0.00"/>
    <s v="0.00"/>
    <s v="0.00"/>
    <s v="0.00"/>
    <s v="0.00"/>
    <s v="0.00"/>
    <s v="2025-06-27"/>
    <s v="1"/>
    <s v="0"/>
    <x v="18"/>
    <x v="16"/>
    <s v="Negocio"/>
    <s v="IZI*MINIMARKET OLMEDO"/>
    <x v="16"/>
    <x v="20"/>
    <s v="NULL"/>
    <s v="TELEATENTO DEL PERU SAC"/>
    <x v="3"/>
  </r>
  <r>
    <s v="5847749"/>
    <s v="5772880"/>
    <x v="21"/>
    <s v="05 "/>
    <s v="1 SEG TRX.RECHAZADAS"/>
    <x v="0"/>
    <x v="0"/>
    <x v="0"/>
    <x v="0"/>
    <x v="0"/>
    <s v="NULL"/>
    <s v="NULL"/>
    <s v="NULL"/>
    <s v="NULL"/>
    <s v="NULL"/>
    <s v="NULL"/>
    <s v="NULL"/>
    <s v="NULL"/>
    <s v="NULL"/>
    <s v="2025-06-30"/>
    <s v="7"/>
    <s v="0"/>
    <x v="19"/>
    <x v="17"/>
    <s v="Negocio"/>
    <s v="IZI*MISHEL"/>
    <x v="17"/>
    <x v="21"/>
    <s v="NULL"/>
    <s v="WUNDERMA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D6D6A-BB1B-4861-B4A9-EDD5375BE64C}" name="TablaDinámica1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P4:Q12" firstHeaderRow="1" firstDataRow="1" firstDataCol="1" rowPageCount="1" colPageCount="1"/>
  <pivotFields count="31"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9">
        <item x="10"/>
        <item x="14"/>
        <item x="4"/>
        <item x="0"/>
        <item x="1"/>
        <item x="2"/>
        <item x="3"/>
        <item x="5"/>
        <item x="6"/>
        <item x="7"/>
        <item x="8"/>
        <item x="9"/>
        <item x="11"/>
        <item x="12"/>
        <item x="13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8">
    <i>
      <x v="3"/>
    </i>
    <i>
      <x v="5"/>
    </i>
    <i>
      <x v="13"/>
    </i>
    <i>
      <x v="15"/>
    </i>
    <i>
      <x v="17"/>
    </i>
    <i>
      <x v="7"/>
    </i>
    <i>
      <x v="11"/>
    </i>
    <i t="grand">
      <x/>
    </i>
  </rowItems>
  <colItems count="1">
    <i/>
  </colItems>
  <pageFields count="1">
    <pageField fld="9" hier="-1"/>
  </pageFields>
  <dataFields count="1">
    <dataField name="Cuenta de RepLegal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956A2-CB3E-42AD-994A-83F563F4F340}" name="TablaDinámica1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M4:N6" firstHeaderRow="1" firstDataRow="1" firstDataCol="1" rowPageCount="1" colPageCount="1"/>
  <pivotFields count="31">
    <pivotField showAll="0"/>
    <pivotField showAll="0"/>
    <pivotField showAll="0"/>
    <pivotField showAll="0"/>
    <pivotField showAll="0"/>
    <pivotField multipleItemSelectionAllowe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9">
        <item x="1"/>
        <item x="9"/>
        <item x="5"/>
        <item x="0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26"/>
  </rowFields>
  <rowItems count="2">
    <i>
      <x v="15"/>
    </i>
    <i t="grand">
      <x/>
    </i>
  </rowItems>
  <colItems count="1">
    <i/>
  </colItems>
  <pageFields count="1">
    <pageField fld="7" hier="-1"/>
  </pageFields>
  <dataFields count="1">
    <dataField name="Cuenta de nrocta" fld="2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17C07-3B9F-4A12-9967-401BB38825A3}" name="TablaDiná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J4:K11" firstHeaderRow="1" firstDataRow="1" firstDataCol="1" rowPageCount="1" colPageCount="1"/>
  <pivotFields count="31"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1">
        <item x="11"/>
        <item x="16"/>
        <item x="5"/>
        <item x="0"/>
        <item x="1"/>
        <item x="2"/>
        <item x="3"/>
        <item x="4"/>
        <item x="6"/>
        <item x="7"/>
        <item x="8"/>
        <item x="9"/>
        <item x="10"/>
        <item x="12"/>
        <item x="13"/>
        <item x="14"/>
        <item x="15"/>
        <item x="17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7">
    <i>
      <x v="3"/>
    </i>
    <i>
      <x v="17"/>
    </i>
    <i>
      <x v="14"/>
    </i>
    <i>
      <x v="8"/>
    </i>
    <i>
      <x v="19"/>
    </i>
    <i>
      <x v="12"/>
    </i>
    <i t="grand">
      <x/>
    </i>
  </rowItems>
  <colItems count="1">
    <i/>
  </colItems>
  <pageFields count="1">
    <pageField fld="8" hier="-1"/>
  </pageFields>
  <dataFields count="1">
    <dataField name="Cuenta de NroDoc2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47002-C548-48FA-86C3-6B701E88936B}" name="TablaDinámica1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G4:H11" firstHeaderRow="1" firstDataRow="1" firstDataCol="1" rowPageCount="1" colPageCount="1"/>
  <pivotFields count="31">
    <pivotField showAll="0"/>
    <pivotField showAll="0"/>
    <pivotField axis="axisRow" showAll="0" sortType="descending">
      <items count="23">
        <item x="12"/>
        <item x="18"/>
        <item x="5"/>
        <item x="0"/>
        <item x="1"/>
        <item x="2"/>
        <item x="3"/>
        <item x="4"/>
        <item x="6"/>
        <item x="7"/>
        <item x="8"/>
        <item x="9"/>
        <item x="10"/>
        <item x="11"/>
        <item x="13"/>
        <item x="14"/>
        <item x="15"/>
        <item x="16"/>
        <item x="17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multipleItemSelectionAllowed="1"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"/>
  </rowFields>
  <rowItems count="7">
    <i>
      <x v="13"/>
    </i>
    <i>
      <x v="20"/>
    </i>
    <i>
      <x v="19"/>
    </i>
    <i>
      <x v="7"/>
    </i>
    <i>
      <x/>
    </i>
    <i>
      <x v="8"/>
    </i>
    <i t="grand">
      <x/>
    </i>
  </rowItems>
  <colItems count="1">
    <i/>
  </colItems>
  <pageFields count="1">
    <pageField fld="6" hier="-1"/>
  </pageFields>
  <dataFields count="1">
    <dataField name="Cuenta de telef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19AC2-A24D-41B8-BBCA-3BD78EECD140}" name="TablaDiná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4:E15" firstHeaderRow="1" firstDataRow="1" firstDataCol="1" rowPageCount="1" colPageCount="1"/>
  <pivotFields count="31"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3">
        <item x="13"/>
        <item x="11"/>
        <item x="5"/>
        <item x="0"/>
        <item x="1"/>
        <item x="2"/>
        <item x="3"/>
        <item x="4"/>
        <item x="6"/>
        <item x="7"/>
        <item x="8"/>
        <item x="9"/>
        <item x="10"/>
        <item x="12"/>
        <item x="14"/>
        <item x="15"/>
        <item x="16"/>
        <item x="17"/>
        <item x="18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7"/>
  </rowFields>
  <rowItems count="11">
    <i>
      <x v="2"/>
    </i>
    <i>
      <x v="17"/>
    </i>
    <i>
      <x v="12"/>
    </i>
    <i>
      <x v="14"/>
    </i>
    <i>
      <x v="1"/>
    </i>
    <i>
      <x v="13"/>
    </i>
    <i>
      <x v="9"/>
    </i>
    <i>
      <x v="4"/>
    </i>
    <i>
      <x/>
    </i>
    <i>
      <x v="7"/>
    </i>
    <i t="grand">
      <x/>
    </i>
  </rowItems>
  <colItems count="1">
    <i/>
  </colItems>
  <pageFields count="1">
    <pageField fld="5" hier="-1"/>
  </pageFields>
  <dataFields count="1">
    <dataField name="Cuenta de telef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D4A34-70E8-4796-A780-3A68B9CB08F1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8">
        <item x="0"/>
        <item x="2"/>
        <item x="1"/>
        <item x="3"/>
        <item x="5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0"/>
  </rowFields>
  <rowItems count="8">
    <i>
      <x v="2"/>
    </i>
    <i>
      <x/>
    </i>
    <i>
      <x v="3"/>
    </i>
    <i>
      <x v="1"/>
    </i>
    <i>
      <x v="5"/>
    </i>
    <i>
      <x v="6"/>
    </i>
    <i>
      <x v="4"/>
    </i>
    <i t="grand">
      <x/>
    </i>
  </rowItems>
  <colItems count="1">
    <i/>
  </colItems>
  <dataFields count="1">
    <dataField name="Cuenta de Grupo" fld="3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588B-DE10-4063-B57F-5565A60E86DF}">
  <dimension ref="A2:Q15"/>
  <sheetViews>
    <sheetView workbookViewId="0">
      <selection activeCell="A33" sqref="A33"/>
    </sheetView>
  </sheetViews>
  <sheetFormatPr baseColWidth="10" defaultRowHeight="15" x14ac:dyDescent="0.25"/>
  <cols>
    <col min="1" max="1" width="29.85546875" bestFit="1" customWidth="1"/>
    <col min="2" max="2" width="16.140625" bestFit="1" customWidth="1"/>
    <col min="4" max="4" width="17.5703125" bestFit="1" customWidth="1"/>
    <col min="5" max="5" width="15.85546875" bestFit="1" customWidth="1"/>
    <col min="7" max="7" width="29.5703125" bestFit="1" customWidth="1"/>
    <col min="8" max="8" width="15.85546875" bestFit="1" customWidth="1"/>
    <col min="10" max="10" width="17.5703125" bestFit="1" customWidth="1"/>
    <col min="11" max="12" width="18.140625" bestFit="1" customWidth="1"/>
    <col min="13" max="13" width="17.5703125" bestFit="1" customWidth="1"/>
    <col min="14" max="15" width="16.140625" bestFit="1" customWidth="1"/>
    <col min="16" max="16" width="17.5703125" bestFit="1" customWidth="1"/>
    <col min="17" max="18" width="18.5703125" bestFit="1" customWidth="1"/>
  </cols>
  <sheetData>
    <row r="2" spans="1:17" x14ac:dyDescent="0.25">
      <c r="D2" s="2" t="s">
        <v>5</v>
      </c>
      <c r="E2" t="s">
        <v>33</v>
      </c>
      <c r="G2" s="2" t="s">
        <v>6</v>
      </c>
      <c r="H2" t="s">
        <v>33</v>
      </c>
      <c r="J2" s="2" t="s">
        <v>8</v>
      </c>
      <c r="K2" t="s">
        <v>33</v>
      </c>
      <c r="M2" s="2" t="s">
        <v>7</v>
      </c>
      <c r="N2" t="s">
        <v>33</v>
      </c>
      <c r="P2" s="2" t="s">
        <v>9</v>
      </c>
      <c r="Q2" t="s">
        <v>33</v>
      </c>
    </row>
    <row r="3" spans="1:17" x14ac:dyDescent="0.25">
      <c r="A3" s="2" t="s">
        <v>38</v>
      </c>
      <c r="B3" t="s">
        <v>40</v>
      </c>
    </row>
    <row r="4" spans="1:17" x14ac:dyDescent="0.25">
      <c r="A4" s="3" t="s">
        <v>51</v>
      </c>
      <c r="B4">
        <v>14</v>
      </c>
      <c r="D4" s="2" t="s">
        <v>38</v>
      </c>
      <c r="E4" t="s">
        <v>41</v>
      </c>
      <c r="G4" s="2" t="s">
        <v>38</v>
      </c>
      <c r="H4" t="s">
        <v>41</v>
      </c>
      <c r="J4" s="2" t="s">
        <v>38</v>
      </c>
      <c r="K4" t="s">
        <v>42</v>
      </c>
      <c r="M4" s="2" t="s">
        <v>38</v>
      </c>
      <c r="N4" t="s">
        <v>44</v>
      </c>
      <c r="P4" s="2" t="s">
        <v>38</v>
      </c>
      <c r="Q4" t="s">
        <v>43</v>
      </c>
    </row>
    <row r="5" spans="1:17" x14ac:dyDescent="0.25">
      <c r="A5" s="3" t="s">
        <v>45</v>
      </c>
      <c r="B5">
        <v>7</v>
      </c>
      <c r="D5" s="3" t="s">
        <v>106</v>
      </c>
      <c r="E5">
        <v>3</v>
      </c>
      <c r="G5" s="3" t="s">
        <v>207</v>
      </c>
      <c r="H5">
        <v>1</v>
      </c>
      <c r="J5" s="3" t="s">
        <v>123</v>
      </c>
      <c r="K5">
        <v>5</v>
      </c>
      <c r="M5" s="3" t="s">
        <v>274</v>
      </c>
      <c r="N5">
        <v>1</v>
      </c>
      <c r="P5" s="3" t="s">
        <v>123</v>
      </c>
      <c r="Q5">
        <v>5</v>
      </c>
    </row>
    <row r="6" spans="1:17" x14ac:dyDescent="0.25">
      <c r="A6" s="3" t="s">
        <v>61</v>
      </c>
      <c r="B6">
        <v>4</v>
      </c>
      <c r="D6" s="3" t="s">
        <v>253</v>
      </c>
      <c r="E6">
        <v>2</v>
      </c>
      <c r="G6" s="3" t="s">
        <v>280</v>
      </c>
      <c r="H6">
        <v>1</v>
      </c>
      <c r="J6" s="3" t="s">
        <v>272</v>
      </c>
      <c r="K6">
        <v>1</v>
      </c>
      <c r="M6" s="3" t="s">
        <v>39</v>
      </c>
      <c r="N6">
        <v>1</v>
      </c>
      <c r="P6" s="3" t="s">
        <v>141</v>
      </c>
      <c r="Q6">
        <v>2</v>
      </c>
    </row>
    <row r="7" spans="1:17" x14ac:dyDescent="0.25">
      <c r="A7" s="3" t="s">
        <v>50</v>
      </c>
      <c r="B7">
        <v>2</v>
      </c>
      <c r="D7" s="3" t="s">
        <v>195</v>
      </c>
      <c r="E7">
        <v>2</v>
      </c>
      <c r="G7" s="3" t="s">
        <v>271</v>
      </c>
      <c r="H7">
        <v>1</v>
      </c>
      <c r="J7" s="3" t="s">
        <v>229</v>
      </c>
      <c r="K7">
        <v>1</v>
      </c>
      <c r="P7" s="3" t="s">
        <v>229</v>
      </c>
      <c r="Q7">
        <v>1</v>
      </c>
    </row>
    <row r="8" spans="1:17" x14ac:dyDescent="0.25">
      <c r="A8" s="3" t="s">
        <v>97</v>
      </c>
      <c r="B8">
        <v>1</v>
      </c>
      <c r="D8" s="3" t="s">
        <v>223</v>
      </c>
      <c r="E8">
        <v>2</v>
      </c>
      <c r="G8" s="3" t="s">
        <v>157</v>
      </c>
      <c r="H8">
        <v>1</v>
      </c>
      <c r="J8" s="3" t="s">
        <v>172</v>
      </c>
      <c r="K8">
        <v>1</v>
      </c>
      <c r="P8" s="3" t="s">
        <v>272</v>
      </c>
      <c r="Q8">
        <v>1</v>
      </c>
    </row>
    <row r="9" spans="1:17" x14ac:dyDescent="0.25">
      <c r="A9" s="3" t="s">
        <v>116</v>
      </c>
      <c r="B9">
        <v>1</v>
      </c>
      <c r="D9" s="3" t="s">
        <v>88</v>
      </c>
      <c r="E9">
        <v>1</v>
      </c>
      <c r="G9" s="3" t="s">
        <v>69</v>
      </c>
      <c r="H9">
        <v>1</v>
      </c>
      <c r="J9" s="3" t="s">
        <v>289</v>
      </c>
      <c r="K9">
        <v>1</v>
      </c>
      <c r="P9" s="3" t="s">
        <v>290</v>
      </c>
      <c r="Q9">
        <v>1</v>
      </c>
    </row>
    <row r="10" spans="1:17" x14ac:dyDescent="0.25">
      <c r="A10" s="3" t="s">
        <v>67</v>
      </c>
      <c r="B10">
        <v>1</v>
      </c>
      <c r="D10" s="3" t="s">
        <v>212</v>
      </c>
      <c r="E10">
        <v>1</v>
      </c>
      <c r="G10" s="3" t="s">
        <v>170</v>
      </c>
      <c r="H10">
        <v>1</v>
      </c>
      <c r="J10" s="3" t="s">
        <v>209</v>
      </c>
      <c r="K10">
        <v>1</v>
      </c>
      <c r="P10" s="3" t="s">
        <v>172</v>
      </c>
      <c r="Q10">
        <v>1</v>
      </c>
    </row>
    <row r="11" spans="1:17" x14ac:dyDescent="0.25">
      <c r="A11" s="3" t="s">
        <v>39</v>
      </c>
      <c r="B11">
        <v>30</v>
      </c>
      <c r="D11" s="3" t="s">
        <v>183</v>
      </c>
      <c r="E11">
        <v>1</v>
      </c>
      <c r="G11" s="3" t="s">
        <v>39</v>
      </c>
      <c r="H11">
        <v>6</v>
      </c>
      <c r="J11" s="3" t="s">
        <v>39</v>
      </c>
      <c r="K11">
        <v>10</v>
      </c>
      <c r="P11" s="3" t="s">
        <v>210</v>
      </c>
      <c r="Q11">
        <v>1</v>
      </c>
    </row>
    <row r="12" spans="1:17" x14ac:dyDescent="0.25">
      <c r="D12" s="3" t="s">
        <v>133</v>
      </c>
      <c r="E12">
        <v>1</v>
      </c>
      <c r="P12" s="3" t="s">
        <v>39</v>
      </c>
      <c r="Q12">
        <v>12</v>
      </c>
    </row>
    <row r="13" spans="1:17" x14ac:dyDescent="0.25">
      <c r="D13" s="3" t="s">
        <v>71</v>
      </c>
      <c r="E13">
        <v>1</v>
      </c>
    </row>
    <row r="14" spans="1:17" x14ac:dyDescent="0.25">
      <c r="D14" s="3" t="s">
        <v>162</v>
      </c>
      <c r="E14">
        <v>1</v>
      </c>
    </row>
    <row r="15" spans="1:17" x14ac:dyDescent="0.25">
      <c r="D15" s="3" t="s">
        <v>39</v>
      </c>
      <c r="E1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233C-8D45-443A-851C-6C2D2C0BF08A}">
  <dimension ref="A1:AE33"/>
  <sheetViews>
    <sheetView tabSelected="1" workbookViewId="0">
      <selection activeCell="A32" sqref="A32"/>
    </sheetView>
  </sheetViews>
  <sheetFormatPr baseColWidth="10" defaultRowHeight="15" x14ac:dyDescent="0.25"/>
  <cols>
    <col min="1" max="1" width="38" style="1" customWidth="1"/>
    <col min="2" max="22" width="11.42578125" style="1"/>
    <col min="23" max="23" width="12" style="1" bestFit="1" customWidth="1"/>
    <col min="24" max="16384" width="11.42578125" style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277</v>
      </c>
      <c r="B2" s="1" t="s">
        <v>99</v>
      </c>
      <c r="C2" s="1" t="s">
        <v>109</v>
      </c>
      <c r="D2" s="1" t="s">
        <v>31</v>
      </c>
      <c r="E2" s="1" t="s">
        <v>101</v>
      </c>
      <c r="F2" s="1" t="s">
        <v>33</v>
      </c>
      <c r="G2" s="1" t="s">
        <v>32</v>
      </c>
      <c r="H2" s="1" t="s">
        <v>32</v>
      </c>
      <c r="I2" s="1" t="s">
        <v>32</v>
      </c>
      <c r="J2" s="1" t="s">
        <v>32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158</v>
      </c>
      <c r="U2" s="1" t="s">
        <v>36</v>
      </c>
      <c r="V2" s="1" t="s">
        <v>32</v>
      </c>
      <c r="W2" s="1" t="s">
        <v>110</v>
      </c>
      <c r="X2" s="1" t="s">
        <v>111</v>
      </c>
      <c r="Y2" s="1" t="s">
        <v>66</v>
      </c>
      <c r="Z2" s="1" t="s">
        <v>112</v>
      </c>
      <c r="AB2" s="1" t="s">
        <v>106</v>
      </c>
      <c r="AC2" s="1" t="s">
        <v>35</v>
      </c>
      <c r="AE2" s="1" t="s">
        <v>51</v>
      </c>
    </row>
    <row r="3" spans="1:31" x14ac:dyDescent="0.25">
      <c r="A3" s="1" t="s">
        <v>268</v>
      </c>
      <c r="B3" s="1" t="s">
        <v>99</v>
      </c>
      <c r="C3" s="1" t="s">
        <v>100</v>
      </c>
      <c r="D3" s="1" t="s">
        <v>31</v>
      </c>
      <c r="E3" s="1" t="s">
        <v>101</v>
      </c>
      <c r="F3" s="1" t="s">
        <v>33</v>
      </c>
      <c r="G3" s="1" t="s">
        <v>32</v>
      </c>
      <c r="H3" s="1" t="s">
        <v>32</v>
      </c>
      <c r="I3" s="1" t="s">
        <v>32</v>
      </c>
      <c r="J3" s="1" t="s">
        <v>32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158</v>
      </c>
      <c r="U3" s="1" t="s">
        <v>36</v>
      </c>
      <c r="V3" s="1" t="s">
        <v>32</v>
      </c>
      <c r="W3" s="1" t="s">
        <v>102</v>
      </c>
      <c r="X3" s="1" t="s">
        <v>103</v>
      </c>
      <c r="Y3" s="1" t="s">
        <v>66</v>
      </c>
      <c r="Z3" s="1" t="s">
        <v>104</v>
      </c>
      <c r="AB3" s="1" t="s">
        <v>106</v>
      </c>
      <c r="AC3" s="1" t="s">
        <v>35</v>
      </c>
      <c r="AE3" s="1" t="s">
        <v>51</v>
      </c>
    </row>
    <row r="4" spans="1:31" x14ac:dyDescent="0.25">
      <c r="A4" s="1" t="s">
        <v>145</v>
      </c>
      <c r="B4" s="1" t="s">
        <v>128</v>
      </c>
      <c r="C4" s="1" t="s">
        <v>146</v>
      </c>
      <c r="D4" s="1" t="s">
        <v>31</v>
      </c>
      <c r="E4" s="1" t="s">
        <v>115</v>
      </c>
      <c r="F4" s="1" t="s">
        <v>32</v>
      </c>
      <c r="G4" s="1" t="s">
        <v>32</v>
      </c>
      <c r="H4" s="1" t="s">
        <v>32</v>
      </c>
      <c r="I4" s="1" t="s">
        <v>32</v>
      </c>
      <c r="J4" s="1" t="s">
        <v>33</v>
      </c>
      <c r="K4" s="1" t="s">
        <v>145</v>
      </c>
      <c r="L4" s="1" t="s">
        <v>147</v>
      </c>
      <c r="M4" s="1" t="s">
        <v>148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149</v>
      </c>
      <c r="U4" s="1" t="s">
        <v>68</v>
      </c>
      <c r="V4" s="1" t="s">
        <v>32</v>
      </c>
      <c r="W4" s="1" t="s">
        <v>150</v>
      </c>
      <c r="X4" s="1" t="s">
        <v>141</v>
      </c>
      <c r="Y4" s="1" t="s">
        <v>34</v>
      </c>
      <c r="Z4" s="1" t="s">
        <v>151</v>
      </c>
      <c r="AA4" s="1" t="s">
        <v>152</v>
      </c>
      <c r="AB4" s="1" t="s">
        <v>153</v>
      </c>
      <c r="AC4" s="1" t="s">
        <v>35</v>
      </c>
      <c r="AD4" s="1" t="s">
        <v>154</v>
      </c>
      <c r="AE4" s="1" t="s">
        <v>50</v>
      </c>
    </row>
    <row r="5" spans="1:31" x14ac:dyDescent="0.25">
      <c r="A5" s="1" t="s">
        <v>238</v>
      </c>
      <c r="B5" s="1" t="s">
        <v>118</v>
      </c>
      <c r="C5" s="1" t="s">
        <v>185</v>
      </c>
      <c r="D5" s="1" t="s">
        <v>31</v>
      </c>
      <c r="E5" s="1" t="s">
        <v>79</v>
      </c>
      <c r="F5" s="1" t="s">
        <v>32</v>
      </c>
      <c r="G5" s="1" t="s">
        <v>32</v>
      </c>
      <c r="H5" s="1" t="s">
        <v>32</v>
      </c>
      <c r="I5" s="1" t="s">
        <v>33</v>
      </c>
      <c r="J5" s="1" t="s">
        <v>33</v>
      </c>
      <c r="K5" s="1" t="s">
        <v>238</v>
      </c>
      <c r="L5" s="1" t="s">
        <v>239</v>
      </c>
      <c r="M5" s="1" t="s">
        <v>240</v>
      </c>
      <c r="N5" s="1" t="s">
        <v>241</v>
      </c>
      <c r="O5" s="1" t="s">
        <v>65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242</v>
      </c>
      <c r="U5" s="1" t="s">
        <v>77</v>
      </c>
      <c r="V5" s="1" t="s">
        <v>32</v>
      </c>
      <c r="W5" s="1" t="s">
        <v>123</v>
      </c>
      <c r="X5" s="1" t="s">
        <v>123</v>
      </c>
      <c r="Y5" s="1" t="s">
        <v>34</v>
      </c>
      <c r="Z5" s="1" t="s">
        <v>243</v>
      </c>
      <c r="AA5" s="1" t="s">
        <v>125</v>
      </c>
      <c r="AB5" s="1" t="s">
        <v>244</v>
      </c>
      <c r="AC5" s="1" t="s">
        <v>35</v>
      </c>
      <c r="AD5" s="1" t="s">
        <v>52</v>
      </c>
      <c r="AE5" s="1" t="s">
        <v>45</v>
      </c>
    </row>
    <row r="6" spans="1:31" x14ac:dyDescent="0.25">
      <c r="A6" s="1" t="s">
        <v>184</v>
      </c>
      <c r="B6" s="1" t="s">
        <v>118</v>
      </c>
      <c r="C6" s="1" t="s">
        <v>185</v>
      </c>
      <c r="D6" s="1" t="s">
        <v>31</v>
      </c>
      <c r="E6" s="1" t="s">
        <v>79</v>
      </c>
      <c r="F6" s="1" t="s">
        <v>32</v>
      </c>
      <c r="G6" s="1" t="s">
        <v>32</v>
      </c>
      <c r="H6" s="1" t="s">
        <v>32</v>
      </c>
      <c r="I6" s="1" t="s">
        <v>33</v>
      </c>
      <c r="J6" s="1" t="s">
        <v>33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122</v>
      </c>
      <c r="U6" s="1" t="s">
        <v>36</v>
      </c>
      <c r="V6" s="1" t="s">
        <v>32</v>
      </c>
      <c r="W6" s="1" t="s">
        <v>123</v>
      </c>
      <c r="X6" s="1" t="s">
        <v>123</v>
      </c>
      <c r="Y6" s="1" t="s">
        <v>34</v>
      </c>
      <c r="Z6" s="1" t="s">
        <v>186</v>
      </c>
      <c r="AA6" s="1" t="s">
        <v>125</v>
      </c>
      <c r="AB6" s="1" t="s">
        <v>187</v>
      </c>
      <c r="AC6" s="1" t="s">
        <v>35</v>
      </c>
      <c r="AD6" s="1" t="s">
        <v>52</v>
      </c>
      <c r="AE6" s="1" t="s">
        <v>45</v>
      </c>
    </row>
    <row r="7" spans="1:31" x14ac:dyDescent="0.25">
      <c r="A7" s="1" t="s">
        <v>188</v>
      </c>
      <c r="B7" s="1" t="s">
        <v>118</v>
      </c>
      <c r="C7" s="1" t="s">
        <v>119</v>
      </c>
      <c r="D7" s="1" t="s">
        <v>31</v>
      </c>
      <c r="E7" s="1" t="s">
        <v>79</v>
      </c>
      <c r="F7" s="1" t="s">
        <v>32</v>
      </c>
      <c r="G7" s="1" t="s">
        <v>32</v>
      </c>
      <c r="H7" s="1" t="s">
        <v>32</v>
      </c>
      <c r="I7" s="1" t="s">
        <v>33</v>
      </c>
      <c r="J7" s="1" t="s">
        <v>33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122</v>
      </c>
      <c r="U7" s="1" t="s">
        <v>36</v>
      </c>
      <c r="V7" s="1" t="s">
        <v>32</v>
      </c>
      <c r="W7" s="1" t="s">
        <v>123</v>
      </c>
      <c r="X7" s="1" t="s">
        <v>123</v>
      </c>
      <c r="Y7" s="1" t="s">
        <v>34</v>
      </c>
      <c r="Z7" s="1" t="s">
        <v>186</v>
      </c>
      <c r="AA7" s="1" t="s">
        <v>125</v>
      </c>
      <c r="AB7" s="1" t="s">
        <v>189</v>
      </c>
      <c r="AC7" s="1" t="s">
        <v>35</v>
      </c>
      <c r="AD7" s="1" t="s">
        <v>52</v>
      </c>
      <c r="AE7" s="1" t="s">
        <v>45</v>
      </c>
    </row>
    <row r="8" spans="1:31" x14ac:dyDescent="0.25">
      <c r="A8" s="1" t="s">
        <v>117</v>
      </c>
      <c r="B8" s="1" t="s">
        <v>118</v>
      </c>
      <c r="C8" s="1" t="s">
        <v>119</v>
      </c>
      <c r="D8" s="1" t="s">
        <v>31</v>
      </c>
      <c r="E8" s="1" t="s">
        <v>79</v>
      </c>
      <c r="F8" s="1" t="s">
        <v>32</v>
      </c>
      <c r="G8" s="1" t="s">
        <v>32</v>
      </c>
      <c r="H8" s="1" t="s">
        <v>32</v>
      </c>
      <c r="I8" s="1" t="s">
        <v>33</v>
      </c>
      <c r="J8" s="1" t="s">
        <v>33</v>
      </c>
      <c r="K8" s="1" t="s">
        <v>117</v>
      </c>
      <c r="L8" s="1" t="s">
        <v>120</v>
      </c>
      <c r="M8" s="1" t="s">
        <v>121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122</v>
      </c>
      <c r="U8" s="1" t="s">
        <v>76</v>
      </c>
      <c r="V8" s="1" t="s">
        <v>32</v>
      </c>
      <c r="W8" s="1" t="s">
        <v>123</v>
      </c>
      <c r="X8" s="1" t="s">
        <v>123</v>
      </c>
      <c r="Y8" s="1" t="s">
        <v>34</v>
      </c>
      <c r="Z8" s="1" t="s">
        <v>124</v>
      </c>
      <c r="AA8" s="1" t="s">
        <v>125</v>
      </c>
      <c r="AB8" s="1" t="s">
        <v>126</v>
      </c>
      <c r="AC8" s="1" t="s">
        <v>35</v>
      </c>
      <c r="AD8" s="1" t="s">
        <v>37</v>
      </c>
      <c r="AE8" s="1" t="s">
        <v>45</v>
      </c>
    </row>
    <row r="9" spans="1:31" x14ac:dyDescent="0.25">
      <c r="A9" s="1" t="s">
        <v>134</v>
      </c>
      <c r="B9" s="1" t="s">
        <v>128</v>
      </c>
      <c r="C9" s="1" t="s">
        <v>135</v>
      </c>
      <c r="D9" s="1" t="s">
        <v>31</v>
      </c>
      <c r="E9" s="1" t="s">
        <v>115</v>
      </c>
      <c r="F9" s="1" t="s">
        <v>32</v>
      </c>
      <c r="G9" s="1" t="s">
        <v>32</v>
      </c>
      <c r="H9" s="1" t="s">
        <v>32</v>
      </c>
      <c r="I9" s="1" t="s">
        <v>32</v>
      </c>
      <c r="J9" s="1" t="s">
        <v>33</v>
      </c>
      <c r="K9" s="1" t="s">
        <v>134</v>
      </c>
      <c r="L9" s="1" t="s">
        <v>136</v>
      </c>
      <c r="M9" s="1" t="s">
        <v>137</v>
      </c>
      <c r="N9" s="1" t="s">
        <v>138</v>
      </c>
      <c r="O9" s="1" t="s">
        <v>78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139</v>
      </c>
      <c r="U9" s="1" t="s">
        <v>33</v>
      </c>
      <c r="V9" s="1" t="s">
        <v>32</v>
      </c>
      <c r="W9" s="1" t="s">
        <v>140</v>
      </c>
      <c r="X9" s="1" t="s">
        <v>141</v>
      </c>
      <c r="Y9" s="1" t="s">
        <v>34</v>
      </c>
      <c r="Z9" s="1" t="s">
        <v>142</v>
      </c>
      <c r="AA9" s="1" t="s">
        <v>143</v>
      </c>
      <c r="AB9" s="1" t="s">
        <v>144</v>
      </c>
      <c r="AC9" s="1" t="s">
        <v>35</v>
      </c>
      <c r="AD9" s="1" t="s">
        <v>52</v>
      </c>
      <c r="AE9" s="1" t="s">
        <v>50</v>
      </c>
    </row>
    <row r="10" spans="1:31" x14ac:dyDescent="0.25">
      <c r="A10" s="1" t="s">
        <v>254</v>
      </c>
      <c r="B10" s="1" t="s">
        <v>118</v>
      </c>
      <c r="C10" s="1" t="s">
        <v>255</v>
      </c>
      <c r="D10" s="1" t="s">
        <v>31</v>
      </c>
      <c r="E10" s="1" t="s">
        <v>79</v>
      </c>
      <c r="F10" s="1" t="s">
        <v>32</v>
      </c>
      <c r="G10" s="1" t="s">
        <v>32</v>
      </c>
      <c r="H10" s="1" t="s">
        <v>32</v>
      </c>
      <c r="I10" s="1" t="s">
        <v>33</v>
      </c>
      <c r="J10" s="1" t="s">
        <v>33</v>
      </c>
      <c r="K10" s="1" t="s">
        <v>254</v>
      </c>
      <c r="L10" s="1" t="s">
        <v>256</v>
      </c>
      <c r="M10" s="1" t="s">
        <v>257</v>
      </c>
      <c r="N10" s="1" t="s">
        <v>258</v>
      </c>
      <c r="O10" s="1" t="s">
        <v>65</v>
      </c>
      <c r="P10" s="1" t="s">
        <v>258</v>
      </c>
      <c r="Q10" s="1" t="s">
        <v>65</v>
      </c>
      <c r="R10" s="1" t="s">
        <v>55</v>
      </c>
      <c r="S10" s="1" t="s">
        <v>55</v>
      </c>
      <c r="T10" s="1" t="s">
        <v>259</v>
      </c>
      <c r="U10" s="1" t="s">
        <v>33</v>
      </c>
      <c r="V10" s="1" t="s">
        <v>32</v>
      </c>
      <c r="W10" s="1" t="s">
        <v>123</v>
      </c>
      <c r="X10" s="1" t="s">
        <v>123</v>
      </c>
      <c r="Y10" s="1" t="s">
        <v>34</v>
      </c>
      <c r="Z10" s="1" t="s">
        <v>260</v>
      </c>
      <c r="AA10" s="1" t="s">
        <v>125</v>
      </c>
      <c r="AB10" s="1" t="s">
        <v>261</v>
      </c>
      <c r="AC10" s="1" t="s">
        <v>35</v>
      </c>
      <c r="AD10" s="1" t="s">
        <v>52</v>
      </c>
      <c r="AE10" s="1" t="s">
        <v>45</v>
      </c>
    </row>
    <row r="11" spans="1:31" x14ac:dyDescent="0.25">
      <c r="A11" s="1" t="s">
        <v>245</v>
      </c>
      <c r="B11" s="1" t="s">
        <v>246</v>
      </c>
      <c r="C11" s="1" t="s">
        <v>247</v>
      </c>
      <c r="D11" s="1" t="s">
        <v>31</v>
      </c>
      <c r="E11" s="1" t="s">
        <v>75</v>
      </c>
      <c r="F11" s="1" t="s">
        <v>33</v>
      </c>
      <c r="G11" s="1" t="s">
        <v>32</v>
      </c>
      <c r="H11" s="1" t="s">
        <v>32</v>
      </c>
      <c r="I11" s="1" t="s">
        <v>32</v>
      </c>
      <c r="J11" s="1" t="s">
        <v>32</v>
      </c>
      <c r="K11" s="1" t="s">
        <v>245</v>
      </c>
      <c r="L11" s="1" t="s">
        <v>248</v>
      </c>
      <c r="M11" s="1" t="s">
        <v>56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249</v>
      </c>
      <c r="U11" s="1" t="s">
        <v>33</v>
      </c>
      <c r="V11" s="1" t="s">
        <v>32</v>
      </c>
      <c r="W11" s="1" t="s">
        <v>250</v>
      </c>
      <c r="X11" s="1" t="s">
        <v>250</v>
      </c>
      <c r="Y11" s="1" t="s">
        <v>34</v>
      </c>
      <c r="Z11" s="1" t="s">
        <v>251</v>
      </c>
      <c r="AA11" s="1" t="s">
        <v>252</v>
      </c>
      <c r="AB11" s="1" t="s">
        <v>253</v>
      </c>
      <c r="AC11" s="1" t="s">
        <v>35</v>
      </c>
      <c r="AD11" s="1" t="s">
        <v>37</v>
      </c>
      <c r="AE11" s="1" t="s">
        <v>51</v>
      </c>
    </row>
    <row r="12" spans="1:31" x14ac:dyDescent="0.25">
      <c r="A12" s="1" t="s">
        <v>262</v>
      </c>
      <c r="B12" s="1" t="s">
        <v>246</v>
      </c>
      <c r="C12" s="1" t="s">
        <v>263</v>
      </c>
      <c r="D12" s="1" t="s">
        <v>31</v>
      </c>
      <c r="E12" s="1" t="s">
        <v>75</v>
      </c>
      <c r="F12" s="1" t="s">
        <v>33</v>
      </c>
      <c r="G12" s="1" t="s">
        <v>32</v>
      </c>
      <c r="H12" s="1" t="s">
        <v>32</v>
      </c>
      <c r="I12" s="1" t="s">
        <v>32</v>
      </c>
      <c r="J12" s="1" t="s">
        <v>32</v>
      </c>
      <c r="K12" s="1" t="s">
        <v>262</v>
      </c>
      <c r="L12" s="1" t="s">
        <v>264</v>
      </c>
      <c r="M12" s="1" t="s">
        <v>65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265</v>
      </c>
      <c r="U12" s="1" t="s">
        <v>33</v>
      </c>
      <c r="V12" s="1" t="s">
        <v>32</v>
      </c>
      <c r="W12" s="1" t="s">
        <v>250</v>
      </c>
      <c r="X12" s="1" t="s">
        <v>250</v>
      </c>
      <c r="Y12" s="1" t="s">
        <v>34</v>
      </c>
      <c r="Z12" s="1" t="s">
        <v>266</v>
      </c>
      <c r="AA12" s="1" t="s">
        <v>267</v>
      </c>
      <c r="AB12" s="1" t="s">
        <v>253</v>
      </c>
      <c r="AC12" s="1" t="s">
        <v>35</v>
      </c>
      <c r="AD12" s="1" t="s">
        <v>37</v>
      </c>
      <c r="AE12" s="1" t="s">
        <v>51</v>
      </c>
    </row>
    <row r="13" spans="1:31" x14ac:dyDescent="0.25">
      <c r="A13" s="1" t="s">
        <v>196</v>
      </c>
      <c r="B13" s="1" t="s">
        <v>87</v>
      </c>
      <c r="C13" s="1" t="s">
        <v>197</v>
      </c>
      <c r="D13" s="1" t="s">
        <v>31</v>
      </c>
      <c r="E13" s="1" t="s">
        <v>58</v>
      </c>
      <c r="F13" s="1" t="s">
        <v>33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196</v>
      </c>
      <c r="L13" s="1" t="s">
        <v>198</v>
      </c>
      <c r="M13" s="1" t="s">
        <v>199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200</v>
      </c>
      <c r="U13" s="1" t="s">
        <v>33</v>
      </c>
      <c r="V13" s="1" t="s">
        <v>32</v>
      </c>
      <c r="W13" s="1" t="s">
        <v>201</v>
      </c>
      <c r="X13" s="1" t="s">
        <v>202</v>
      </c>
      <c r="Y13" s="1" t="s">
        <v>34</v>
      </c>
      <c r="Z13" s="1" t="s">
        <v>203</v>
      </c>
      <c r="AA13" s="1" t="s">
        <v>204</v>
      </c>
      <c r="AB13" s="1" t="s">
        <v>88</v>
      </c>
      <c r="AC13" s="1" t="s">
        <v>35</v>
      </c>
      <c r="AD13" s="1" t="s">
        <v>89</v>
      </c>
      <c r="AE13" s="1" t="s">
        <v>51</v>
      </c>
    </row>
    <row r="14" spans="1:31" x14ac:dyDescent="0.25">
      <c r="A14" s="1" t="s">
        <v>225</v>
      </c>
      <c r="B14" s="1" t="s">
        <v>226</v>
      </c>
      <c r="C14" s="1" t="s">
        <v>227</v>
      </c>
      <c r="D14" s="1" t="s">
        <v>31</v>
      </c>
      <c r="E14" s="1" t="s">
        <v>228</v>
      </c>
      <c r="F14" s="1" t="s">
        <v>32</v>
      </c>
      <c r="G14" s="1" t="s">
        <v>32</v>
      </c>
      <c r="H14" s="1" t="s">
        <v>32</v>
      </c>
      <c r="I14" s="1" t="s">
        <v>33</v>
      </c>
      <c r="J14" s="1" t="s">
        <v>33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158</v>
      </c>
      <c r="U14" s="1" t="s">
        <v>36</v>
      </c>
      <c r="V14" s="1" t="s">
        <v>32</v>
      </c>
      <c r="W14" s="1" t="s">
        <v>229</v>
      </c>
      <c r="X14" s="1" t="s">
        <v>229</v>
      </c>
      <c r="Y14" s="1" t="s">
        <v>34</v>
      </c>
      <c r="Z14" s="1" t="s">
        <v>230</v>
      </c>
      <c r="AA14" s="1" t="s">
        <v>231</v>
      </c>
      <c r="AB14" s="1" t="s">
        <v>232</v>
      </c>
      <c r="AC14" s="1" t="s">
        <v>35</v>
      </c>
      <c r="AD14" s="1" t="s">
        <v>37</v>
      </c>
      <c r="AE14" s="1" t="s">
        <v>45</v>
      </c>
    </row>
    <row r="15" spans="1:31" x14ac:dyDescent="0.25">
      <c r="A15" s="1" t="s">
        <v>155</v>
      </c>
      <c r="B15" s="1" t="s">
        <v>156</v>
      </c>
      <c r="C15" s="1" t="s">
        <v>157</v>
      </c>
      <c r="D15" s="1" t="s">
        <v>53</v>
      </c>
      <c r="E15" s="1" t="s">
        <v>54</v>
      </c>
      <c r="F15" s="1" t="s">
        <v>33</v>
      </c>
      <c r="G15" s="1" t="s">
        <v>32</v>
      </c>
      <c r="H15" s="1" t="s">
        <v>32</v>
      </c>
      <c r="I15" s="1" t="s">
        <v>32</v>
      </c>
      <c r="J15" s="1" t="s">
        <v>32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158</v>
      </c>
      <c r="U15" s="1" t="s">
        <v>36</v>
      </c>
      <c r="V15" s="1" t="s">
        <v>32</v>
      </c>
      <c r="W15" s="1" t="s">
        <v>159</v>
      </c>
      <c r="X15" s="1" t="s">
        <v>159</v>
      </c>
      <c r="Y15" s="1" t="s">
        <v>34</v>
      </c>
      <c r="Z15" s="1" t="s">
        <v>160</v>
      </c>
      <c r="AA15" s="1" t="s">
        <v>161</v>
      </c>
      <c r="AB15" s="1" t="s">
        <v>162</v>
      </c>
      <c r="AC15" s="1" t="s">
        <v>35</v>
      </c>
      <c r="AD15" s="1" t="s">
        <v>163</v>
      </c>
      <c r="AE15" s="1" t="s">
        <v>51</v>
      </c>
    </row>
    <row r="16" spans="1:31" x14ac:dyDescent="0.25">
      <c r="A16" s="1" t="s">
        <v>155</v>
      </c>
      <c r="B16" s="1" t="s">
        <v>164</v>
      </c>
      <c r="C16" s="1" t="s">
        <v>157</v>
      </c>
      <c r="D16" s="1" t="s">
        <v>53</v>
      </c>
      <c r="E16" s="1" t="s">
        <v>54</v>
      </c>
      <c r="F16" s="1" t="s">
        <v>32</v>
      </c>
      <c r="G16" s="1" t="s">
        <v>33</v>
      </c>
      <c r="H16" s="1" t="s">
        <v>32</v>
      </c>
      <c r="I16" s="1" t="s">
        <v>32</v>
      </c>
      <c r="J16" s="1" t="s">
        <v>32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  <c r="S16" s="1" t="s">
        <v>35</v>
      </c>
      <c r="T16" s="1" t="s">
        <v>158</v>
      </c>
      <c r="U16" s="1" t="s">
        <v>36</v>
      </c>
      <c r="V16" s="1" t="s">
        <v>32</v>
      </c>
      <c r="W16" s="1" t="s">
        <v>159</v>
      </c>
      <c r="X16" s="1" t="s">
        <v>159</v>
      </c>
      <c r="Y16" s="1" t="s">
        <v>34</v>
      </c>
      <c r="Z16" s="1" t="s">
        <v>160</v>
      </c>
      <c r="AA16" s="1" t="s">
        <v>161</v>
      </c>
      <c r="AB16" s="1" t="s">
        <v>162</v>
      </c>
      <c r="AC16" s="1" t="s">
        <v>35</v>
      </c>
      <c r="AD16" s="1" t="s">
        <v>163</v>
      </c>
      <c r="AE16" s="1" t="s">
        <v>61</v>
      </c>
    </row>
    <row r="17" spans="1:31" x14ac:dyDescent="0.25">
      <c r="A17" s="1" t="s">
        <v>278</v>
      </c>
      <c r="B17" s="1" t="s">
        <v>279</v>
      </c>
      <c r="C17" s="1" t="s">
        <v>280</v>
      </c>
      <c r="D17" s="1" t="s">
        <v>31</v>
      </c>
      <c r="E17" s="1" t="s">
        <v>75</v>
      </c>
      <c r="F17" s="1" t="s">
        <v>32</v>
      </c>
      <c r="G17" s="1" t="s">
        <v>33</v>
      </c>
      <c r="H17" s="1" t="s">
        <v>32</v>
      </c>
      <c r="I17" s="1" t="s">
        <v>32</v>
      </c>
      <c r="J17" s="1" t="s">
        <v>32</v>
      </c>
      <c r="K17" s="1" t="s">
        <v>278</v>
      </c>
      <c r="L17" s="1" t="s">
        <v>65</v>
      </c>
      <c r="M17" s="1" t="s">
        <v>65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130</v>
      </c>
      <c r="U17" s="1" t="s">
        <v>33</v>
      </c>
      <c r="V17" s="1" t="s">
        <v>32</v>
      </c>
      <c r="W17" s="1" t="s">
        <v>281</v>
      </c>
      <c r="X17" s="1" t="s">
        <v>282</v>
      </c>
      <c r="Y17" s="1" t="s">
        <v>34</v>
      </c>
      <c r="Z17" s="1" t="s">
        <v>283</v>
      </c>
      <c r="AA17" s="1" t="s">
        <v>284</v>
      </c>
      <c r="AB17" s="1" t="s">
        <v>285</v>
      </c>
      <c r="AC17" s="1" t="s">
        <v>35</v>
      </c>
      <c r="AD17" s="1" t="s">
        <v>57</v>
      </c>
      <c r="AE17" s="1" t="s">
        <v>61</v>
      </c>
    </row>
    <row r="18" spans="1:31" x14ac:dyDescent="0.25">
      <c r="A18" s="1" t="s">
        <v>127</v>
      </c>
      <c r="B18" s="1" t="s">
        <v>128</v>
      </c>
      <c r="C18" s="1" t="s">
        <v>129</v>
      </c>
      <c r="D18" s="1" t="s">
        <v>31</v>
      </c>
      <c r="E18" s="1" t="s">
        <v>115</v>
      </c>
      <c r="F18" s="1" t="s">
        <v>33</v>
      </c>
      <c r="G18" s="1" t="s">
        <v>32</v>
      </c>
      <c r="H18" s="1" t="s">
        <v>32</v>
      </c>
      <c r="I18" s="1" t="s">
        <v>32</v>
      </c>
      <c r="J18" s="1" t="s">
        <v>32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130</v>
      </c>
      <c r="U18" s="1" t="s">
        <v>36</v>
      </c>
      <c r="V18" s="1" t="s">
        <v>32</v>
      </c>
      <c r="W18" s="1" t="s">
        <v>131</v>
      </c>
      <c r="X18" s="1" t="s">
        <v>131</v>
      </c>
      <c r="Y18" s="1" t="s">
        <v>34</v>
      </c>
      <c r="Z18" s="1" t="s">
        <v>132</v>
      </c>
      <c r="AB18" s="1" t="s">
        <v>133</v>
      </c>
      <c r="AC18" s="1" t="s">
        <v>35</v>
      </c>
      <c r="AD18" s="1" t="s">
        <v>52</v>
      </c>
      <c r="AE18" s="1" t="s">
        <v>51</v>
      </c>
    </row>
    <row r="19" spans="1:31" x14ac:dyDescent="0.25">
      <c r="A19" s="1" t="s">
        <v>176</v>
      </c>
      <c r="B19" s="1" t="s">
        <v>177</v>
      </c>
      <c r="C19" s="1" t="s">
        <v>178</v>
      </c>
      <c r="D19" s="1" t="s">
        <v>31</v>
      </c>
      <c r="E19" s="1" t="s">
        <v>107</v>
      </c>
      <c r="F19" s="1" t="s">
        <v>33</v>
      </c>
      <c r="G19" s="1" t="s">
        <v>32</v>
      </c>
      <c r="H19" s="1" t="s">
        <v>32</v>
      </c>
      <c r="I19" s="1" t="s">
        <v>32</v>
      </c>
      <c r="J19" s="1" t="s">
        <v>32</v>
      </c>
      <c r="K19" s="1" t="s">
        <v>176</v>
      </c>
      <c r="L19" s="1" t="s">
        <v>179</v>
      </c>
      <c r="M19" s="1" t="s">
        <v>78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171</v>
      </c>
      <c r="U19" s="1" t="s">
        <v>33</v>
      </c>
      <c r="V19" s="1" t="s">
        <v>32</v>
      </c>
      <c r="W19" s="1" t="s">
        <v>180</v>
      </c>
      <c r="X19" s="1" t="s">
        <v>180</v>
      </c>
      <c r="Y19" s="1" t="s">
        <v>34</v>
      </c>
      <c r="Z19" s="1" t="s">
        <v>181</v>
      </c>
      <c r="AA19" s="1" t="s">
        <v>182</v>
      </c>
      <c r="AB19" s="1" t="s">
        <v>183</v>
      </c>
      <c r="AC19" s="1" t="s">
        <v>35</v>
      </c>
      <c r="AD19" s="1" t="s">
        <v>37</v>
      </c>
      <c r="AE19" s="1" t="s">
        <v>51</v>
      </c>
    </row>
    <row r="20" spans="1:31" x14ac:dyDescent="0.25">
      <c r="A20" s="1" t="s">
        <v>168</v>
      </c>
      <c r="B20" s="1" t="s">
        <v>169</v>
      </c>
      <c r="C20" s="1" t="s">
        <v>170</v>
      </c>
      <c r="D20" s="1" t="s">
        <v>31</v>
      </c>
      <c r="E20" s="1" t="s">
        <v>59</v>
      </c>
      <c r="F20" s="1" t="s">
        <v>32</v>
      </c>
      <c r="G20" s="1" t="s">
        <v>33</v>
      </c>
      <c r="H20" s="1" t="s">
        <v>32</v>
      </c>
      <c r="I20" s="1" t="s">
        <v>33</v>
      </c>
      <c r="J20" s="1" t="s">
        <v>33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171</v>
      </c>
      <c r="U20" s="1" t="s">
        <v>36</v>
      </c>
      <c r="V20" s="1" t="s">
        <v>32</v>
      </c>
      <c r="W20" s="1" t="s">
        <v>172</v>
      </c>
      <c r="X20" s="1" t="s">
        <v>172</v>
      </c>
      <c r="Y20" s="1" t="s">
        <v>34</v>
      </c>
      <c r="Z20" s="1" t="s">
        <v>173</v>
      </c>
      <c r="AA20" s="1" t="s">
        <v>174</v>
      </c>
      <c r="AB20" s="1" t="s">
        <v>175</v>
      </c>
      <c r="AC20" s="1" t="s">
        <v>35</v>
      </c>
      <c r="AD20" s="1" t="s">
        <v>52</v>
      </c>
      <c r="AE20" s="1" t="s">
        <v>97</v>
      </c>
    </row>
    <row r="21" spans="1:31" x14ac:dyDescent="0.25">
      <c r="A21" s="1" t="s">
        <v>190</v>
      </c>
      <c r="B21" s="1" t="s">
        <v>191</v>
      </c>
      <c r="C21" s="1" t="s">
        <v>192</v>
      </c>
      <c r="D21" s="1" t="s">
        <v>31</v>
      </c>
      <c r="E21" s="1" t="s">
        <v>59</v>
      </c>
      <c r="F21" s="1" t="s">
        <v>33</v>
      </c>
      <c r="G21" s="1" t="s">
        <v>32</v>
      </c>
      <c r="H21" s="1" t="s">
        <v>32</v>
      </c>
      <c r="I21" s="1" t="s">
        <v>32</v>
      </c>
      <c r="J21" s="1" t="s">
        <v>32</v>
      </c>
      <c r="K21" s="1" t="s">
        <v>190</v>
      </c>
      <c r="L21" s="1" t="s">
        <v>65</v>
      </c>
      <c r="M21" s="1" t="s">
        <v>65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171</v>
      </c>
      <c r="U21" s="1" t="s">
        <v>33</v>
      </c>
      <c r="V21" s="1" t="s">
        <v>32</v>
      </c>
      <c r="W21" s="1" t="s">
        <v>193</v>
      </c>
      <c r="X21" s="1" t="s">
        <v>193</v>
      </c>
      <c r="Y21" s="1" t="s">
        <v>34</v>
      </c>
      <c r="Z21" s="1" t="s">
        <v>194</v>
      </c>
      <c r="AB21" s="1" t="s">
        <v>195</v>
      </c>
      <c r="AC21" s="1" t="s">
        <v>35</v>
      </c>
      <c r="AD21" s="1" t="s">
        <v>52</v>
      </c>
      <c r="AE21" s="1" t="s">
        <v>51</v>
      </c>
    </row>
    <row r="22" spans="1:31" x14ac:dyDescent="0.25">
      <c r="A22" s="1" t="s">
        <v>235</v>
      </c>
      <c r="B22" s="1" t="s">
        <v>191</v>
      </c>
      <c r="C22" s="1" t="s">
        <v>192</v>
      </c>
      <c r="D22" s="1" t="s">
        <v>31</v>
      </c>
      <c r="E22" s="1" t="s">
        <v>59</v>
      </c>
      <c r="F22" s="1" t="s">
        <v>33</v>
      </c>
      <c r="G22" s="1" t="s">
        <v>32</v>
      </c>
      <c r="H22" s="1" t="s">
        <v>32</v>
      </c>
      <c r="I22" s="1" t="s">
        <v>32</v>
      </c>
      <c r="J22" s="1" t="s">
        <v>32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171</v>
      </c>
      <c r="U22" s="1" t="s">
        <v>36</v>
      </c>
      <c r="V22" s="1" t="s">
        <v>32</v>
      </c>
      <c r="W22" s="1" t="s">
        <v>236</v>
      </c>
      <c r="X22" s="1" t="s">
        <v>193</v>
      </c>
      <c r="Y22" s="1" t="s">
        <v>66</v>
      </c>
      <c r="Z22" s="1" t="s">
        <v>194</v>
      </c>
      <c r="AA22" s="1" t="s">
        <v>237</v>
      </c>
      <c r="AB22" s="1" t="s">
        <v>195</v>
      </c>
      <c r="AC22" s="1" t="s">
        <v>35</v>
      </c>
      <c r="AD22" s="1" t="s">
        <v>114</v>
      </c>
      <c r="AE22" s="1" t="s">
        <v>51</v>
      </c>
    </row>
    <row r="23" spans="1:31" x14ac:dyDescent="0.25">
      <c r="A23" s="1" t="s">
        <v>165</v>
      </c>
      <c r="B23" s="1" t="s">
        <v>99</v>
      </c>
      <c r="C23" s="1" t="s">
        <v>109</v>
      </c>
      <c r="D23" s="1" t="s">
        <v>31</v>
      </c>
      <c r="E23" s="1" t="s">
        <v>101</v>
      </c>
      <c r="F23" s="1" t="s">
        <v>33</v>
      </c>
      <c r="G23" s="1" t="s">
        <v>32</v>
      </c>
      <c r="H23" s="1" t="s">
        <v>32</v>
      </c>
      <c r="I23" s="1" t="s">
        <v>32</v>
      </c>
      <c r="J23" s="1" t="s">
        <v>32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166</v>
      </c>
      <c r="U23" s="1" t="s">
        <v>36</v>
      </c>
      <c r="V23" s="1" t="s">
        <v>32</v>
      </c>
      <c r="W23" s="1" t="s">
        <v>110</v>
      </c>
      <c r="X23" s="1" t="s">
        <v>111</v>
      </c>
      <c r="Y23" s="1" t="s">
        <v>66</v>
      </c>
      <c r="Z23" s="1" t="s">
        <v>167</v>
      </c>
      <c r="AA23" s="1" t="s">
        <v>113</v>
      </c>
      <c r="AB23" s="1" t="s">
        <v>106</v>
      </c>
      <c r="AC23" s="1" t="s">
        <v>35</v>
      </c>
      <c r="AD23" s="1" t="s">
        <v>63</v>
      </c>
      <c r="AE23" s="1" t="s">
        <v>51</v>
      </c>
    </row>
    <row r="24" spans="1:31" s="4" customFormat="1" x14ac:dyDescent="0.25">
      <c r="A24" s="4" t="s">
        <v>213</v>
      </c>
      <c r="B24" s="4" t="s">
        <v>72</v>
      </c>
      <c r="C24" s="4" t="s">
        <v>69</v>
      </c>
      <c r="D24" s="4" t="s">
        <v>31</v>
      </c>
      <c r="E24" s="4" t="s">
        <v>70</v>
      </c>
      <c r="F24" s="4" t="s">
        <v>33</v>
      </c>
      <c r="G24" s="4" t="s">
        <v>32</v>
      </c>
      <c r="H24" s="4" t="s">
        <v>32</v>
      </c>
      <c r="I24" s="4" t="s">
        <v>32</v>
      </c>
      <c r="J24" s="4" t="s">
        <v>32</v>
      </c>
      <c r="K24" s="4" t="s">
        <v>35</v>
      </c>
      <c r="L24" s="4" t="s">
        <v>35</v>
      </c>
      <c r="M24" s="4" t="s">
        <v>35</v>
      </c>
      <c r="N24" s="4" t="s">
        <v>35</v>
      </c>
      <c r="O24" s="4" t="s">
        <v>35</v>
      </c>
      <c r="P24" s="4" t="s">
        <v>35</v>
      </c>
      <c r="Q24" s="4" t="s">
        <v>35</v>
      </c>
      <c r="R24" s="4" t="s">
        <v>35</v>
      </c>
      <c r="S24" s="4" t="s">
        <v>35</v>
      </c>
      <c r="T24" s="4" t="s">
        <v>166</v>
      </c>
      <c r="U24" s="4" t="s">
        <v>36</v>
      </c>
      <c r="V24" s="4" t="s">
        <v>32</v>
      </c>
      <c r="W24" s="4" t="s">
        <v>81</v>
      </c>
      <c r="X24" s="4" t="s">
        <v>82</v>
      </c>
      <c r="Y24" s="4" t="s">
        <v>34</v>
      </c>
      <c r="Z24" s="4" t="s">
        <v>83</v>
      </c>
      <c r="AA24" s="4" t="s">
        <v>84</v>
      </c>
      <c r="AB24" s="4" t="s">
        <v>71</v>
      </c>
      <c r="AC24" s="4" t="s">
        <v>35</v>
      </c>
      <c r="AD24" s="4" t="s">
        <v>63</v>
      </c>
      <c r="AE24" s="4" t="s">
        <v>51</v>
      </c>
    </row>
    <row r="25" spans="1:31" s="4" customFormat="1" x14ac:dyDescent="0.25">
      <c r="A25" s="4" t="s">
        <v>213</v>
      </c>
      <c r="B25" s="4" t="s">
        <v>214</v>
      </c>
      <c r="C25" s="4" t="s">
        <v>69</v>
      </c>
      <c r="D25" s="4" t="s">
        <v>31</v>
      </c>
      <c r="E25" s="4" t="s">
        <v>70</v>
      </c>
      <c r="F25" s="4" t="s">
        <v>32</v>
      </c>
      <c r="G25" s="4" t="s">
        <v>33</v>
      </c>
      <c r="H25" s="4" t="s">
        <v>32</v>
      </c>
      <c r="I25" s="4" t="s">
        <v>32</v>
      </c>
      <c r="J25" s="4" t="s">
        <v>32</v>
      </c>
      <c r="K25" s="4" t="s">
        <v>35</v>
      </c>
      <c r="L25" s="4" t="s">
        <v>35</v>
      </c>
      <c r="M25" s="4" t="s">
        <v>35</v>
      </c>
      <c r="N25" s="4" t="s">
        <v>35</v>
      </c>
      <c r="O25" s="4" t="s">
        <v>35</v>
      </c>
      <c r="P25" s="4" t="s">
        <v>35</v>
      </c>
      <c r="Q25" s="4" t="s">
        <v>35</v>
      </c>
      <c r="R25" s="4" t="s">
        <v>35</v>
      </c>
      <c r="S25" s="4" t="s">
        <v>35</v>
      </c>
      <c r="T25" s="4" t="s">
        <v>166</v>
      </c>
      <c r="U25" s="4" t="s">
        <v>36</v>
      </c>
      <c r="V25" s="4" t="s">
        <v>32</v>
      </c>
      <c r="W25" s="4" t="s">
        <v>81</v>
      </c>
      <c r="X25" s="4" t="s">
        <v>82</v>
      </c>
      <c r="Y25" s="4" t="s">
        <v>34</v>
      </c>
      <c r="Z25" s="4" t="s">
        <v>83</v>
      </c>
      <c r="AA25" s="4" t="s">
        <v>84</v>
      </c>
      <c r="AB25" s="4" t="s">
        <v>71</v>
      </c>
      <c r="AC25" s="4" t="s">
        <v>35</v>
      </c>
      <c r="AD25" s="4" t="s">
        <v>63</v>
      </c>
      <c r="AE25" s="4" t="s">
        <v>61</v>
      </c>
    </row>
    <row r="26" spans="1:31" s="5" customFormat="1" x14ac:dyDescent="0.25">
      <c r="A26" s="5" t="s">
        <v>205</v>
      </c>
      <c r="B26" s="5" t="s">
        <v>206</v>
      </c>
      <c r="C26" s="5" t="s">
        <v>207</v>
      </c>
      <c r="D26" s="5" t="s">
        <v>53</v>
      </c>
      <c r="E26" s="5" t="s">
        <v>208</v>
      </c>
      <c r="F26" s="5" t="s">
        <v>33</v>
      </c>
      <c r="G26" s="5" t="s">
        <v>33</v>
      </c>
      <c r="H26" s="5" t="s">
        <v>32</v>
      </c>
      <c r="I26" s="5" t="s">
        <v>33</v>
      </c>
      <c r="J26" s="5" t="s">
        <v>33</v>
      </c>
      <c r="K26" s="5" t="s">
        <v>35</v>
      </c>
      <c r="L26" s="5" t="s">
        <v>35</v>
      </c>
      <c r="M26" s="5" t="s">
        <v>35</v>
      </c>
      <c r="N26" s="5" t="s">
        <v>35</v>
      </c>
      <c r="O26" s="5" t="s">
        <v>35</v>
      </c>
      <c r="P26" s="5" t="s">
        <v>35</v>
      </c>
      <c r="Q26" s="5" t="s">
        <v>35</v>
      </c>
      <c r="R26" s="5" t="s">
        <v>35</v>
      </c>
      <c r="S26" s="5" t="s">
        <v>35</v>
      </c>
      <c r="T26" s="5" t="s">
        <v>166</v>
      </c>
      <c r="U26" s="5" t="s">
        <v>36</v>
      </c>
      <c r="V26" s="5" t="s">
        <v>32</v>
      </c>
      <c r="W26" s="5" t="s">
        <v>209</v>
      </c>
      <c r="X26" s="5" t="s">
        <v>210</v>
      </c>
      <c r="Y26" s="5" t="s">
        <v>34</v>
      </c>
      <c r="Z26" s="5" t="s">
        <v>211</v>
      </c>
      <c r="AB26" s="5" t="s">
        <v>212</v>
      </c>
      <c r="AC26" s="5" t="s">
        <v>35</v>
      </c>
      <c r="AD26" s="5" t="s">
        <v>74</v>
      </c>
      <c r="AE26" s="5" t="s">
        <v>67</v>
      </c>
    </row>
    <row r="27" spans="1:31" x14ac:dyDescent="0.25">
      <c r="A27" s="1" t="s">
        <v>269</v>
      </c>
      <c r="B27" s="1" t="s">
        <v>270</v>
      </c>
      <c r="C27" s="1" t="s">
        <v>271</v>
      </c>
      <c r="D27" s="1" t="s">
        <v>31</v>
      </c>
      <c r="E27" s="1" t="s">
        <v>59</v>
      </c>
      <c r="F27" s="1" t="s">
        <v>32</v>
      </c>
      <c r="G27" s="1" t="s">
        <v>33</v>
      </c>
      <c r="H27" s="1" t="s">
        <v>32</v>
      </c>
      <c r="I27" s="1" t="s">
        <v>32</v>
      </c>
      <c r="J27" s="1" t="s">
        <v>32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218</v>
      </c>
      <c r="U27" s="1" t="s">
        <v>36</v>
      </c>
      <c r="V27" s="1" t="s">
        <v>32</v>
      </c>
      <c r="W27" s="1" t="s">
        <v>272</v>
      </c>
      <c r="X27" s="1" t="s">
        <v>272</v>
      </c>
      <c r="Y27" s="1" t="s">
        <v>34</v>
      </c>
      <c r="Z27" s="1" t="s">
        <v>273</v>
      </c>
      <c r="AA27" s="1" t="s">
        <v>274</v>
      </c>
      <c r="AB27" s="1" t="s">
        <v>275</v>
      </c>
      <c r="AC27" s="1" t="s">
        <v>35</v>
      </c>
      <c r="AD27" s="1" t="s">
        <v>60</v>
      </c>
      <c r="AE27" s="1" t="s">
        <v>61</v>
      </c>
    </row>
    <row r="28" spans="1:31" x14ac:dyDescent="0.25">
      <c r="A28" s="1" t="s">
        <v>269</v>
      </c>
      <c r="B28" s="1" t="s">
        <v>276</v>
      </c>
      <c r="C28" s="1" t="s">
        <v>271</v>
      </c>
      <c r="D28" s="1" t="s">
        <v>31</v>
      </c>
      <c r="E28" s="1" t="s">
        <v>59</v>
      </c>
      <c r="F28" s="1" t="s">
        <v>32</v>
      </c>
      <c r="G28" s="1" t="s">
        <v>32</v>
      </c>
      <c r="H28" s="1" t="s">
        <v>33</v>
      </c>
      <c r="I28" s="1" t="s">
        <v>33</v>
      </c>
      <c r="J28" s="1" t="s">
        <v>33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218</v>
      </c>
      <c r="U28" s="1" t="s">
        <v>36</v>
      </c>
      <c r="V28" s="1" t="s">
        <v>32</v>
      </c>
      <c r="W28" s="1" t="s">
        <v>272</v>
      </c>
      <c r="X28" s="1" t="s">
        <v>272</v>
      </c>
      <c r="Y28" s="1" t="s">
        <v>34</v>
      </c>
      <c r="Z28" s="1" t="s">
        <v>273</v>
      </c>
      <c r="AA28" s="1" t="s">
        <v>274</v>
      </c>
      <c r="AB28" s="1" t="s">
        <v>275</v>
      </c>
      <c r="AC28" s="1" t="s">
        <v>35</v>
      </c>
      <c r="AD28" s="1" t="s">
        <v>60</v>
      </c>
      <c r="AE28" s="1" t="s">
        <v>116</v>
      </c>
    </row>
    <row r="29" spans="1:31" x14ac:dyDescent="0.25">
      <c r="A29" s="1" t="s">
        <v>215</v>
      </c>
      <c r="B29" s="1" t="s">
        <v>216</v>
      </c>
      <c r="C29" s="1" t="s">
        <v>217</v>
      </c>
      <c r="D29" s="1" t="s">
        <v>53</v>
      </c>
      <c r="E29" s="1" t="s">
        <v>54</v>
      </c>
      <c r="F29" s="1" t="s">
        <v>33</v>
      </c>
      <c r="G29" s="1" t="s">
        <v>32</v>
      </c>
      <c r="H29" s="1" t="s">
        <v>32</v>
      </c>
      <c r="I29" s="1" t="s">
        <v>32</v>
      </c>
      <c r="J29" s="1" t="s">
        <v>32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218</v>
      </c>
      <c r="U29" s="1" t="s">
        <v>36</v>
      </c>
      <c r="V29" s="1" t="s">
        <v>32</v>
      </c>
      <c r="W29" s="1" t="s">
        <v>219</v>
      </c>
      <c r="X29" s="1" t="s">
        <v>220</v>
      </c>
      <c r="Y29" s="1" t="s">
        <v>34</v>
      </c>
      <c r="Z29" s="1" t="s">
        <v>221</v>
      </c>
      <c r="AA29" s="1" t="s">
        <v>222</v>
      </c>
      <c r="AB29" s="1" t="s">
        <v>223</v>
      </c>
      <c r="AC29" s="1" t="s">
        <v>35</v>
      </c>
      <c r="AD29" s="1" t="s">
        <v>224</v>
      </c>
      <c r="AE29" s="1" t="s">
        <v>51</v>
      </c>
    </row>
    <row r="30" spans="1:31" x14ac:dyDescent="0.25">
      <c r="A30" s="1" t="s">
        <v>286</v>
      </c>
      <c r="B30" s="1" t="s">
        <v>287</v>
      </c>
      <c r="C30" s="1" t="s">
        <v>288</v>
      </c>
      <c r="D30" s="1" t="s">
        <v>31</v>
      </c>
      <c r="E30" s="1" t="s">
        <v>73</v>
      </c>
      <c r="F30" s="1" t="s">
        <v>32</v>
      </c>
      <c r="G30" s="1" t="s">
        <v>32</v>
      </c>
      <c r="H30" s="1" t="s">
        <v>32</v>
      </c>
      <c r="I30" s="1" t="s">
        <v>33</v>
      </c>
      <c r="J30" s="1" t="s">
        <v>33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35</v>
      </c>
      <c r="P30" s="1" t="s">
        <v>35</v>
      </c>
      <c r="Q30" s="1" t="s">
        <v>35</v>
      </c>
      <c r="R30" s="1" t="s">
        <v>35</v>
      </c>
      <c r="S30" s="1" t="s">
        <v>35</v>
      </c>
      <c r="T30" s="1" t="s">
        <v>218</v>
      </c>
      <c r="U30" s="1" t="s">
        <v>36</v>
      </c>
      <c r="V30" s="1" t="s">
        <v>32</v>
      </c>
      <c r="W30" s="1" t="s">
        <v>289</v>
      </c>
      <c r="X30" s="1" t="s">
        <v>290</v>
      </c>
      <c r="Y30" s="1" t="s">
        <v>34</v>
      </c>
      <c r="Z30" s="1" t="s">
        <v>291</v>
      </c>
      <c r="AA30" s="1" t="s">
        <v>292</v>
      </c>
      <c r="AB30" s="1" t="s">
        <v>293</v>
      </c>
      <c r="AC30" s="1" t="s">
        <v>35</v>
      </c>
      <c r="AD30" s="1" t="s">
        <v>52</v>
      </c>
      <c r="AE30" s="1" t="s">
        <v>45</v>
      </c>
    </row>
    <row r="31" spans="1:31" x14ac:dyDescent="0.25">
      <c r="A31" s="1" t="s">
        <v>233</v>
      </c>
      <c r="B31" s="1" t="s">
        <v>216</v>
      </c>
      <c r="C31" s="1" t="s">
        <v>217</v>
      </c>
      <c r="D31" s="1" t="s">
        <v>53</v>
      </c>
      <c r="E31" s="1" t="s">
        <v>54</v>
      </c>
      <c r="F31" s="1" t="s">
        <v>33</v>
      </c>
      <c r="G31" s="1" t="s">
        <v>32</v>
      </c>
      <c r="H31" s="1" t="s">
        <v>32</v>
      </c>
      <c r="I31" s="1" t="s">
        <v>32</v>
      </c>
      <c r="J31" s="1" t="s">
        <v>32</v>
      </c>
      <c r="K31" s="1" t="s">
        <v>35</v>
      </c>
      <c r="L31" s="1" t="s">
        <v>35</v>
      </c>
      <c r="M31" s="1" t="s">
        <v>35</v>
      </c>
      <c r="N31" s="1" t="s">
        <v>35</v>
      </c>
      <c r="O31" s="1" t="s">
        <v>35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218</v>
      </c>
      <c r="U31" s="1" t="s">
        <v>36</v>
      </c>
      <c r="V31" s="1" t="s">
        <v>32</v>
      </c>
      <c r="W31" s="1" t="s">
        <v>219</v>
      </c>
      <c r="X31" s="1" t="s">
        <v>220</v>
      </c>
      <c r="Y31" s="1" t="s">
        <v>34</v>
      </c>
      <c r="Z31" s="1" t="s">
        <v>234</v>
      </c>
      <c r="AA31" s="1" t="s">
        <v>222</v>
      </c>
      <c r="AB31" s="1" t="s">
        <v>223</v>
      </c>
      <c r="AC31" s="1" t="s">
        <v>35</v>
      </c>
      <c r="AD31" s="1" t="s">
        <v>224</v>
      </c>
      <c r="AE31" s="1" t="s">
        <v>51</v>
      </c>
    </row>
    <row r="33" spans="6:10" x14ac:dyDescent="0.25">
      <c r="F33" s="1" t="s">
        <v>33</v>
      </c>
      <c r="G33" s="1" t="s">
        <v>33</v>
      </c>
      <c r="H33" s="1" t="s">
        <v>33</v>
      </c>
      <c r="I33" s="1" t="s">
        <v>33</v>
      </c>
      <c r="J33" s="1" t="s">
        <v>33</v>
      </c>
    </row>
  </sheetData>
  <autoFilter ref="A1:AE31" xr:uid="{1A48233C-8D45-443A-851C-6C2D2C0BF08A}">
    <sortState xmlns:xlrd2="http://schemas.microsoft.com/office/spreadsheetml/2017/richdata2" ref="A2:AE31">
      <sortCondition ref="A1:A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BB07-8EF7-4E0F-BE6C-964DD7839745}">
  <dimension ref="A1:Q30"/>
  <sheetViews>
    <sheetView workbookViewId="0"/>
  </sheetViews>
  <sheetFormatPr baseColWidth="10" defaultColWidth="14.5703125" defaultRowHeight="15" x14ac:dyDescent="0.25"/>
  <cols>
    <col min="1" max="1" width="14.5703125" style="1"/>
    <col min="2" max="2" width="34.42578125" style="1" bestFit="1" customWidth="1"/>
    <col min="3" max="16384" width="14.5703125" style="1"/>
  </cols>
  <sheetData>
    <row r="1" spans="1:1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19</v>
      </c>
      <c r="F1" s="1" t="s">
        <v>20</v>
      </c>
      <c r="G1" s="1" t="s">
        <v>46</v>
      </c>
      <c r="H1" s="1" t="s">
        <v>47</v>
      </c>
      <c r="I1" s="1" t="s">
        <v>48</v>
      </c>
      <c r="J1" s="1" t="s">
        <v>24</v>
      </c>
      <c r="K1" s="1" t="s">
        <v>49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7" x14ac:dyDescent="0.25">
      <c r="A2">
        <v>5502762</v>
      </c>
      <c r="B2" t="s">
        <v>328</v>
      </c>
      <c r="C2"/>
      <c r="D2"/>
      <c r="E2">
        <v>20230704</v>
      </c>
      <c r="F2">
        <v>2</v>
      </c>
      <c r="G2" s="1">
        <v>73077451</v>
      </c>
      <c r="H2" s="1" t="s">
        <v>220</v>
      </c>
      <c r="I2" t="s">
        <v>330</v>
      </c>
      <c r="J2" t="s">
        <v>34</v>
      </c>
      <c r="K2" t="s">
        <v>331</v>
      </c>
      <c r="L2">
        <v>8983373235069</v>
      </c>
      <c r="M2">
        <v>978349401</v>
      </c>
      <c r="N2" t="s">
        <v>35</v>
      </c>
      <c r="O2" t="s">
        <v>85</v>
      </c>
      <c r="P2" t="e">
        <f>VLOOKUP(G2,Base!$W$2:$W$31,1,FALSE)</f>
        <v>#N/A</v>
      </c>
      <c r="Q2" t="str">
        <f>VLOOKUP(H2,Base!$X$2:$X$31,1,FALSE)</f>
        <v>73077451</v>
      </c>
    </row>
    <row r="3" spans="1:17" x14ac:dyDescent="0.25">
      <c r="A3">
        <v>5804500</v>
      </c>
      <c r="B3" t="s">
        <v>334</v>
      </c>
      <c r="C3"/>
      <c r="D3"/>
      <c r="E3">
        <v>20250228</v>
      </c>
      <c r="F3">
        <v>1</v>
      </c>
      <c r="G3" s="1">
        <v>73077451</v>
      </c>
      <c r="H3" s="1" t="s">
        <v>220</v>
      </c>
      <c r="I3" t="s">
        <v>330</v>
      </c>
      <c r="J3" t="s">
        <v>34</v>
      </c>
      <c r="K3" t="s">
        <v>336</v>
      </c>
      <c r="L3">
        <v>8983373235069</v>
      </c>
      <c r="M3">
        <v>979111470</v>
      </c>
      <c r="N3" t="s">
        <v>35</v>
      </c>
      <c r="O3" t="s">
        <v>311</v>
      </c>
      <c r="P3" t="e">
        <f>VLOOKUP(G3,Base!$W$2:$W$31,1,FALSE)</f>
        <v>#N/A</v>
      </c>
      <c r="Q3" t="str">
        <f>VLOOKUP(H3,Base!$X$2:$X$31,1,FALSE)</f>
        <v>73077451</v>
      </c>
    </row>
    <row r="4" spans="1:17" x14ac:dyDescent="0.25">
      <c r="A4">
        <v>5838322</v>
      </c>
      <c r="B4" t="s">
        <v>334</v>
      </c>
      <c r="C4"/>
      <c r="D4"/>
      <c r="E4">
        <v>20250531</v>
      </c>
      <c r="F4">
        <v>1</v>
      </c>
      <c r="G4" s="1">
        <v>10730774511</v>
      </c>
      <c r="H4" s="1" t="s">
        <v>220</v>
      </c>
      <c r="I4" t="s">
        <v>330</v>
      </c>
      <c r="J4" t="s">
        <v>34</v>
      </c>
      <c r="K4" t="s">
        <v>342</v>
      </c>
      <c r="L4">
        <v>8983373235069</v>
      </c>
      <c r="M4">
        <v>953650860</v>
      </c>
      <c r="N4" t="s">
        <v>35</v>
      </c>
      <c r="O4" t="s">
        <v>311</v>
      </c>
      <c r="P4" t="e">
        <f>VLOOKUP(G4,Base!$W$2:$W$31,1,FALSE)</f>
        <v>#N/A</v>
      </c>
      <c r="Q4" t="str">
        <f>VLOOKUP(H4,Base!$X$2:$X$31,1,FALSE)</f>
        <v>73077451</v>
      </c>
    </row>
    <row r="5" spans="1:17" x14ac:dyDescent="0.25">
      <c r="A5" s="1" t="s">
        <v>318</v>
      </c>
      <c r="B5" s="1" t="s">
        <v>288</v>
      </c>
      <c r="E5" s="1" t="s">
        <v>319</v>
      </c>
      <c r="F5" s="1" t="s">
        <v>33</v>
      </c>
      <c r="G5" s="1" t="s">
        <v>290</v>
      </c>
      <c r="H5" s="1" t="s">
        <v>290</v>
      </c>
      <c r="I5" s="1" t="s">
        <v>320</v>
      </c>
      <c r="J5" s="1" t="s">
        <v>34</v>
      </c>
      <c r="K5" s="1" t="s">
        <v>321</v>
      </c>
      <c r="L5" s="1" t="s">
        <v>322</v>
      </c>
      <c r="M5" s="1" t="s">
        <v>323</v>
      </c>
      <c r="N5" s="1" t="s">
        <v>35</v>
      </c>
      <c r="O5" s="1" t="s">
        <v>37</v>
      </c>
      <c r="P5" t="e">
        <f>VLOOKUP(G5,Base!$W$2:$W$31,1,FALSE)</f>
        <v>#N/A</v>
      </c>
      <c r="Q5" t="str">
        <f>VLOOKUP(H5,Base!$X$2:$X$31,1,FALSE)</f>
        <v>002486494</v>
      </c>
    </row>
    <row r="6" spans="1:17" x14ac:dyDescent="0.25">
      <c r="A6" s="1" t="s">
        <v>90</v>
      </c>
      <c r="B6" s="1" t="s">
        <v>91</v>
      </c>
      <c r="E6" s="1" t="s">
        <v>92</v>
      </c>
      <c r="F6" s="1" t="s">
        <v>36</v>
      </c>
      <c r="G6" s="1" t="s">
        <v>81</v>
      </c>
      <c r="H6" s="1" t="s">
        <v>82</v>
      </c>
      <c r="I6" s="1" t="s">
        <v>93</v>
      </c>
      <c r="J6" s="1" t="s">
        <v>34</v>
      </c>
      <c r="K6" s="1" t="s">
        <v>94</v>
      </c>
      <c r="L6" s="1" t="s">
        <v>95</v>
      </c>
      <c r="M6" s="1" t="s">
        <v>96</v>
      </c>
      <c r="N6" s="1" t="s">
        <v>35</v>
      </c>
      <c r="O6" s="1" t="s">
        <v>62</v>
      </c>
      <c r="P6" t="str">
        <f>VLOOKUP(G6,Base!$W$2:$W$31,1,FALSE)</f>
        <v>10468006273</v>
      </c>
      <c r="Q6" t="str">
        <f>VLOOKUP(H6,Base!$X$2:$X$31,1,FALSE)</f>
        <v>46800627</v>
      </c>
    </row>
    <row r="7" spans="1:17" x14ac:dyDescent="0.25">
      <c r="A7" s="1" t="s">
        <v>80</v>
      </c>
      <c r="B7" s="1" t="s">
        <v>69</v>
      </c>
      <c r="E7" s="1" t="s">
        <v>294</v>
      </c>
      <c r="F7" s="1" t="s">
        <v>36</v>
      </c>
      <c r="G7" s="1" t="s">
        <v>81</v>
      </c>
      <c r="H7" s="1" t="s">
        <v>82</v>
      </c>
      <c r="I7" s="1" t="s">
        <v>93</v>
      </c>
      <c r="J7" s="1" t="s">
        <v>34</v>
      </c>
      <c r="K7" s="1" t="s">
        <v>83</v>
      </c>
      <c r="L7" s="1" t="s">
        <v>84</v>
      </c>
      <c r="M7" s="1" t="s">
        <v>71</v>
      </c>
      <c r="N7" s="1" t="s">
        <v>35</v>
      </c>
      <c r="O7" s="1" t="s">
        <v>63</v>
      </c>
      <c r="P7" t="str">
        <f>VLOOKUP(G7,Base!$W$2:$W$31,1,FALSE)</f>
        <v>10468006273</v>
      </c>
      <c r="Q7" t="str">
        <f>VLOOKUP(H7,Base!$X$2:$X$31,1,FALSE)</f>
        <v>46800627</v>
      </c>
    </row>
    <row r="8" spans="1:17" x14ac:dyDescent="0.25">
      <c r="A8" s="1" t="s">
        <v>86</v>
      </c>
      <c r="B8" s="1" t="s">
        <v>69</v>
      </c>
      <c r="E8" s="1" t="s">
        <v>294</v>
      </c>
      <c r="F8" s="1" t="s">
        <v>36</v>
      </c>
      <c r="G8" s="1" t="s">
        <v>81</v>
      </c>
      <c r="H8" s="1" t="s">
        <v>82</v>
      </c>
      <c r="I8" s="1" t="s">
        <v>93</v>
      </c>
      <c r="J8" s="1" t="s">
        <v>34</v>
      </c>
      <c r="K8" s="1" t="s">
        <v>83</v>
      </c>
      <c r="L8" s="1" t="s">
        <v>84</v>
      </c>
      <c r="M8" s="1" t="s">
        <v>71</v>
      </c>
      <c r="N8" s="1" t="s">
        <v>35</v>
      </c>
      <c r="O8" s="1" t="s">
        <v>63</v>
      </c>
      <c r="P8" t="str">
        <f>VLOOKUP(G8,Base!$W$2:$W$31,1,FALSE)</f>
        <v>10468006273</v>
      </c>
      <c r="Q8" t="str">
        <f>VLOOKUP(H8,Base!$X$2:$X$31,1,FALSE)</f>
        <v>46800627</v>
      </c>
    </row>
    <row r="9" spans="1:17" x14ac:dyDescent="0.25">
      <c r="A9" s="1" t="s">
        <v>90</v>
      </c>
      <c r="B9" s="1" t="s">
        <v>91</v>
      </c>
      <c r="E9" s="1" t="s">
        <v>92</v>
      </c>
      <c r="F9" s="1" t="s">
        <v>36</v>
      </c>
      <c r="G9" s="1" t="s">
        <v>81</v>
      </c>
      <c r="H9" s="1" t="s">
        <v>82</v>
      </c>
      <c r="I9" s="1" t="s">
        <v>93</v>
      </c>
      <c r="J9" s="1" t="s">
        <v>34</v>
      </c>
      <c r="K9" s="1" t="s">
        <v>94</v>
      </c>
      <c r="L9" s="1" t="s">
        <v>95</v>
      </c>
      <c r="M9" s="1" t="s">
        <v>96</v>
      </c>
      <c r="N9" s="1" t="s">
        <v>35</v>
      </c>
      <c r="O9" s="1" t="s">
        <v>62</v>
      </c>
      <c r="P9" t="str">
        <f>VLOOKUP(G9,Base!$W$2:$W$31,1,FALSE)</f>
        <v>10468006273</v>
      </c>
      <c r="Q9" t="str">
        <f>VLOOKUP(H9,Base!$X$2:$X$31,1,FALSE)</f>
        <v>46800627</v>
      </c>
    </row>
    <row r="10" spans="1:17" x14ac:dyDescent="0.25">
      <c r="A10" s="1" t="s">
        <v>80</v>
      </c>
      <c r="B10" s="1" t="s">
        <v>69</v>
      </c>
      <c r="E10" s="1" t="s">
        <v>294</v>
      </c>
      <c r="F10" s="1" t="s">
        <v>36</v>
      </c>
      <c r="G10" s="1" t="s">
        <v>81</v>
      </c>
      <c r="H10" s="1" t="s">
        <v>82</v>
      </c>
      <c r="I10" s="1" t="s">
        <v>93</v>
      </c>
      <c r="J10" s="1" t="s">
        <v>34</v>
      </c>
      <c r="K10" s="1" t="s">
        <v>83</v>
      </c>
      <c r="L10" s="1" t="s">
        <v>84</v>
      </c>
      <c r="M10" s="1" t="s">
        <v>71</v>
      </c>
      <c r="N10" s="1" t="s">
        <v>35</v>
      </c>
      <c r="O10" s="1" t="s">
        <v>63</v>
      </c>
      <c r="P10" t="str">
        <f>VLOOKUP(G10,Base!$W$2:$W$31,1,FALSE)</f>
        <v>10468006273</v>
      </c>
      <c r="Q10" t="str">
        <f>VLOOKUP(H10,Base!$X$2:$X$31,1,FALSE)</f>
        <v>46800627</v>
      </c>
    </row>
    <row r="11" spans="1:17" x14ac:dyDescent="0.25">
      <c r="A11" s="1" t="s">
        <v>86</v>
      </c>
      <c r="B11" s="1" t="s">
        <v>69</v>
      </c>
      <c r="E11" s="1" t="s">
        <v>294</v>
      </c>
      <c r="F11" s="1" t="s">
        <v>36</v>
      </c>
      <c r="G11" s="1" t="s">
        <v>81</v>
      </c>
      <c r="H11" s="1" t="s">
        <v>82</v>
      </c>
      <c r="I11" s="1" t="s">
        <v>93</v>
      </c>
      <c r="J11" s="1" t="s">
        <v>34</v>
      </c>
      <c r="K11" s="1" t="s">
        <v>83</v>
      </c>
      <c r="L11" s="1" t="s">
        <v>84</v>
      </c>
      <c r="M11" s="1" t="s">
        <v>71</v>
      </c>
      <c r="N11" s="1" t="s">
        <v>35</v>
      </c>
      <c r="O11" s="1" t="s">
        <v>63</v>
      </c>
      <c r="P11" t="str">
        <f>VLOOKUP(G11,Base!$W$2:$W$31,1,FALSE)</f>
        <v>10468006273</v>
      </c>
      <c r="Q11" t="str">
        <f>VLOOKUP(H11,Base!$X$2:$X$31,1,FALSE)</f>
        <v>46800627</v>
      </c>
    </row>
    <row r="12" spans="1:17" x14ac:dyDescent="0.25">
      <c r="A12" s="1" t="s">
        <v>108</v>
      </c>
      <c r="B12" s="1" t="s">
        <v>109</v>
      </c>
      <c r="E12" s="1" t="s">
        <v>302</v>
      </c>
      <c r="F12" s="1" t="s">
        <v>36</v>
      </c>
      <c r="G12" s="1" t="s">
        <v>110</v>
      </c>
      <c r="H12" s="1" t="s">
        <v>111</v>
      </c>
      <c r="I12" s="1" t="s">
        <v>303</v>
      </c>
      <c r="J12" s="1" t="s">
        <v>66</v>
      </c>
      <c r="K12" s="1" t="s">
        <v>112</v>
      </c>
      <c r="L12" s="1" t="s">
        <v>113</v>
      </c>
      <c r="M12" s="1" t="s">
        <v>106</v>
      </c>
      <c r="N12" s="1" t="s">
        <v>35</v>
      </c>
      <c r="O12" s="1" t="s">
        <v>63</v>
      </c>
      <c r="P12" t="str">
        <f>VLOOKUP(G12,Base!$W$2:$W$31,1,FALSE)</f>
        <v>10474691506</v>
      </c>
      <c r="Q12" t="str">
        <f>VLOOKUP(H12,Base!$X$2:$X$31,1,FALSE)</f>
        <v>47469150</v>
      </c>
    </row>
    <row r="13" spans="1:17" x14ac:dyDescent="0.25">
      <c r="A13" s="1" t="s">
        <v>108</v>
      </c>
      <c r="B13" s="1" t="s">
        <v>109</v>
      </c>
      <c r="E13" s="1" t="s">
        <v>302</v>
      </c>
      <c r="F13" s="1" t="s">
        <v>36</v>
      </c>
      <c r="G13" s="1" t="s">
        <v>110</v>
      </c>
      <c r="H13" s="1" t="s">
        <v>111</v>
      </c>
      <c r="I13" s="1" t="s">
        <v>303</v>
      </c>
      <c r="J13" s="1" t="s">
        <v>66</v>
      </c>
      <c r="K13" s="1" t="s">
        <v>112</v>
      </c>
      <c r="L13" s="1" t="s">
        <v>113</v>
      </c>
      <c r="M13" s="1" t="s">
        <v>106</v>
      </c>
      <c r="N13" s="1" t="s">
        <v>35</v>
      </c>
      <c r="O13" s="1" t="s">
        <v>63</v>
      </c>
      <c r="P13" t="str">
        <f>VLOOKUP(G13,Base!$W$2:$W$31,1,FALSE)</f>
        <v>10474691506</v>
      </c>
      <c r="Q13" t="str">
        <f>VLOOKUP(H13,Base!$X$2:$X$31,1,FALSE)</f>
        <v>47469150</v>
      </c>
    </row>
    <row r="14" spans="1:17" x14ac:dyDescent="0.25">
      <c r="A14" s="1" t="s">
        <v>312</v>
      </c>
      <c r="B14" s="1" t="s">
        <v>157</v>
      </c>
      <c r="E14" s="1" t="s">
        <v>313</v>
      </c>
      <c r="F14" s="1" t="s">
        <v>36</v>
      </c>
      <c r="G14" s="1" t="s">
        <v>314</v>
      </c>
      <c r="H14" s="1" t="s">
        <v>159</v>
      </c>
      <c r="I14" s="1" t="s">
        <v>306</v>
      </c>
      <c r="J14" s="1" t="s">
        <v>34</v>
      </c>
      <c r="K14" s="1" t="s">
        <v>310</v>
      </c>
      <c r="L14" s="1" t="s">
        <v>161</v>
      </c>
      <c r="M14" s="1" t="s">
        <v>162</v>
      </c>
      <c r="N14" s="1" t="s">
        <v>35</v>
      </c>
      <c r="O14" s="1" t="s">
        <v>163</v>
      </c>
      <c r="P14" t="e">
        <f>VLOOKUP(G14,Base!$W$2:$W$31,1,FALSE)</f>
        <v>#N/A</v>
      </c>
      <c r="Q14" t="str">
        <f>VLOOKUP(H14,Base!$X$2:$X$31,1,FALSE)</f>
        <v>48296210</v>
      </c>
    </row>
    <row r="15" spans="1:17" x14ac:dyDescent="0.25">
      <c r="A15" s="1" t="s">
        <v>312</v>
      </c>
      <c r="B15" s="1" t="s">
        <v>157</v>
      </c>
      <c r="E15" s="1" t="s">
        <v>313</v>
      </c>
      <c r="F15" s="1" t="s">
        <v>36</v>
      </c>
      <c r="G15" s="1" t="s">
        <v>314</v>
      </c>
      <c r="H15" s="1" t="s">
        <v>159</v>
      </c>
      <c r="I15" s="1" t="s">
        <v>306</v>
      </c>
      <c r="J15" s="1" t="s">
        <v>34</v>
      </c>
      <c r="K15" s="1" t="s">
        <v>310</v>
      </c>
      <c r="L15" s="1" t="s">
        <v>161</v>
      </c>
      <c r="M15" s="1" t="s">
        <v>162</v>
      </c>
      <c r="N15" s="1" t="s">
        <v>35</v>
      </c>
      <c r="O15" s="1" t="s">
        <v>163</v>
      </c>
      <c r="P15" t="e">
        <f>VLOOKUP(G15,Base!$W$2:$W$31,1,FALSE)</f>
        <v>#N/A</v>
      </c>
      <c r="Q15" t="str">
        <f>VLOOKUP(H15,Base!$X$2:$X$31,1,FALSE)</f>
        <v>48296210</v>
      </c>
    </row>
    <row r="16" spans="1:17" x14ac:dyDescent="0.25">
      <c r="A16" s="1" t="s">
        <v>98</v>
      </c>
      <c r="B16" s="1" t="s">
        <v>100</v>
      </c>
      <c r="E16" s="1" t="s">
        <v>302</v>
      </c>
      <c r="F16" s="1" t="s">
        <v>36</v>
      </c>
      <c r="G16" s="1" t="s">
        <v>102</v>
      </c>
      <c r="H16" s="1" t="s">
        <v>103</v>
      </c>
      <c r="I16" s="1" t="s">
        <v>345</v>
      </c>
      <c r="J16" s="1" t="s">
        <v>66</v>
      </c>
      <c r="K16" s="1" t="s">
        <v>104</v>
      </c>
      <c r="L16" s="1" t="s">
        <v>105</v>
      </c>
      <c r="M16" s="1" t="s">
        <v>106</v>
      </c>
      <c r="N16" s="1" t="s">
        <v>35</v>
      </c>
      <c r="O16" s="1" t="s">
        <v>63</v>
      </c>
      <c r="P16" t="str">
        <f>VLOOKUP(G16,Base!$W$2:$W$31,1,FALSE)</f>
        <v>10723755722</v>
      </c>
      <c r="Q16" t="str">
        <f>VLOOKUP(H16,Base!$X$2:$X$31,1,FALSE)</f>
        <v>72375572</v>
      </c>
    </row>
    <row r="17" spans="1:17" x14ac:dyDescent="0.25">
      <c r="A17" s="1" t="s">
        <v>343</v>
      </c>
      <c r="B17" s="1" t="s">
        <v>334</v>
      </c>
      <c r="E17" s="1" t="s">
        <v>344</v>
      </c>
      <c r="F17" s="1" t="s">
        <v>33</v>
      </c>
      <c r="G17" s="1" t="s">
        <v>219</v>
      </c>
      <c r="H17" s="1" t="s">
        <v>220</v>
      </c>
      <c r="I17" s="1" t="s">
        <v>330</v>
      </c>
      <c r="J17" s="1" t="s">
        <v>34</v>
      </c>
      <c r="K17" s="1" t="s">
        <v>342</v>
      </c>
      <c r="L17" s="1" t="s">
        <v>222</v>
      </c>
      <c r="M17" s="1" t="s">
        <v>223</v>
      </c>
      <c r="N17" s="1" t="s">
        <v>35</v>
      </c>
      <c r="O17" s="1" t="s">
        <v>311</v>
      </c>
      <c r="P17" t="str">
        <f>VLOOKUP(G17,Base!$W$2:$W$31,1,FALSE)</f>
        <v>10730774511</v>
      </c>
      <c r="Q17" t="str">
        <f>VLOOKUP(H17,Base!$X$2:$X$31,1,FALSE)</f>
        <v>73077451</v>
      </c>
    </row>
    <row r="18" spans="1:17" x14ac:dyDescent="0.25">
      <c r="A18" s="1" t="s">
        <v>324</v>
      </c>
      <c r="B18" s="1" t="s">
        <v>280</v>
      </c>
      <c r="E18" s="1" t="s">
        <v>325</v>
      </c>
      <c r="F18" s="1" t="s">
        <v>33</v>
      </c>
      <c r="G18" s="1" t="s">
        <v>282</v>
      </c>
      <c r="H18" s="1" t="s">
        <v>282</v>
      </c>
      <c r="I18" s="1" t="s">
        <v>326</v>
      </c>
      <c r="J18" s="1" t="s">
        <v>34</v>
      </c>
      <c r="K18" s="1" t="s">
        <v>283</v>
      </c>
      <c r="L18" s="1" t="s">
        <v>284</v>
      </c>
      <c r="M18" s="1" t="s">
        <v>285</v>
      </c>
      <c r="N18" s="1" t="s">
        <v>35</v>
      </c>
      <c r="O18" s="1" t="s">
        <v>64</v>
      </c>
      <c r="P18" t="e">
        <f>VLOOKUP(G18,Base!$W$2:$W$31,1,FALSE)</f>
        <v>#N/A</v>
      </c>
      <c r="Q18" t="str">
        <f>VLOOKUP(H18,Base!$X$2:$X$31,1,FALSE)</f>
        <v>16660455</v>
      </c>
    </row>
    <row r="19" spans="1:17" x14ac:dyDescent="0.25">
      <c r="A19" s="1" t="s">
        <v>295</v>
      </c>
      <c r="B19" s="1" t="s">
        <v>296</v>
      </c>
      <c r="E19" s="1" t="s">
        <v>297</v>
      </c>
      <c r="F19" s="1" t="s">
        <v>33</v>
      </c>
      <c r="G19" s="1" t="s">
        <v>250</v>
      </c>
      <c r="H19" s="1" t="s">
        <v>250</v>
      </c>
      <c r="I19" s="1" t="s">
        <v>298</v>
      </c>
      <c r="J19" s="1" t="s">
        <v>34</v>
      </c>
      <c r="K19" s="1" t="s">
        <v>299</v>
      </c>
      <c r="L19" s="1" t="s">
        <v>300</v>
      </c>
      <c r="M19" s="1" t="s">
        <v>301</v>
      </c>
      <c r="N19" s="1" t="s">
        <v>35</v>
      </c>
      <c r="O19" s="1" t="s">
        <v>37</v>
      </c>
      <c r="P19" t="str">
        <f>VLOOKUP(G19,Base!$W$2:$W$31,1,FALSE)</f>
        <v>29607669</v>
      </c>
      <c r="Q19" t="str">
        <f>VLOOKUP(H19,Base!$X$2:$X$31,1,FALSE)</f>
        <v>29607669</v>
      </c>
    </row>
    <row r="20" spans="1:17" x14ac:dyDescent="0.25">
      <c r="A20" s="1" t="s">
        <v>295</v>
      </c>
      <c r="B20" s="1" t="s">
        <v>296</v>
      </c>
      <c r="E20" s="1" t="s">
        <v>297</v>
      </c>
      <c r="F20" s="1" t="s">
        <v>33</v>
      </c>
      <c r="G20" s="1" t="s">
        <v>250</v>
      </c>
      <c r="H20" s="1" t="s">
        <v>250</v>
      </c>
      <c r="I20" s="1" t="s">
        <v>298</v>
      </c>
      <c r="J20" s="1" t="s">
        <v>34</v>
      </c>
      <c r="K20" s="1" t="s">
        <v>299</v>
      </c>
      <c r="L20" s="1" t="s">
        <v>300</v>
      </c>
      <c r="M20" s="1" t="s">
        <v>301</v>
      </c>
      <c r="N20" s="1" t="s">
        <v>35</v>
      </c>
      <c r="O20" s="1" t="s">
        <v>37</v>
      </c>
      <c r="P20" t="str">
        <f>VLOOKUP(G20,Base!$W$2:$W$31,1,FALSE)</f>
        <v>29607669</v>
      </c>
      <c r="Q20" t="str">
        <f>VLOOKUP(H20,Base!$X$2:$X$31,1,FALSE)</f>
        <v>29607669</v>
      </c>
    </row>
    <row r="21" spans="1:17" x14ac:dyDescent="0.25">
      <c r="A21" s="1" t="s">
        <v>304</v>
      </c>
      <c r="B21" s="1" t="s">
        <v>157</v>
      </c>
      <c r="E21" s="1" t="s">
        <v>305</v>
      </c>
      <c r="F21" s="1" t="s">
        <v>36</v>
      </c>
      <c r="G21" s="1" t="s">
        <v>159</v>
      </c>
      <c r="H21" s="1" t="s">
        <v>159</v>
      </c>
      <c r="I21" s="1" t="s">
        <v>306</v>
      </c>
      <c r="J21" s="1" t="s">
        <v>34</v>
      </c>
      <c r="K21" s="1" t="s">
        <v>307</v>
      </c>
      <c r="L21" s="1" t="s">
        <v>161</v>
      </c>
      <c r="M21" s="1" t="s">
        <v>162</v>
      </c>
      <c r="N21" s="1" t="s">
        <v>35</v>
      </c>
      <c r="O21" s="1" t="s">
        <v>163</v>
      </c>
      <c r="P21" t="str">
        <f>VLOOKUP(G21,Base!$W$2:$W$31,1,FALSE)</f>
        <v>48296210</v>
      </c>
      <c r="Q21" t="str">
        <f>VLOOKUP(H21,Base!$X$2:$X$31,1,FALSE)</f>
        <v>48296210</v>
      </c>
    </row>
    <row r="22" spans="1:17" x14ac:dyDescent="0.25">
      <c r="A22" s="1" t="s">
        <v>308</v>
      </c>
      <c r="B22" s="1" t="s">
        <v>157</v>
      </c>
      <c r="E22" s="1" t="s">
        <v>309</v>
      </c>
      <c r="F22" s="1" t="s">
        <v>68</v>
      </c>
      <c r="G22" s="1" t="s">
        <v>159</v>
      </c>
      <c r="H22" s="1" t="s">
        <v>159</v>
      </c>
      <c r="I22" s="1" t="s">
        <v>306</v>
      </c>
      <c r="J22" s="1" t="s">
        <v>34</v>
      </c>
      <c r="K22" s="1" t="s">
        <v>310</v>
      </c>
      <c r="L22" s="1" t="s">
        <v>161</v>
      </c>
      <c r="M22" s="1" t="s">
        <v>162</v>
      </c>
      <c r="N22" s="1" t="s">
        <v>35</v>
      </c>
      <c r="O22" s="1" t="s">
        <v>311</v>
      </c>
      <c r="P22" t="str">
        <f>VLOOKUP(G22,Base!$W$2:$W$31,1,FALSE)</f>
        <v>48296210</v>
      </c>
      <c r="Q22" t="str">
        <f>VLOOKUP(H22,Base!$X$2:$X$31,1,FALSE)</f>
        <v>48296210</v>
      </c>
    </row>
    <row r="23" spans="1:17" x14ac:dyDescent="0.25">
      <c r="A23" s="1" t="s">
        <v>315</v>
      </c>
      <c r="B23" s="1" t="s">
        <v>157</v>
      </c>
      <c r="E23" s="1" t="s">
        <v>316</v>
      </c>
      <c r="F23" s="1" t="s">
        <v>36</v>
      </c>
      <c r="G23" s="1" t="s">
        <v>159</v>
      </c>
      <c r="H23" s="1" t="s">
        <v>159</v>
      </c>
      <c r="I23" s="1" t="s">
        <v>306</v>
      </c>
      <c r="J23" s="1" t="s">
        <v>34</v>
      </c>
      <c r="K23" s="1" t="s">
        <v>317</v>
      </c>
      <c r="L23" s="1" t="s">
        <v>161</v>
      </c>
      <c r="M23" s="1" t="s">
        <v>162</v>
      </c>
      <c r="N23" s="1" t="s">
        <v>35</v>
      </c>
      <c r="O23" s="1" t="s">
        <v>163</v>
      </c>
      <c r="P23" t="str">
        <f>VLOOKUP(G23,Base!$W$2:$W$31,1,FALSE)</f>
        <v>48296210</v>
      </c>
      <c r="Q23" t="str">
        <f>VLOOKUP(H23,Base!$X$2:$X$31,1,FALSE)</f>
        <v>48296210</v>
      </c>
    </row>
    <row r="24" spans="1:17" x14ac:dyDescent="0.25">
      <c r="A24" s="1" t="s">
        <v>304</v>
      </c>
      <c r="B24" s="1" t="s">
        <v>157</v>
      </c>
      <c r="E24" s="1" t="s">
        <v>305</v>
      </c>
      <c r="F24" s="1" t="s">
        <v>36</v>
      </c>
      <c r="G24" s="1" t="s">
        <v>159</v>
      </c>
      <c r="H24" s="1" t="s">
        <v>159</v>
      </c>
      <c r="I24" s="1" t="s">
        <v>306</v>
      </c>
      <c r="J24" s="1" t="s">
        <v>34</v>
      </c>
      <c r="K24" s="1" t="s">
        <v>307</v>
      </c>
      <c r="L24" s="1" t="s">
        <v>161</v>
      </c>
      <c r="M24" s="1" t="s">
        <v>162</v>
      </c>
      <c r="N24" s="1" t="s">
        <v>35</v>
      </c>
      <c r="O24" s="1" t="s">
        <v>163</v>
      </c>
      <c r="P24" t="str">
        <f>VLOOKUP(G24,Base!$W$2:$W$31,1,FALSE)</f>
        <v>48296210</v>
      </c>
      <c r="Q24" t="str">
        <f>VLOOKUP(H24,Base!$X$2:$X$31,1,FALSE)</f>
        <v>48296210</v>
      </c>
    </row>
    <row r="25" spans="1:17" x14ac:dyDescent="0.25">
      <c r="A25" s="1" t="s">
        <v>308</v>
      </c>
      <c r="B25" s="1" t="s">
        <v>157</v>
      </c>
      <c r="E25" s="1" t="s">
        <v>309</v>
      </c>
      <c r="F25" s="1" t="s">
        <v>68</v>
      </c>
      <c r="G25" s="1" t="s">
        <v>159</v>
      </c>
      <c r="H25" s="1" t="s">
        <v>159</v>
      </c>
      <c r="I25" s="1" t="s">
        <v>306</v>
      </c>
      <c r="J25" s="1" t="s">
        <v>34</v>
      </c>
      <c r="K25" s="1" t="s">
        <v>310</v>
      </c>
      <c r="L25" s="1" t="s">
        <v>161</v>
      </c>
      <c r="M25" s="1" t="s">
        <v>162</v>
      </c>
      <c r="N25" s="1" t="s">
        <v>35</v>
      </c>
      <c r="O25" s="1" t="s">
        <v>311</v>
      </c>
      <c r="P25" t="str">
        <f>VLOOKUP(G25,Base!$W$2:$W$31,1,FALSE)</f>
        <v>48296210</v>
      </c>
      <c r="Q25" t="str">
        <f>VLOOKUP(H25,Base!$X$2:$X$31,1,FALSE)</f>
        <v>48296210</v>
      </c>
    </row>
    <row r="26" spans="1:17" x14ac:dyDescent="0.25">
      <c r="A26" s="1" t="s">
        <v>315</v>
      </c>
      <c r="B26" s="1" t="s">
        <v>157</v>
      </c>
      <c r="E26" s="1" t="s">
        <v>316</v>
      </c>
      <c r="F26" s="1" t="s">
        <v>36</v>
      </c>
      <c r="G26" s="1" t="s">
        <v>159</v>
      </c>
      <c r="H26" s="1" t="s">
        <v>159</v>
      </c>
      <c r="I26" s="1" t="s">
        <v>306</v>
      </c>
      <c r="J26" s="1" t="s">
        <v>34</v>
      </c>
      <c r="K26" s="1" t="s">
        <v>317</v>
      </c>
      <c r="L26" s="1" t="s">
        <v>161</v>
      </c>
      <c r="M26" s="1" t="s">
        <v>162</v>
      </c>
      <c r="N26" s="1" t="s">
        <v>35</v>
      </c>
      <c r="O26" s="1" t="s">
        <v>163</v>
      </c>
      <c r="P26" t="str">
        <f>VLOOKUP(G26,Base!$W$2:$W$31,1,FALSE)</f>
        <v>48296210</v>
      </c>
      <c r="Q26" t="str">
        <f>VLOOKUP(H26,Base!$X$2:$X$31,1,FALSE)</f>
        <v>48296210</v>
      </c>
    </row>
    <row r="27" spans="1:17" x14ac:dyDescent="0.25">
      <c r="A27" s="1" t="s">
        <v>327</v>
      </c>
      <c r="B27" s="1" t="s">
        <v>328</v>
      </c>
      <c r="E27" s="1" t="s">
        <v>329</v>
      </c>
      <c r="F27" s="1" t="s">
        <v>68</v>
      </c>
      <c r="G27" s="1" t="s">
        <v>220</v>
      </c>
      <c r="H27" s="1" t="s">
        <v>220</v>
      </c>
      <c r="I27" s="1" t="s">
        <v>330</v>
      </c>
      <c r="J27" s="1" t="s">
        <v>34</v>
      </c>
      <c r="K27" s="1" t="s">
        <v>331</v>
      </c>
      <c r="L27" s="1" t="s">
        <v>222</v>
      </c>
      <c r="M27" s="1" t="s">
        <v>332</v>
      </c>
      <c r="N27" s="1" t="s">
        <v>35</v>
      </c>
      <c r="O27" s="1" t="s">
        <v>85</v>
      </c>
      <c r="P27" t="e">
        <f>VLOOKUP(G27,Base!$W$2:$W$31,1,FALSE)</f>
        <v>#N/A</v>
      </c>
      <c r="Q27" t="str">
        <f>VLOOKUP(H27,Base!$X$2:$X$31,1,FALSE)</f>
        <v>73077451</v>
      </c>
    </row>
    <row r="28" spans="1:17" x14ac:dyDescent="0.25">
      <c r="A28" s="1" t="s">
        <v>333</v>
      </c>
      <c r="B28" s="1" t="s">
        <v>334</v>
      </c>
      <c r="E28" s="1" t="s">
        <v>335</v>
      </c>
      <c r="F28" s="1" t="s">
        <v>33</v>
      </c>
      <c r="G28" s="1" t="s">
        <v>220</v>
      </c>
      <c r="H28" s="1" t="s">
        <v>220</v>
      </c>
      <c r="I28" s="1" t="s">
        <v>330</v>
      </c>
      <c r="J28" s="1" t="s">
        <v>34</v>
      </c>
      <c r="K28" s="1" t="s">
        <v>336</v>
      </c>
      <c r="L28" s="1" t="s">
        <v>222</v>
      </c>
      <c r="M28" s="1" t="s">
        <v>337</v>
      </c>
      <c r="N28" s="1" t="s">
        <v>35</v>
      </c>
      <c r="O28" s="1" t="s">
        <v>311</v>
      </c>
      <c r="P28" t="e">
        <f>VLOOKUP(G28,Base!$W$2:$W$31,1,FALSE)</f>
        <v>#N/A</v>
      </c>
      <c r="Q28" t="str">
        <f>VLOOKUP(H28,Base!$X$2:$X$31,1,FALSE)</f>
        <v>73077451</v>
      </c>
    </row>
    <row r="29" spans="1:17" x14ac:dyDescent="0.25">
      <c r="A29" s="1" t="s">
        <v>338</v>
      </c>
      <c r="B29" s="1" t="s">
        <v>334</v>
      </c>
      <c r="E29" s="1" t="s">
        <v>339</v>
      </c>
      <c r="F29" s="1" t="s">
        <v>77</v>
      </c>
      <c r="G29" s="1" t="s">
        <v>220</v>
      </c>
      <c r="H29" s="1" t="s">
        <v>220</v>
      </c>
      <c r="I29" s="1" t="s">
        <v>330</v>
      </c>
      <c r="J29" s="1" t="s">
        <v>34</v>
      </c>
      <c r="K29" s="1" t="s">
        <v>340</v>
      </c>
      <c r="L29" s="1" t="s">
        <v>222</v>
      </c>
      <c r="M29" s="1" t="s">
        <v>341</v>
      </c>
      <c r="N29" s="1" t="s">
        <v>35</v>
      </c>
      <c r="O29" s="1" t="s">
        <v>85</v>
      </c>
      <c r="P29" t="e">
        <f>VLOOKUP(G29,Base!$W$2:$W$31,1,FALSE)</f>
        <v>#N/A</v>
      </c>
      <c r="Q29" t="str">
        <f>VLOOKUP(H29,Base!$X$2:$X$31,1,FALSE)</f>
        <v>73077451</v>
      </c>
    </row>
    <row r="30" spans="1:17" x14ac:dyDescent="0.25">
      <c r="A30" s="1" t="s">
        <v>338</v>
      </c>
      <c r="B30" s="1" t="s">
        <v>334</v>
      </c>
      <c r="E30" s="1" t="s">
        <v>339</v>
      </c>
      <c r="F30" s="1" t="s">
        <v>77</v>
      </c>
      <c r="G30" s="1" t="s">
        <v>220</v>
      </c>
      <c r="H30" s="1" t="s">
        <v>220</v>
      </c>
      <c r="I30" s="1" t="s">
        <v>330</v>
      </c>
      <c r="J30" s="1" t="s">
        <v>34</v>
      </c>
      <c r="K30" s="1" t="s">
        <v>340</v>
      </c>
      <c r="L30" s="1" t="s">
        <v>222</v>
      </c>
      <c r="M30" s="1" t="s">
        <v>341</v>
      </c>
      <c r="N30" s="1" t="s">
        <v>35</v>
      </c>
      <c r="O30" s="1" t="s">
        <v>85</v>
      </c>
      <c r="P30" t="e">
        <f>VLOOKUP(G30,Base!$W$2:$W$31,1,FALSE)</f>
        <v>#N/A</v>
      </c>
      <c r="Q30" t="str">
        <f>VLOOKUP(H30,Base!$X$2:$X$31,1,FALSE)</f>
        <v>73077451</v>
      </c>
    </row>
  </sheetData>
  <autoFilter ref="A1:O30" xr:uid="{65C9BB07-8EF7-4E0F-BE6C-964DD7839745}">
    <sortState xmlns:xlrd2="http://schemas.microsoft.com/office/spreadsheetml/2017/richdata2" ref="A2:O30">
      <sortCondition ref="G1:G3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9a36ae274e70674bbe0d17cb2fced9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98993720155a38f4a0d96e810513cc6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4CD8CB-A570-4604-BD59-C0EEB7CF4343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B19ED45B-549E-479B-8813-522306AD1B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98C2A9-803D-4DD6-A3D2-4FB2FFD41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Base</vt:lpstr>
      <vt:lpstr>Coincidencia Por Documento</vt:lpstr>
    </vt:vector>
  </TitlesOfParts>
  <Company>Izipay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Hillary Silva</dc:creator>
  <cp:lastModifiedBy>ANGELLO BRAVO</cp:lastModifiedBy>
  <dcterms:created xsi:type="dcterms:W3CDTF">2024-09-10T15:21:15Z</dcterms:created>
  <dcterms:modified xsi:type="dcterms:W3CDTF">2025-10-17T20:41:41Z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