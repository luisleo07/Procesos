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Documentación GCP/54 Reporte Coincidencias/Input/"/>
    </mc:Choice>
  </mc:AlternateContent>
  <xr:revisionPtr revIDLastSave="114" documentId="11_0AE72A0091E3BED19471F3E1DC4377CCE15DDB95" xr6:coauthVersionLast="47" xr6:coauthVersionMax="47" xr10:uidLastSave="{27C0BAC6-5ADE-4E77-88CA-264392C09841}"/>
  <bookViews>
    <workbookView xWindow="22932" yWindow="-1044" windowWidth="23256" windowHeight="12456" activeTab="1" xr2:uid="{00000000-000D-0000-FFFF-FFFF00000000}"/>
  </bookViews>
  <sheets>
    <sheet name="Estructuras del Modelo" sheetId="2" r:id="rId1"/>
    <sheet name="RT_GD_REPORTE_COINCIDENCIA" sheetId="1" r:id="rId2"/>
  </sheets>
  <definedNames>
    <definedName name="_xlnm._FilterDatabase" localSheetId="1" hidden="1">RT_GD_REPORTE_COINCIDENCIA!$A$2:$M$24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3" i="1"/>
</calcChain>
</file>

<file path=xl/sharedStrings.xml><?xml version="1.0" encoding="utf-8"?>
<sst xmlns="http://schemas.openxmlformats.org/spreadsheetml/2006/main" count="311" uniqueCount="125">
  <si>
    <t>Organization</t>
  </si>
  <si>
    <t>Business Domain</t>
  </si>
  <si>
    <t>Business Sub Domain</t>
  </si>
  <si>
    <t>Technical Domain</t>
  </si>
  <si>
    <t>Technical Sub Domain</t>
  </si>
  <si>
    <t>Project</t>
  </si>
  <si>
    <t>Dataset</t>
  </si>
  <si>
    <t>Table</t>
  </si>
  <si>
    <t>Description</t>
  </si>
  <si>
    <t>Load Strategy</t>
  </si>
  <si>
    <t>Load Frequency</t>
  </si>
  <si>
    <t>Big query Structure</t>
  </si>
  <si>
    <t>Data Operator</t>
  </si>
  <si>
    <t>Public</t>
  </si>
  <si>
    <t>Environment</t>
  </si>
  <si>
    <t>Zone</t>
  </si>
  <si>
    <t>Area</t>
  </si>
  <si>
    <t>Area Data Steward</t>
  </si>
  <si>
    <t>Org. Data Steward</t>
  </si>
  <si>
    <t>Corp. Data Steward</t>
  </si>
  <si>
    <t>Empresa del grupo IC</t>
  </si>
  <si>
    <t>Dominio de negocio al que pertenece el concepto de datos</t>
  </si>
  <si>
    <t>Sub dominio de negocio al que pertenece el concepto de datos</t>
  </si>
  <si>
    <t>Dominio del modelo de datos al cual pertenece la tabla</t>
  </si>
  <si>
    <t>Subdominio del modelo de datos al cual la tabla</t>
  </si>
  <si>
    <t>Nombre del proyecto que almacena la entidad</t>
  </si>
  <si>
    <t>Nombre del dataset donde se almacena la entidad</t>
  </si>
  <si>
    <t>Nombre de la Tabla</t>
  </si>
  <si>
    <t>Propósito de la tabla</t>
  </si>
  <si>
    <t>Estrategia de carga</t>
  </si>
  <si>
    <t>Indica la frecuencia de carga</t>
  </si>
  <si>
    <t>Tabla/Vista</t>
  </si>
  <si>
    <t>Identifica al operador de la tabla</t>
  </si>
  <si>
    <t>Identifica si una tabla es púbica o no
(Yes / No)</t>
  </si>
  <si>
    <t>dev/test/prod</t>
  </si>
  <si>
    <t>Zona (Raw, Master Data, BI)</t>
  </si>
  <si>
    <t>Area o departamento al que pertenece el Owner</t>
  </si>
  <si>
    <t>Es el responsable a nivel de Área de la información contenida en la tabla.</t>
  </si>
  <si>
    <t>Es el responsable a nivel de Organización de la información contenida en la tabla.</t>
  </si>
  <si>
    <t>Es el responsable a nivel de Corporativo de la información contenida en la tabla.</t>
  </si>
  <si>
    <t>IZIPAY</t>
  </si>
  <si>
    <t>RIESGOS</t>
  </si>
  <si>
    <t>prd-izipay-data-storage-pv</t>
  </si>
  <si>
    <t>Identificar comercios activos sospechosos que podrían estar vinculados con comercios bloqueados en lista negra (blacklist).</t>
  </si>
  <si>
    <t>Semanal</t>
  </si>
  <si>
    <t>Tabla</t>
  </si>
  <si>
    <t>mc2103@izipay.pe</t>
  </si>
  <si>
    <t>N</t>
  </si>
  <si>
    <t>prod</t>
  </si>
  <si>
    <t>Column</t>
  </si>
  <si>
    <t>Data Element name</t>
  </si>
  <si>
    <t>Business Definition</t>
  </si>
  <si>
    <t>Sensitive</t>
  </si>
  <si>
    <t>Data Type</t>
  </si>
  <si>
    <t>Valid values</t>
  </si>
  <si>
    <t>Primary Key 
(Y/N)</t>
  </si>
  <si>
    <t>NULL 
(Y/N)</t>
  </si>
  <si>
    <t>Partition
(Y/N)</t>
  </si>
  <si>
    <t>Cluster
(Y/N)</t>
  </si>
  <si>
    <t>Nombre de la tabla</t>
  </si>
  <si>
    <t>Nombre del campo</t>
  </si>
  <si>
    <t>Nombre único con el cual el Negocio identifica al Elemento de Dato (ponerlo en Mayúscula)</t>
  </si>
  <si>
    <t>Concepto definido por el negocio para el elemento de dato. Contiene las propiedades, características y exclusiones relacionadas al dato</t>
  </si>
  <si>
    <t>Yes / No</t>
  </si>
  <si>
    <t>Tipo de dato físico en BigQuery</t>
  </si>
  <si>
    <t>Incluye los valores que puede contener el campo (sólo para variables discretas, p.e. A, B, C,… 1, 2, 3, Todos, etc.)</t>
  </si>
  <si>
    <t>Describe si el elemento de datos es una llave primaria en la base de datos</t>
  </si>
  <si>
    <t>Indica si es posible que el campo admita NULL</t>
  </si>
  <si>
    <t>Indica si el elemento es parte de la partición de la tabla</t>
  </si>
  <si>
    <t>OperRiesg</t>
  </si>
  <si>
    <t>RT_GD_REPORTE_COINCIDENCIAS_BL</t>
  </si>
  <si>
    <t>codigo</t>
  </si>
  <si>
    <t>Identificador único del registro en el proceso de coincidencias BL.(Comercio activo)</t>
  </si>
  <si>
    <t>No</t>
  </si>
  <si>
    <t>varchar</t>
  </si>
  <si>
    <t>Y</t>
  </si>
  <si>
    <t>CODIGO_BL</t>
  </si>
  <si>
    <t>Codigo que se encuentra bloqueado por fraude (Comercio Blacklist)</t>
  </si>
  <si>
    <t>mailrleg</t>
  </si>
  <si>
    <t>Correo electrónico registrado del representante legal de la entidad.(Comercio activo)</t>
  </si>
  <si>
    <t>Yes</t>
  </si>
  <si>
    <t>BUCEXA335@GMAIL.COM</t>
  </si>
  <si>
    <t>motblq</t>
  </si>
  <si>
    <t>Motivo del bloqueo asociado al registro. (Comercio Blacklist)</t>
  </si>
  <si>
    <t>observ</t>
  </si>
  <si>
    <t>Observación o detalle descriptivo relacionado con el bloqueo o alerta. (Comercio Blacklist)</t>
  </si>
  <si>
    <t>4 SEG COINCIDENCIA BL CUENTA</t>
  </si>
  <si>
    <t>Telefono</t>
  </si>
  <si>
    <t>Indicador de coincidencia en el teléfono entre diferentes registros (0 = no, 1 = sí).</t>
  </si>
  <si>
    <t>0, 1</t>
  </si>
  <si>
    <t>Correo</t>
  </si>
  <si>
    <t>Indicador de coincidencia en el correo electrónico (0 = no, 1 = sí).</t>
  </si>
  <si>
    <t>Cuenta</t>
  </si>
  <si>
    <t>Indicador de coincidencia en el número de cuenta (0 = no, 1 = sí).</t>
  </si>
  <si>
    <t>NroDoc</t>
  </si>
  <si>
    <t>RepLeg</t>
  </si>
  <si>
    <t>fecape</t>
  </si>
  <si>
    <t>Fecha de apertura del establecimiento o registro.(Comercio activo)</t>
  </si>
  <si>
    <t>date</t>
  </si>
  <si>
    <t>situac</t>
  </si>
  <si>
    <t>Código de la situación actual del establecimiento (activo, bloqueado, etc.). (Comercio activo)</t>
  </si>
  <si>
    <t>blq_frau</t>
  </si>
  <si>
    <t>Indicador de bloqueo por fraude (0 = no, 1 = sí). (Comercio Blacklist)</t>
  </si>
  <si>
    <t>NroDoc2</t>
  </si>
  <si>
    <t>Numero de RUC (Comercio activo)</t>
  </si>
  <si>
    <t>RepLegal</t>
  </si>
  <si>
    <t>DNI del representante legal (Comercio activo)</t>
  </si>
  <si>
    <t>segmento</t>
  </si>
  <si>
    <t>Segmento comercial al que pertenece el cliente (negocio, empresa, corporación, etc.). (Comercio activo)</t>
  </si>
  <si>
    <t>Negocio</t>
  </si>
  <si>
    <t>Nomcom</t>
  </si>
  <si>
    <t>Nombre comercial registrado del establecimiento. (Comercio activo)</t>
  </si>
  <si>
    <t>IZI*INVERSIONES PERU SAC</t>
  </si>
  <si>
    <t>nrocta</t>
  </si>
  <si>
    <t>Número de cuenta bancaria asociada al cliente o establecimiento.(Comercio activo)</t>
  </si>
  <si>
    <t>telefo</t>
  </si>
  <si>
    <t>Número de teléfono principal registrado del establecimiento. (Comercio activo)</t>
  </si>
  <si>
    <t>NOMBRE_PRODUCTO</t>
  </si>
  <si>
    <t>Producto o servicio comercial asociado (ejemplo: POS, corresponsal, etc.).</t>
  </si>
  <si>
    <t>NULL</t>
  </si>
  <si>
    <t>Dealer</t>
  </si>
  <si>
    <t>Nombre del distribuidor o aliado comercial que registró el establecimiento.(Comercio activo)</t>
  </si>
  <si>
    <t>Grupo</t>
  </si>
  <si>
    <t>Categorización de coincidencia detectada (ejemplo: solo teléfono, solo RRLL, NroDoc y RRLL, etc.) Coincidencia entre ambos</t>
  </si>
  <si>
    <t>NroDoc y RRLL,Solo Telefono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</si>
</sst>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2"/>
      <color theme="0"/>
      <name val="Calibri"/>
    </font>
    <font>
      <sz val="12"/>
      <color rgb="FFFFFFFF"/>
      <name val="Calibri"/>
    </font>
    <font>
      <sz val="12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b/>
      <sz val="11"/>
      <color theme="1"/>
      <name val="Exo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33399"/>
        <bgColor rgb="FF333399"/>
      </patternFill>
    </fill>
    <fill>
      <patternFill patternType="solid">
        <fgColor rgb="FF99CCFF"/>
        <bgColor rgb="FF99CCFF"/>
      </patternFill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0" fillId="0" borderId="0" xfId="0" applyAlignment="1">
      <alignment horizontal="left"/>
    </xf>
    <xf numFmtId="0" fontId="5" fillId="0" borderId="3" xfId="0" applyFont="1" applyBorder="1" applyAlignment="1">
      <alignment horizontal="center" wrapText="1"/>
    </xf>
    <xf numFmtId="0" fontId="5" fillId="0" borderId="3" xfId="0" applyFont="1" applyBorder="1" applyAlignment="1">
      <alignment horizontal="left" wrapText="1"/>
    </xf>
    <xf numFmtId="0" fontId="6" fillId="4" borderId="4" xfId="0" applyFont="1" applyFill="1" applyBorder="1" applyAlignment="1">
      <alignment horizontal="center" wrapText="1"/>
    </xf>
    <xf numFmtId="0" fontId="6" fillId="4" borderId="5" xfId="0" applyFont="1" applyFill="1" applyBorder="1" applyAlignment="1">
      <alignment horizontal="center" wrapText="1"/>
    </xf>
    <xf numFmtId="0" fontId="7" fillId="4" borderId="5" xfId="0" applyFont="1" applyFill="1" applyBorder="1" applyAlignment="1">
      <alignment horizont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7" xfId="0" applyFont="1" applyBorder="1"/>
    <xf numFmtId="0" fontId="10" fillId="0" borderId="3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D26A9-FAF4-4CCA-B6D8-D321A52C9FD6}">
  <dimension ref="A1:T3"/>
  <sheetViews>
    <sheetView showGridLines="0" topLeftCell="F1" workbookViewId="0">
      <selection activeCell="I3" sqref="I3"/>
    </sheetView>
  </sheetViews>
  <sheetFormatPr baseColWidth="10" defaultColWidth="11.42578125" defaultRowHeight="15"/>
  <cols>
    <col min="1" max="1" width="23.140625" bestFit="1" customWidth="1"/>
    <col min="2" max="3" width="33.7109375" bestFit="1" customWidth="1"/>
    <col min="4" max="4" width="33.140625" bestFit="1" customWidth="1"/>
    <col min="5" max="5" width="34.5703125" bestFit="1" customWidth="1"/>
    <col min="6" max="6" width="27" bestFit="1" customWidth="1"/>
    <col min="7" max="7" width="31.140625" bestFit="1" customWidth="1"/>
    <col min="8" max="8" width="20.7109375" bestFit="1" customWidth="1"/>
    <col min="9" max="9" width="53.5703125" customWidth="1"/>
    <col min="10" max="10" width="17.5703125" bestFit="1" customWidth="1"/>
    <col min="11" max="11" width="26" bestFit="1" customWidth="1"/>
    <col min="12" max="12" width="18" bestFit="1" customWidth="1"/>
    <col min="13" max="13" width="33.85546875" bestFit="1" customWidth="1"/>
    <col min="14" max="14" width="33.140625" bestFit="1" customWidth="1"/>
    <col min="15" max="15" width="14.5703125" bestFit="1" customWidth="1"/>
    <col min="16" max="17" width="29.140625" bestFit="1" customWidth="1"/>
    <col min="18" max="18" width="34.5703125" bestFit="1" customWidth="1"/>
    <col min="19" max="19" width="32.85546875" bestFit="1" customWidth="1"/>
    <col min="20" max="20" width="31.5703125" bestFit="1" customWidth="1"/>
  </cols>
  <sheetData>
    <row r="1" spans="1:20" ht="15.75" thickBot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</row>
    <row r="2" spans="1:20" ht="45.75" thickBot="1">
      <c r="A2" s="14" t="s">
        <v>20</v>
      </c>
      <c r="B2" s="15" t="s">
        <v>21</v>
      </c>
      <c r="C2" s="15" t="s">
        <v>22</v>
      </c>
      <c r="D2" s="15" t="s">
        <v>23</v>
      </c>
      <c r="E2" s="15" t="s">
        <v>24</v>
      </c>
      <c r="F2" s="15" t="s">
        <v>25</v>
      </c>
      <c r="G2" s="15" t="s">
        <v>26</v>
      </c>
      <c r="H2" s="15" t="s">
        <v>27</v>
      </c>
      <c r="I2" s="15" t="s">
        <v>28</v>
      </c>
      <c r="J2" s="16" t="s">
        <v>29</v>
      </c>
      <c r="K2" s="16" t="s">
        <v>30</v>
      </c>
      <c r="L2" s="16" t="s">
        <v>31</v>
      </c>
      <c r="M2" s="15" t="s">
        <v>32</v>
      </c>
      <c r="N2" s="15" t="s">
        <v>33</v>
      </c>
      <c r="O2" s="15" t="s">
        <v>34</v>
      </c>
      <c r="P2" s="15" t="s">
        <v>35</v>
      </c>
      <c r="Q2" s="15" t="s">
        <v>36</v>
      </c>
      <c r="R2" s="15" t="s">
        <v>37</v>
      </c>
      <c r="S2" s="15" t="s">
        <v>38</v>
      </c>
      <c r="T2" s="15" t="s">
        <v>39</v>
      </c>
    </row>
    <row r="3" spans="1:20" ht="15.75" thickBot="1">
      <c r="A3" s="17" t="s">
        <v>40</v>
      </c>
      <c r="B3" s="18" t="s">
        <v>41</v>
      </c>
      <c r="C3" s="18" t="s">
        <v>41</v>
      </c>
      <c r="D3" s="18" t="s">
        <v>41</v>
      </c>
      <c r="E3" s="18" t="s">
        <v>41</v>
      </c>
      <c r="F3" s="18" t="s">
        <v>42</v>
      </c>
      <c r="G3" s="18"/>
      <c r="H3" s="19"/>
      <c r="I3" s="19" t="s">
        <v>43</v>
      </c>
      <c r="J3" s="18" t="s">
        <v>44</v>
      </c>
      <c r="K3" s="18" t="s">
        <v>44</v>
      </c>
      <c r="L3" s="18" t="s">
        <v>45</v>
      </c>
      <c r="M3" s="19" t="s">
        <v>46</v>
      </c>
      <c r="N3" s="18" t="s">
        <v>47</v>
      </c>
      <c r="O3" s="18" t="s">
        <v>48</v>
      </c>
      <c r="P3" s="18"/>
      <c r="Q3" s="18"/>
      <c r="R3" s="19"/>
      <c r="S3" s="19"/>
      <c r="T3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topLeftCell="B2" workbookViewId="0">
      <selection activeCell="E14" sqref="E14"/>
    </sheetView>
  </sheetViews>
  <sheetFormatPr baseColWidth="10" defaultColWidth="9.140625" defaultRowHeight="15"/>
  <cols>
    <col min="1" max="1" width="31.28515625" customWidth="1"/>
    <col min="2" max="2" width="18.5703125" customWidth="1"/>
    <col min="3" max="3" width="36" customWidth="1"/>
    <col min="4" max="4" width="24.140625" customWidth="1"/>
    <col min="5" max="5" width="37" customWidth="1"/>
    <col min="6" max="6" width="85.28515625" customWidth="1"/>
    <col min="7" max="7" width="9.140625" customWidth="1"/>
    <col min="8" max="8" width="10.7109375" customWidth="1"/>
    <col min="9" max="9" width="25" style="8" customWidth="1"/>
    <col min="10" max="10" width="22.140625" customWidth="1"/>
    <col min="11" max="11" width="20.85546875" customWidth="1"/>
    <col min="12" max="12" width="22.140625" customWidth="1"/>
    <col min="13" max="13" width="20.85546875" customWidth="1"/>
  </cols>
  <sheetData>
    <row r="1" spans="1:13" ht="31.5">
      <c r="A1" s="1" t="s">
        <v>5</v>
      </c>
      <c r="B1" s="1" t="s">
        <v>6</v>
      </c>
      <c r="C1" s="1" t="s">
        <v>7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2" t="s">
        <v>57</v>
      </c>
      <c r="M1" s="2" t="s">
        <v>58</v>
      </c>
    </row>
    <row r="2" spans="1:13" ht="78.75">
      <c r="A2" s="3" t="s">
        <v>25</v>
      </c>
      <c r="B2" s="3" t="s">
        <v>26</v>
      </c>
      <c r="C2" s="3" t="s">
        <v>59</v>
      </c>
      <c r="D2" s="4" t="s">
        <v>60</v>
      </c>
      <c r="E2" s="4" t="s">
        <v>61</v>
      </c>
      <c r="F2" s="4" t="s">
        <v>62</v>
      </c>
      <c r="G2" s="4" t="s">
        <v>63</v>
      </c>
      <c r="H2" s="4" t="s">
        <v>64</v>
      </c>
      <c r="I2" s="4" t="s">
        <v>65</v>
      </c>
      <c r="J2" s="4" t="s">
        <v>66</v>
      </c>
      <c r="K2" s="4" t="s">
        <v>67</v>
      </c>
      <c r="L2" s="4" t="s">
        <v>68</v>
      </c>
      <c r="M2" s="4" t="s">
        <v>67</v>
      </c>
    </row>
    <row r="3" spans="1:13">
      <c r="A3" s="5"/>
      <c r="B3" s="9" t="s">
        <v>69</v>
      </c>
      <c r="C3" s="9" t="s">
        <v>70</v>
      </c>
      <c r="D3" s="9" t="s">
        <v>71</v>
      </c>
      <c r="E3" s="6" t="str">
        <f>+UPPER(D3)</f>
        <v>CODIGO</v>
      </c>
      <c r="F3" s="10" t="s">
        <v>72</v>
      </c>
      <c r="G3" s="9" t="s">
        <v>73</v>
      </c>
      <c r="H3" s="9" t="s">
        <v>74</v>
      </c>
      <c r="I3" s="9">
        <v>5775757</v>
      </c>
      <c r="J3" s="9" t="s">
        <v>75</v>
      </c>
      <c r="K3" s="9" t="s">
        <v>75</v>
      </c>
      <c r="L3" s="9" t="s">
        <v>47</v>
      </c>
      <c r="M3" s="9" t="s">
        <v>47</v>
      </c>
    </row>
    <row r="4" spans="1:13">
      <c r="A4" s="7"/>
      <c r="B4" s="9" t="s">
        <v>69</v>
      </c>
      <c r="C4" s="9" t="s">
        <v>70</v>
      </c>
      <c r="D4" s="9" t="s">
        <v>76</v>
      </c>
      <c r="E4" s="6" t="str">
        <f t="shared" ref="E4:E24" si="0">+UPPER(D4)</f>
        <v>CODIGO_BL</v>
      </c>
      <c r="F4" s="10" t="s">
        <v>77</v>
      </c>
      <c r="G4" s="9" t="s">
        <v>73</v>
      </c>
      <c r="H4" s="9" t="s">
        <v>74</v>
      </c>
      <c r="I4" s="9">
        <v>5847445</v>
      </c>
      <c r="J4" s="9" t="s">
        <v>47</v>
      </c>
      <c r="K4" s="9" t="s">
        <v>75</v>
      </c>
      <c r="L4" s="9" t="s">
        <v>47</v>
      </c>
      <c r="M4" s="9" t="s">
        <v>47</v>
      </c>
    </row>
    <row r="5" spans="1:13">
      <c r="A5" s="5"/>
      <c r="B5" s="9" t="s">
        <v>69</v>
      </c>
      <c r="C5" s="9" t="s">
        <v>70</v>
      </c>
      <c r="D5" s="9" t="s">
        <v>78</v>
      </c>
      <c r="E5" s="6" t="str">
        <f t="shared" si="0"/>
        <v>MAILRLEG</v>
      </c>
      <c r="F5" s="10" t="s">
        <v>79</v>
      </c>
      <c r="G5" s="9" t="s">
        <v>80</v>
      </c>
      <c r="H5" s="9" t="s">
        <v>74</v>
      </c>
      <c r="I5" s="9" t="s">
        <v>81</v>
      </c>
      <c r="J5" s="9" t="s">
        <v>47</v>
      </c>
      <c r="K5" s="9" t="s">
        <v>75</v>
      </c>
      <c r="L5" s="9" t="s">
        <v>47</v>
      </c>
      <c r="M5" s="9" t="s">
        <v>75</v>
      </c>
    </row>
    <row r="6" spans="1:13">
      <c r="A6" s="5"/>
      <c r="B6" s="9" t="s">
        <v>69</v>
      </c>
      <c r="C6" s="9" t="s">
        <v>70</v>
      </c>
      <c r="D6" s="9" t="s">
        <v>82</v>
      </c>
      <c r="E6" s="6" t="str">
        <f t="shared" si="0"/>
        <v>MOTBLQ</v>
      </c>
      <c r="F6" s="10" t="s">
        <v>83</v>
      </c>
      <c r="G6" s="9" t="s">
        <v>73</v>
      </c>
      <c r="H6" s="9" t="s">
        <v>74</v>
      </c>
      <c r="I6" s="9">
        <v>5</v>
      </c>
      <c r="J6" s="9" t="s">
        <v>47</v>
      </c>
      <c r="K6" s="9" t="s">
        <v>75</v>
      </c>
      <c r="L6" s="9" t="s">
        <v>47</v>
      </c>
      <c r="M6" s="9" t="s">
        <v>47</v>
      </c>
    </row>
    <row r="7" spans="1:13" ht="30">
      <c r="A7" s="5"/>
      <c r="B7" s="9" t="s">
        <v>69</v>
      </c>
      <c r="C7" s="9" t="s">
        <v>70</v>
      </c>
      <c r="D7" s="9" t="s">
        <v>84</v>
      </c>
      <c r="E7" s="6" t="str">
        <f t="shared" si="0"/>
        <v>OBSERV</v>
      </c>
      <c r="F7" s="10" t="s">
        <v>85</v>
      </c>
      <c r="G7" s="9" t="s">
        <v>73</v>
      </c>
      <c r="H7" s="9" t="s">
        <v>74</v>
      </c>
      <c r="I7" s="9" t="s">
        <v>86</v>
      </c>
      <c r="J7" s="9" t="s">
        <v>47</v>
      </c>
      <c r="K7" s="9" t="s">
        <v>75</v>
      </c>
      <c r="L7" s="9" t="s">
        <v>47</v>
      </c>
      <c r="M7" s="9" t="s">
        <v>47</v>
      </c>
    </row>
    <row r="8" spans="1:13">
      <c r="A8" s="5"/>
      <c r="B8" s="9" t="s">
        <v>69</v>
      </c>
      <c r="C8" s="9" t="s">
        <v>70</v>
      </c>
      <c r="D8" s="9" t="s">
        <v>87</v>
      </c>
      <c r="E8" s="6" t="str">
        <f t="shared" si="0"/>
        <v>TELEFONO</v>
      </c>
      <c r="F8" s="10" t="s">
        <v>88</v>
      </c>
      <c r="G8" s="9" t="s">
        <v>73</v>
      </c>
      <c r="H8" s="9" t="s">
        <v>74</v>
      </c>
      <c r="I8" s="9" t="s">
        <v>89</v>
      </c>
      <c r="J8" s="9" t="s">
        <v>47</v>
      </c>
      <c r="K8" s="9" t="s">
        <v>75</v>
      </c>
      <c r="L8" s="9" t="s">
        <v>47</v>
      </c>
      <c r="M8" s="9" t="s">
        <v>47</v>
      </c>
    </row>
    <row r="9" spans="1:13">
      <c r="A9" s="5"/>
      <c r="B9" s="9" t="s">
        <v>69</v>
      </c>
      <c r="C9" s="9" t="s">
        <v>70</v>
      </c>
      <c r="D9" s="9" t="s">
        <v>90</v>
      </c>
      <c r="E9" s="6" t="str">
        <f t="shared" si="0"/>
        <v>CORREO</v>
      </c>
      <c r="F9" s="10" t="s">
        <v>91</v>
      </c>
      <c r="G9" s="9" t="s">
        <v>73</v>
      </c>
      <c r="H9" s="9" t="s">
        <v>74</v>
      </c>
      <c r="I9" s="9" t="s">
        <v>89</v>
      </c>
      <c r="J9" s="9" t="s">
        <v>47</v>
      </c>
      <c r="K9" s="9" t="s">
        <v>75</v>
      </c>
      <c r="L9" s="9" t="s">
        <v>47</v>
      </c>
      <c r="M9" s="9" t="s">
        <v>47</v>
      </c>
    </row>
    <row r="10" spans="1:13">
      <c r="A10" s="5"/>
      <c r="B10" s="9" t="s">
        <v>69</v>
      </c>
      <c r="C10" s="9" t="s">
        <v>70</v>
      </c>
      <c r="D10" s="9" t="s">
        <v>92</v>
      </c>
      <c r="E10" s="6" t="str">
        <f t="shared" si="0"/>
        <v>CUENTA</v>
      </c>
      <c r="F10" s="10" t="s">
        <v>93</v>
      </c>
      <c r="G10" s="9" t="s">
        <v>73</v>
      </c>
      <c r="H10" s="9" t="s">
        <v>74</v>
      </c>
      <c r="I10" s="9" t="s">
        <v>89</v>
      </c>
      <c r="J10" s="9" t="s">
        <v>47</v>
      </c>
      <c r="K10" s="9" t="s">
        <v>75</v>
      </c>
      <c r="L10" s="9" t="s">
        <v>47</v>
      </c>
      <c r="M10" s="9" t="s">
        <v>47</v>
      </c>
    </row>
    <row r="11" spans="1:13">
      <c r="A11" s="5"/>
      <c r="B11" s="9" t="s">
        <v>69</v>
      </c>
      <c r="C11" s="9" t="s">
        <v>70</v>
      </c>
      <c r="D11" s="9" t="s">
        <v>94</v>
      </c>
      <c r="E11" s="6" t="str">
        <f t="shared" si="0"/>
        <v>NRODOC</v>
      </c>
      <c r="F11" s="10" t="s">
        <v>93</v>
      </c>
      <c r="G11" s="9" t="s">
        <v>73</v>
      </c>
      <c r="H11" s="9" t="s">
        <v>74</v>
      </c>
      <c r="I11" s="9" t="s">
        <v>89</v>
      </c>
      <c r="J11" s="9" t="s">
        <v>47</v>
      </c>
      <c r="K11" s="9" t="s">
        <v>75</v>
      </c>
      <c r="L11" s="9" t="s">
        <v>47</v>
      </c>
      <c r="M11" s="9" t="s">
        <v>47</v>
      </c>
    </row>
    <row r="12" spans="1:13">
      <c r="A12" s="5"/>
      <c r="B12" s="9" t="s">
        <v>69</v>
      </c>
      <c r="C12" s="9" t="s">
        <v>70</v>
      </c>
      <c r="D12" s="9" t="s">
        <v>95</v>
      </c>
      <c r="E12" s="6" t="str">
        <f t="shared" si="0"/>
        <v>REPLEG</v>
      </c>
      <c r="F12" s="10" t="s">
        <v>93</v>
      </c>
      <c r="G12" s="9" t="s">
        <v>73</v>
      </c>
      <c r="H12" s="9" t="s">
        <v>74</v>
      </c>
      <c r="I12" s="9" t="s">
        <v>89</v>
      </c>
      <c r="J12" s="9" t="s">
        <v>47</v>
      </c>
      <c r="K12" s="9" t="s">
        <v>75</v>
      </c>
      <c r="L12" s="9" t="s">
        <v>47</v>
      </c>
      <c r="M12" s="9" t="s">
        <v>47</v>
      </c>
    </row>
    <row r="13" spans="1:13">
      <c r="A13" s="5"/>
      <c r="B13" s="9" t="s">
        <v>69</v>
      </c>
      <c r="C13" s="9" t="s">
        <v>70</v>
      </c>
      <c r="D13" s="9" t="s">
        <v>96</v>
      </c>
      <c r="E13" s="6" t="str">
        <f t="shared" si="0"/>
        <v>FECAPE</v>
      </c>
      <c r="F13" s="10" t="s">
        <v>97</v>
      </c>
      <c r="G13" s="9" t="s">
        <v>73</v>
      </c>
      <c r="H13" s="9" t="s">
        <v>98</v>
      </c>
      <c r="I13" s="9">
        <v>45649</v>
      </c>
      <c r="J13" s="9" t="s">
        <v>47</v>
      </c>
      <c r="K13" s="9" t="s">
        <v>75</v>
      </c>
      <c r="L13" s="9" t="s">
        <v>75</v>
      </c>
      <c r="M13" s="9" t="s">
        <v>47</v>
      </c>
    </row>
    <row r="14" spans="1:13">
      <c r="A14" s="5"/>
      <c r="B14" s="9" t="s">
        <v>69</v>
      </c>
      <c r="C14" s="9" t="s">
        <v>70</v>
      </c>
      <c r="D14" s="9" t="s">
        <v>99</v>
      </c>
      <c r="E14" s="6" t="str">
        <f t="shared" si="0"/>
        <v>SITUAC</v>
      </c>
      <c r="F14" s="10" t="s">
        <v>100</v>
      </c>
      <c r="G14" s="9" t="s">
        <v>73</v>
      </c>
      <c r="H14" s="9" t="s">
        <v>74</v>
      </c>
      <c r="I14" s="9">
        <v>4</v>
      </c>
      <c r="J14" s="9" t="s">
        <v>47</v>
      </c>
      <c r="K14" s="9" t="s">
        <v>75</v>
      </c>
      <c r="L14" s="9" t="s">
        <v>75</v>
      </c>
      <c r="M14" s="9" t="s">
        <v>47</v>
      </c>
    </row>
    <row r="15" spans="1:13">
      <c r="A15" s="5"/>
      <c r="B15" s="9" t="s">
        <v>69</v>
      </c>
      <c r="C15" s="9" t="s">
        <v>70</v>
      </c>
      <c r="D15" s="9" t="s">
        <v>101</v>
      </c>
      <c r="E15" s="6" t="str">
        <f t="shared" si="0"/>
        <v>BLQ_FRAU</v>
      </c>
      <c r="F15" s="10" t="s">
        <v>102</v>
      </c>
      <c r="G15" s="9" t="s">
        <v>73</v>
      </c>
      <c r="H15" s="9" t="s">
        <v>74</v>
      </c>
      <c r="I15" s="9">
        <v>0</v>
      </c>
      <c r="J15" s="9" t="s">
        <v>47</v>
      </c>
      <c r="K15" s="9" t="s">
        <v>75</v>
      </c>
      <c r="L15" s="9" t="s">
        <v>47</v>
      </c>
      <c r="M15" s="9" t="s">
        <v>47</v>
      </c>
    </row>
    <row r="16" spans="1:13">
      <c r="A16" s="5"/>
      <c r="B16" s="9" t="s">
        <v>69</v>
      </c>
      <c r="C16" s="9" t="s">
        <v>70</v>
      </c>
      <c r="D16" s="9" t="s">
        <v>103</v>
      </c>
      <c r="E16" s="6" t="str">
        <f t="shared" si="0"/>
        <v>NRODOC2</v>
      </c>
      <c r="F16" s="10" t="s">
        <v>104</v>
      </c>
      <c r="G16" s="9" t="s">
        <v>80</v>
      </c>
      <c r="H16" s="9" t="s">
        <v>74</v>
      </c>
      <c r="I16" s="9">
        <v>72868885</v>
      </c>
      <c r="J16" s="9" t="s">
        <v>47</v>
      </c>
      <c r="K16" s="9" t="s">
        <v>75</v>
      </c>
      <c r="L16" s="9" t="s">
        <v>47</v>
      </c>
      <c r="M16" s="9" t="s">
        <v>75</v>
      </c>
    </row>
    <row r="17" spans="1:13">
      <c r="A17" s="5"/>
      <c r="B17" s="9" t="s">
        <v>69</v>
      </c>
      <c r="C17" s="9" t="s">
        <v>70</v>
      </c>
      <c r="D17" s="9" t="s">
        <v>105</v>
      </c>
      <c r="E17" s="6" t="str">
        <f t="shared" si="0"/>
        <v>REPLEGAL</v>
      </c>
      <c r="F17" s="10" t="s">
        <v>106</v>
      </c>
      <c r="G17" s="9" t="s">
        <v>80</v>
      </c>
      <c r="H17" s="9" t="s">
        <v>74</v>
      </c>
      <c r="I17" s="9">
        <v>72868885</v>
      </c>
      <c r="J17" s="9" t="s">
        <v>47</v>
      </c>
      <c r="K17" s="9" t="s">
        <v>75</v>
      </c>
      <c r="L17" s="9" t="s">
        <v>47</v>
      </c>
      <c r="M17" s="9" t="s">
        <v>47</v>
      </c>
    </row>
    <row r="18" spans="1:13" ht="30">
      <c r="A18" s="5"/>
      <c r="B18" s="9" t="s">
        <v>69</v>
      </c>
      <c r="C18" s="9" t="s">
        <v>70</v>
      </c>
      <c r="D18" s="9" t="s">
        <v>107</v>
      </c>
      <c r="E18" s="6" t="str">
        <f t="shared" si="0"/>
        <v>SEGMENTO</v>
      </c>
      <c r="F18" s="10" t="s">
        <v>108</v>
      </c>
      <c r="G18" s="9" t="s">
        <v>73</v>
      </c>
      <c r="H18" s="9" t="s">
        <v>74</v>
      </c>
      <c r="I18" s="9" t="s">
        <v>109</v>
      </c>
      <c r="J18" s="9" t="s">
        <v>47</v>
      </c>
      <c r="K18" s="9" t="s">
        <v>75</v>
      </c>
      <c r="L18" s="9" t="s">
        <v>75</v>
      </c>
      <c r="M18" s="9" t="s">
        <v>47</v>
      </c>
    </row>
    <row r="19" spans="1:13" ht="30">
      <c r="A19" s="5"/>
      <c r="B19" s="9" t="s">
        <v>69</v>
      </c>
      <c r="C19" s="9" t="s">
        <v>70</v>
      </c>
      <c r="D19" s="9" t="s">
        <v>110</v>
      </c>
      <c r="E19" s="6" t="str">
        <f t="shared" si="0"/>
        <v>NOMCOM</v>
      </c>
      <c r="F19" s="10" t="s">
        <v>111</v>
      </c>
      <c r="G19" s="9" t="s">
        <v>73</v>
      </c>
      <c r="H19" s="9" t="s">
        <v>74</v>
      </c>
      <c r="I19" s="9" t="s">
        <v>112</v>
      </c>
      <c r="J19" s="9" t="s">
        <v>47</v>
      </c>
      <c r="K19" s="9" t="s">
        <v>75</v>
      </c>
      <c r="L19" s="9" t="s">
        <v>47</v>
      </c>
      <c r="M19" s="9" t="s">
        <v>47</v>
      </c>
    </row>
    <row r="20" spans="1:13">
      <c r="A20" s="5"/>
      <c r="B20" s="9" t="s">
        <v>69</v>
      </c>
      <c r="C20" s="9" t="s">
        <v>70</v>
      </c>
      <c r="D20" s="9" t="s">
        <v>113</v>
      </c>
      <c r="E20" s="6" t="str">
        <f t="shared" si="0"/>
        <v>NROCTA</v>
      </c>
      <c r="F20" s="10" t="s">
        <v>114</v>
      </c>
      <c r="G20" s="9" t="s">
        <v>80</v>
      </c>
      <c r="H20" s="9" t="s">
        <v>74</v>
      </c>
      <c r="I20" s="9">
        <v>8983269685460</v>
      </c>
      <c r="J20" s="9" t="s">
        <v>47</v>
      </c>
      <c r="K20" s="9" t="s">
        <v>75</v>
      </c>
      <c r="L20" s="9" t="s">
        <v>47</v>
      </c>
      <c r="M20" s="9" t="s">
        <v>75</v>
      </c>
    </row>
    <row r="21" spans="1:13">
      <c r="A21" s="5"/>
      <c r="B21" s="9" t="s">
        <v>69</v>
      </c>
      <c r="C21" s="9" t="s">
        <v>70</v>
      </c>
      <c r="D21" s="9" t="s">
        <v>115</v>
      </c>
      <c r="E21" s="6" t="str">
        <f t="shared" si="0"/>
        <v>TELEFO</v>
      </c>
      <c r="F21" s="10" t="s">
        <v>116</v>
      </c>
      <c r="G21" s="9" t="s">
        <v>80</v>
      </c>
      <c r="H21" s="9" t="s">
        <v>74</v>
      </c>
      <c r="I21" s="9">
        <v>924641025</v>
      </c>
      <c r="J21" s="9" t="s">
        <v>47</v>
      </c>
      <c r="K21" s="9" t="s">
        <v>75</v>
      </c>
      <c r="L21" s="9" t="s">
        <v>47</v>
      </c>
      <c r="M21" s="9" t="s">
        <v>75</v>
      </c>
    </row>
    <row r="22" spans="1:13">
      <c r="A22" s="5"/>
      <c r="B22" s="9" t="s">
        <v>69</v>
      </c>
      <c r="C22" s="9" t="s">
        <v>70</v>
      </c>
      <c r="D22" s="9" t="s">
        <v>117</v>
      </c>
      <c r="E22" s="6" t="str">
        <f t="shared" si="0"/>
        <v>NOMBRE_PRODUCTO</v>
      </c>
      <c r="F22" s="10" t="s">
        <v>118</v>
      </c>
      <c r="G22" s="9" t="s">
        <v>73</v>
      </c>
      <c r="H22" s="9" t="s">
        <v>74</v>
      </c>
      <c r="I22" s="9" t="s">
        <v>119</v>
      </c>
      <c r="J22" s="9" t="s">
        <v>47</v>
      </c>
      <c r="K22" s="9" t="s">
        <v>75</v>
      </c>
      <c r="L22" s="9" t="s">
        <v>47</v>
      </c>
      <c r="M22" s="9" t="s">
        <v>47</v>
      </c>
    </row>
    <row r="23" spans="1:13">
      <c r="A23" s="5"/>
      <c r="B23" s="9" t="s">
        <v>69</v>
      </c>
      <c r="C23" s="9" t="s">
        <v>70</v>
      </c>
      <c r="D23" s="9" t="s">
        <v>120</v>
      </c>
      <c r="E23" s="6" t="str">
        <f t="shared" si="0"/>
        <v>DEALER</v>
      </c>
      <c r="F23" s="10" t="s">
        <v>121</v>
      </c>
      <c r="G23" s="9" t="s">
        <v>73</v>
      </c>
      <c r="H23" s="9" t="s">
        <v>74</v>
      </c>
      <c r="I23" s="9" t="s">
        <v>40</v>
      </c>
      <c r="J23" s="9" t="s">
        <v>47</v>
      </c>
      <c r="K23" s="9" t="s">
        <v>75</v>
      </c>
      <c r="L23" s="9" t="s">
        <v>47</v>
      </c>
      <c r="M23" s="9" t="s">
        <v>47</v>
      </c>
    </row>
    <row r="24" spans="1:13" ht="30">
      <c r="A24" s="5"/>
      <c r="B24" s="9" t="s">
        <v>69</v>
      </c>
      <c r="C24" s="9" t="s">
        <v>70</v>
      </c>
      <c r="D24" s="9" t="s">
        <v>122</v>
      </c>
      <c r="E24" s="6" t="str">
        <f t="shared" si="0"/>
        <v>GRUPO</v>
      </c>
      <c r="F24" s="20" t="s">
        <v>123</v>
      </c>
      <c r="G24" s="9" t="s">
        <v>73</v>
      </c>
      <c r="H24" s="9" t="s">
        <v>74</v>
      </c>
      <c r="I24" s="9" t="s">
        <v>124</v>
      </c>
      <c r="J24" s="9" t="s">
        <v>47</v>
      </c>
      <c r="K24" s="9" t="s">
        <v>75</v>
      </c>
      <c r="L24" s="9" t="s">
        <v>47</v>
      </c>
      <c r="M24" s="9" t="s">
        <v>47</v>
      </c>
    </row>
  </sheetData>
  <autoFilter ref="A2:M24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5" ma:contentTypeDescription="Create a new document." ma:contentTypeScope="" ma:versionID="a0cdade6e01d78fc77af248b5480c602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b889f8cfbc3f4fd6c5d86232a3960b51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D8F63F-B8AD-4AF0-88C1-1FBCFE90B0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A60F43-D951-4E6E-94E3-EDE98BE9A342}">
  <ds:schemaRefs>
    <ds:schemaRef ds:uri="http://schemas.microsoft.com/office/2006/metadata/properties"/>
    <ds:schemaRef ds:uri="http://schemas.microsoft.com/office/infopath/2007/PartnerControls"/>
    <ds:schemaRef ds:uri="e80ac410-b05f-448e-8dee-046357d4e70e"/>
    <ds:schemaRef ds:uri="0d36e45e-9b33-40cd-9496-1b0b6d1fa39a"/>
  </ds:schemaRefs>
</ds:datastoreItem>
</file>

<file path=customXml/itemProps3.xml><?xml version="1.0" encoding="utf-8"?>
<ds:datastoreItem xmlns:ds="http://schemas.openxmlformats.org/officeDocument/2006/customXml" ds:itemID="{FE7229D5-B14C-480A-84F7-AE94AB83BD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Estructuras del Modelo</vt:lpstr>
      <vt:lpstr>RT_GD_REPORTE_COINCIDENCIA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ANGELLO BRAVO</cp:lastModifiedBy>
  <cp:revision/>
  <dcterms:created xsi:type="dcterms:W3CDTF">2025-08-19T18:52:30Z</dcterms:created>
  <dcterms:modified xsi:type="dcterms:W3CDTF">2025-10-01T20:03:16Z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