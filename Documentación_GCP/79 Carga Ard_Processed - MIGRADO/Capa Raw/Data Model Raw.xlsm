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79 Carga Ard_Processed - MIGRADO/Capa Raw/"/>
    </mc:Choice>
  </mc:AlternateContent>
  <xr:revisionPtr revIDLastSave="277" documentId="8_{1DCF88E8-8811-44D0-8773-D3AB89B02E57}" xr6:coauthVersionLast="47" xr6:coauthVersionMax="47" xr10:uidLastSave="{9FCE2F60-2C34-4010-AFA1-4B45D58A5525}"/>
  <bookViews>
    <workbookView xWindow="-110" yWindow="-110" windowWidth="19420" windowHeight="11500" firstSheet="6" activeTab="7" xr2:uid="{00000000-000D-0000-FFFF-FFFF00000000}"/>
  </bookViews>
  <sheets>
    <sheet name="Datos Sensibles" sheetId="4" r:id="rId1"/>
    <sheet name="Estructuras del Modelo" sheetId="1" r:id="rId2"/>
    <sheet name="mcfs005al" sheetId="2" r:id="rId3"/>
    <sheet name="ard_arn" sheetId="5" r:id="rId4"/>
    <sheet name="arn_ard_fuente_ard_arn_87_034" sheetId="6" r:id="rId5"/>
    <sheet name="arn_ard_fuente_ard_arnfuente" sheetId="10" r:id="rId6"/>
    <sheet name="entrymode_ard_arn87_03" sheetId="7" r:id="rId7"/>
    <sheet name="entrymode_ard_arnfuente" sheetId="8" r:id="rId8"/>
  </sheets>
  <functionGroups builtInGroupCount="19"/>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9" i="10" l="1"/>
  <c r="E8" i="10"/>
  <c r="E7" i="10"/>
  <c r="E6" i="10"/>
  <c r="E5" i="10"/>
  <c r="E4" i="10"/>
  <c r="E3" i="10"/>
  <c r="E5" i="6"/>
  <c r="E4" i="6"/>
  <c r="E3" i="6"/>
  <c r="E8" i="8"/>
  <c r="E7" i="8"/>
  <c r="E6" i="8"/>
  <c r="E5" i="8"/>
  <c r="E4" i="8"/>
  <c r="E3" i="8"/>
  <c r="E8" i="7"/>
  <c r="E7" i="7"/>
  <c r="E6" i="7"/>
  <c r="E5" i="7"/>
  <c r="E4" i="7"/>
  <c r="E3" i="7"/>
  <c r="E9" i="6"/>
  <c r="E8" i="6"/>
  <c r="E7" i="6"/>
  <c r="E6" i="6"/>
  <c r="E9" i="5"/>
  <c r="E8" i="5"/>
  <c r="E7" i="5"/>
  <c r="E6" i="5"/>
  <c r="E5" i="5"/>
  <c r="E4" i="5"/>
  <c r="E3" i="5"/>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tc={F8A9F690-D5D2-4EB6-BF32-4EB3EE7BD398}</author>
    <author>tc={6C70086E-23F9-4982-B6A9-43523571D23C}</author>
    <author>tc={7DAE044A-0A5D-496E-AB86-AE6BF95A2500}</author>
  </authors>
  <commentList>
    <comment ref="D12" authorId="0" shapeId="0" xr:uid="{F8A9F690-D5D2-4EB6-BF32-4EB3EE7BD398}">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pdtarj</t>
      </text>
    </comment>
    <comment ref="D108" authorId="1" shapeId="0" xr:uid="{6C70086E-23F9-4982-B6A9-43523571D23C}">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pdruce</t>
      </text>
    </comment>
    <comment ref="D144" authorId="2" shapeId="0" xr:uid="{7DAE044A-0A5D-496E-AB86-AE6BF95A2500}">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pdtarx</t>
      </text>
    </comment>
  </commentList>
</comments>
</file>

<file path=xl/sharedStrings.xml><?xml version="1.0" encoding="utf-8"?>
<sst xmlns="http://schemas.openxmlformats.org/spreadsheetml/2006/main" count="2798" uniqueCount="508">
  <si>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</si>
  <si>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</si>
  <si>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</si>
  <si>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</si>
  <si>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</si>
  <si>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</si>
  <si>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</si>
  <si>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</si>
  <si>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</si>
  <si>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</si>
  <si>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</si>
  <si>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</si>
  <si>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</si>
  <si>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</si>
  <si>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</si>
  <si>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</si>
  <si>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</si>
  <si>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</si>
  <si>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</si>
  <si>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</si>
  <si>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</si>
  <si>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</si>
  <si>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</si>
  <si>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</si>
  <si>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</si>
  <si>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</si>
  <si>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</si>
  <si>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</si>
  <si>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</si>
  <si>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</si>
  <si>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</si>
  <si>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</si>
  <si>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</si>
  <si>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</si>
  <si>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</si>
  <si>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</si>
  <si>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</si>
  <si>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</si>
  <si>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</si>
  <si>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</si>
  <si>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</si>
  <si>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</si>
  <si>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</si>
  <si>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</si>
  <si>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</si>
  <si>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</si>
  <si>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</si>
  <si>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Transacciones</t>
  </si>
  <si>
    <t>prd-izipay-data-storage-pv</t>
  </si>
  <si>
    <t>raw_as400</t>
  </si>
  <si>
    <t>mcfs005al</t>
  </si>
  <si>
    <t>Pagos a establecimientos por detale, transacciones que entraron al proceso de liquidación</t>
  </si>
  <si>
    <t>Última foto</t>
  </si>
  <si>
    <t>Diario</t>
  </si>
  <si>
    <t>mc2103@izipay.pe</t>
  </si>
  <si>
    <t>N</t>
  </si>
  <si>
    <t>prod</t>
  </si>
  <si>
    <t>Raw</t>
  </si>
  <si>
    <t>BackOffice</t>
  </si>
  <si>
    <t>raw_dataentry_operaciones</t>
  </si>
  <si>
    <t>ard_arn</t>
  </si>
  <si>
    <t>Catálogo de ARN por defecto para cargar al campo arn_ard</t>
  </si>
  <si>
    <t>Única Carga</t>
  </si>
  <si>
    <t>arn_ard_fuente_ard_arn_87_034</t>
  </si>
  <si>
    <t>Catálogo de ARN por defecto para cargar al campo arn_ard_fuente</t>
  </si>
  <si>
    <t>arn_ard_fuente_ard_arnfuente</t>
  </si>
  <si>
    <t>entrymode_ard_arn87_03</t>
  </si>
  <si>
    <t>Catálogo de ARN87_03 para el campo entrymode</t>
  </si>
  <si>
    <t>entrymode_ard_arnfuente</t>
  </si>
  <si>
    <t>Catálogo de ARNfuente para el campo entrymode</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</si>
  <si>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</si>
  <si>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</si>
  <si>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</si>
  <si>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</si>
  <si>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</si>
  <si>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</si>
  <si>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</si>
  <si>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</si>
  <si>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</si>
  <si>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</si>
  <si>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</si>
  <si>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</si>
  <si>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</si>
  <si>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</si>
  <si>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</si>
  <si>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</si>
  <si>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</si>
  <si>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</si>
  <si>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</si>
  <si>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</si>
  <si>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</si>
  <si>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</si>
  <si>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</si>
  <si>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</si>
  <si>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pdprod</t>
  </si>
  <si>
    <t>Producto</t>
  </si>
  <si>
    <t>STRING</t>
  </si>
  <si>
    <t>BP</t>
  </si>
  <si>
    <t>Y</t>
  </si>
  <si>
    <t>pdcest</t>
  </si>
  <si>
    <t>Comercio</t>
  </si>
  <si>
    <t>pdctra</t>
  </si>
  <si>
    <t>Transaccion</t>
  </si>
  <si>
    <t>pdfpro</t>
  </si>
  <si>
    <t>Fecha Proceso</t>
  </si>
  <si>
    <t>pdbcop</t>
  </si>
  <si>
    <t>Bco Pagador</t>
  </si>
  <si>
    <t>pdlote</t>
  </si>
  <si>
    <t>Lote</t>
  </si>
  <si>
    <t>pdtpem</t>
  </si>
  <si>
    <t>Term Pos Entry Mode</t>
  </si>
  <si>
    <t>pdbcor</t>
  </si>
  <si>
    <t>Bco Receptor</t>
  </si>
  <si>
    <t>pdbcoe</t>
  </si>
  <si>
    <t>Bco Emisor</t>
  </si>
  <si>
    <t>pvc_id</t>
  </si>
  <si>
    <t>Tarjeta</t>
  </si>
  <si>
    <t>pdftra</t>
  </si>
  <si>
    <t>Fecha Transacc</t>
  </si>
  <si>
    <t>pdndoc</t>
  </si>
  <si>
    <t>Nro Documento</t>
  </si>
  <si>
    <t>pdauto</t>
  </si>
  <si>
    <t>Autorizacion</t>
  </si>
  <si>
    <t>pdimpo</t>
  </si>
  <si>
    <t>Importe</t>
  </si>
  <si>
    <t>pdmone</t>
  </si>
  <si>
    <t>Moneda</t>
  </si>
  <si>
    <t>pdiacc</t>
  </si>
  <si>
    <t>Abo/Car Comision</t>
  </si>
  <si>
    <t>C</t>
  </si>
  <si>
    <t>pdcomi</t>
  </si>
  <si>
    <t>Comision</t>
  </si>
  <si>
    <t>pdcopr</t>
  </si>
  <si>
    <t>Comision Proces</t>
  </si>
  <si>
    <t>pdimpr</t>
  </si>
  <si>
    <t>Impuesto Proces</t>
  </si>
  <si>
    <t>pdcoem</t>
  </si>
  <si>
    <t>Comision Emisor</t>
  </si>
  <si>
    <t>pdimem</t>
  </si>
  <si>
    <t>Impuesto Emisor</t>
  </si>
  <si>
    <t>pdmetr</t>
  </si>
  <si>
    <t>Medio De Transac</t>
  </si>
  <si>
    <t>PL</t>
  </si>
  <si>
    <t>pdflot</t>
  </si>
  <si>
    <t>Fecha De Lote</t>
  </si>
  <si>
    <t>pdlotr</t>
  </si>
  <si>
    <t>Lote Referencia</t>
  </si>
  <si>
    <t>pduser</t>
  </si>
  <si>
    <t>Usuario</t>
  </si>
  <si>
    <t>pdterm</t>
  </si>
  <si>
    <t>Terminal</t>
  </si>
  <si>
    <t>PS0003</t>
  </si>
  <si>
    <t>pdusap</t>
  </si>
  <si>
    <t>Aprobado Por</t>
  </si>
  <si>
    <t>pdfpen</t>
  </si>
  <si>
    <t>Fecha Pendiente</t>
  </si>
  <si>
    <t>pdicai</t>
  </si>
  <si>
    <t>Ica Emisor</t>
  </si>
  <si>
    <t>pdicaa</t>
  </si>
  <si>
    <t>Ica Adquir</t>
  </si>
  <si>
    <t>pdfjul</t>
  </si>
  <si>
    <t>Fecha Juliana</t>
  </si>
  <si>
    <t>pdmcc</t>
  </si>
  <si>
    <t>Mcc</t>
  </si>
  <si>
    <t>pdtcam</t>
  </si>
  <si>
    <t>Tipo Cambio</t>
  </si>
  <si>
    <t>pdimus</t>
  </si>
  <si>
    <t>Importe Soles</t>
  </si>
  <si>
    <t>pdtien</t>
  </si>
  <si>
    <t>Tienda</t>
  </si>
  <si>
    <t>pdsucu</t>
  </si>
  <si>
    <t>Sucursal</t>
  </si>
  <si>
    <t>pdtdev</t>
  </si>
  <si>
    <t>Indica Devolucion (D: Devolución total, P: Devolución Parcial: ' ' No tiene devolución)</t>
  </si>
  <si>
    <t>pdager</t>
  </si>
  <si>
    <t>Agen.Receptora</t>
  </si>
  <si>
    <t>pdtipe</t>
  </si>
  <si>
    <t>Tipo Pendiente</t>
  </si>
  <si>
    <t>pdsaem</t>
  </si>
  <si>
    <t>Saldo Emisor</t>
  </si>
  <si>
    <t>pdpais</t>
  </si>
  <si>
    <t>Pais</t>
  </si>
  <si>
    <t>PER</t>
  </si>
  <si>
    <t>pdorig</t>
  </si>
  <si>
    <t>Origen</t>
  </si>
  <si>
    <t>PO</t>
  </si>
  <si>
    <t>pdprem</t>
  </si>
  <si>
    <t>Premiado (P: Tiene premiación)</t>
  </si>
  <si>
    <t>pdbren</t>
  </si>
  <si>
    <t>Banknet Refe Nbr</t>
  </si>
  <si>
    <t>MRG4ZSEIH</t>
  </si>
  <si>
    <t>pdaren</t>
  </si>
  <si>
    <t>Acquirer Refe Nbr</t>
  </si>
  <si>
    <t>pdpcom</t>
  </si>
  <si>
    <t>% Comision Estab</t>
  </si>
  <si>
    <t>pdcade</t>
  </si>
  <si>
    <t>Cadena</t>
  </si>
  <si>
    <t>pditem</t>
  </si>
  <si>
    <t>Item</t>
  </si>
  <si>
    <t>pdcico</t>
  </si>
  <si>
    <t>Cod.Interca.Comi</t>
  </si>
  <si>
    <t>pdtain</t>
  </si>
  <si>
    <t>Tasa Intercambio</t>
  </si>
  <si>
    <t>L</t>
  </si>
  <si>
    <t>pdtint</t>
  </si>
  <si>
    <t>Tipo Intercambio</t>
  </si>
  <si>
    <t>I</t>
  </si>
  <si>
    <t>pdrccl</t>
  </si>
  <si>
    <t>Report Camara Local</t>
  </si>
  <si>
    <t>pdtmci</t>
  </si>
  <si>
    <t>Transac.Segun Mci (L: Local, I: Internacional: $Internacional Dolares)</t>
  </si>
  <si>
    <t>pdcoer</t>
  </si>
  <si>
    <t>Comi.Serv.Procesami</t>
  </si>
  <si>
    <t>pdimer</t>
  </si>
  <si>
    <t>Impu.Serv.Procesami</t>
  </si>
  <si>
    <t>pdtmov</t>
  </si>
  <si>
    <t>C:Cargo A:Abono</t>
  </si>
  <si>
    <t>A</t>
  </si>
  <si>
    <t>pdsens</t>
  </si>
  <si>
    <t>Sdo Emisor Soles</t>
  </si>
  <si>
    <t>pdfaes</t>
  </si>
  <si>
    <t>Facturac Especial</t>
  </si>
  <si>
    <t>pdlimi</t>
  </si>
  <si>
    <t>Limite Piso</t>
  </si>
  <si>
    <t>pdclaf</t>
  </si>
  <si>
    <t>Clase Facturador</t>
  </si>
  <si>
    <t>pdfpre</t>
  </si>
  <si>
    <t>Fec.Pro.Referencia</t>
  </si>
  <si>
    <t>pdfopa</t>
  </si>
  <si>
    <t>Forma Pago</t>
  </si>
  <si>
    <t>pdmpdi</t>
  </si>
  <si>
    <t>Mes Pago Diferido</t>
  </si>
  <si>
    <t>pdncuo</t>
  </si>
  <si>
    <t>Nro Cuotas</t>
  </si>
  <si>
    <t>pdvcuo</t>
  </si>
  <si>
    <t>Valor De Cuota</t>
  </si>
  <si>
    <t>pdfpcu</t>
  </si>
  <si>
    <t>Fecha 1Ra Cuota</t>
  </si>
  <si>
    <t>pdauol</t>
  </si>
  <si>
    <t>Autorizado En Ola</t>
  </si>
  <si>
    <t>S</t>
  </si>
  <si>
    <t>pdifee</t>
  </si>
  <si>
    <t>$Flat "Fee"</t>
  </si>
  <si>
    <t>pdtcpr</t>
  </si>
  <si>
    <t>T.Cambio Proceso</t>
  </si>
  <si>
    <t>pdfpem</t>
  </si>
  <si>
    <t>Frec Proceso Emisor</t>
  </si>
  <si>
    <t>D</t>
  </si>
  <si>
    <t>pdfepe</t>
  </si>
  <si>
    <t>Fech Proceso Emisor</t>
  </si>
  <si>
    <t>pdfing</t>
  </si>
  <si>
    <t>Fecha Ingreso</t>
  </si>
  <si>
    <t>pdtcop</t>
  </si>
  <si>
    <t>Tipo:Fac,N/C</t>
  </si>
  <si>
    <t>pdncop</t>
  </si>
  <si>
    <t>Nro Comprob Pago</t>
  </si>
  <si>
    <t>pdseil</t>
  </si>
  <si>
    <t>Serv.Intercam.Local</t>
  </si>
  <si>
    <t>pdimil</t>
  </si>
  <si>
    <t>Impu.Intercam.Local</t>
  </si>
  <si>
    <t>pdnet1</t>
  </si>
  <si>
    <t>Neto1 Establecim</t>
  </si>
  <si>
    <t>pdfaut</t>
  </si>
  <si>
    <t>Fecha Autorizacion</t>
  </si>
  <si>
    <t>pdiaut</t>
  </si>
  <si>
    <t>Importe Autorizado</t>
  </si>
  <si>
    <t>pdfire</t>
  </si>
  <si>
    <t>Fec.Ing.Referencia</t>
  </si>
  <si>
    <t>pdlore</t>
  </si>
  <si>
    <t>Lote Ref</t>
  </si>
  <si>
    <t>pditre</t>
  </si>
  <si>
    <t>Item Ref</t>
  </si>
  <si>
    <t>pdpvea</t>
  </si>
  <si>
    <t>Estab Plaza Vea</t>
  </si>
  <si>
    <t>pdsubp</t>
  </si>
  <si>
    <t>Sub Prod/Gcms</t>
  </si>
  <si>
    <t>MRG</t>
  </si>
  <si>
    <t>pdfabo</t>
  </si>
  <si>
    <t>Fecha Abono Real</t>
  </si>
  <si>
    <t>pdndab</t>
  </si>
  <si>
    <t>Nro Dias Abono</t>
  </si>
  <si>
    <t>pdpsmi</t>
  </si>
  <si>
    <t>Campaña Emisor</t>
  </si>
  <si>
    <t>pdtire</t>
  </si>
  <si>
    <t>Tiempo Respuesta</t>
  </si>
  <si>
    <t>pdhaut</t>
  </si>
  <si>
    <t>Hora Autoriz</t>
  </si>
  <si>
    <t>pdagei</t>
  </si>
  <si>
    <t>Agente Iata</t>
  </si>
  <si>
    <t>pdairl</t>
  </si>
  <si>
    <t>Cod Aerolinea</t>
  </si>
  <si>
    <t>pdnopi</t>
  </si>
  <si>
    <t>Operacion Iata</t>
  </si>
  <si>
    <t>pdppen</t>
  </si>
  <si>
    <t>1Er Pendiente</t>
  </si>
  <si>
    <t>pdicax</t>
  </si>
  <si>
    <t>pdird</t>
  </si>
  <si>
    <t>Ird</t>
  </si>
  <si>
    <t>P1</t>
  </si>
  <si>
    <t>pdregi</t>
  </si>
  <si>
    <t>Region</t>
  </si>
  <si>
    <t>B</t>
  </si>
  <si>
    <t>pdsvc</t>
  </si>
  <si>
    <t>Service Code</t>
  </si>
  <si>
    <t>pdpauc</t>
  </si>
  <si>
    <t>Protoc-Autent-Ucaf</t>
  </si>
  <si>
    <t>pdicsh</t>
  </si>
  <si>
    <t>Impo Cash</t>
  </si>
  <si>
    <t>pdccsh</t>
  </si>
  <si>
    <t>Comis Cash</t>
  </si>
  <si>
    <t>pdrefn</t>
  </si>
  <si>
    <t>Trace Switch</t>
  </si>
  <si>
    <t>pdposc</t>
  </si>
  <si>
    <t>Pos Data Code</t>
  </si>
  <si>
    <t>M10101M90301</t>
  </si>
  <si>
    <t>pdtcc</t>
  </si>
  <si>
    <t>Tcc</t>
  </si>
  <si>
    <t>R</t>
  </si>
  <si>
    <t>pdtcta</t>
  </si>
  <si>
    <t>Tipo Cta</t>
  </si>
  <si>
    <t>pdarer</t>
  </si>
  <si>
    <t>Arn Referencia</t>
  </si>
  <si>
    <t>party_id_izi</t>
  </si>
  <si>
    <t>Código identificador único del documento afiliado a iziPay</t>
  </si>
  <si>
    <t>pdbono</t>
  </si>
  <si>
    <t>Boleto/N Orden</t>
  </si>
  <si>
    <t>pdmoti</t>
  </si>
  <si>
    <t>Motivo</t>
  </si>
  <si>
    <t>pdcoad</t>
  </si>
  <si>
    <t>Comision Adq</t>
  </si>
  <si>
    <t>pdimca</t>
  </si>
  <si>
    <t>Igv Comi Adq</t>
  </si>
  <si>
    <t>pdcpid</t>
  </si>
  <si>
    <t>Card Prog Id</t>
  </si>
  <si>
    <t>MDS</t>
  </si>
  <si>
    <t>pdlpid</t>
  </si>
  <si>
    <t>Licen Prod Id</t>
  </si>
  <si>
    <t>pdprco</t>
  </si>
  <si>
    <t>Procces Code</t>
  </si>
  <si>
    <t>pdbslv</t>
  </si>
  <si>
    <t>Buss Level</t>
  </si>
  <si>
    <t>pdbsid</t>
  </si>
  <si>
    <t>Buss Id</t>
  </si>
  <si>
    <t>pdfdep</t>
  </si>
  <si>
    <t>Fecha Deposito</t>
  </si>
  <si>
    <t>pdfcnf</t>
  </si>
  <si>
    <t>Fecha Confirmacion</t>
  </si>
  <si>
    <t>pdmp01</t>
  </si>
  <si>
    <t>Cod Mprod 1</t>
  </si>
  <si>
    <t>pdmi01</t>
  </si>
  <si>
    <t>Imp Mprod 1</t>
  </si>
  <si>
    <t>pdmp02</t>
  </si>
  <si>
    <t>Cod Mprod 2</t>
  </si>
  <si>
    <t>pdmi02</t>
  </si>
  <si>
    <t>Imp Mprod 2</t>
  </si>
  <si>
    <t>pdmp03</t>
  </si>
  <si>
    <t>Cod Mprod 3</t>
  </si>
  <si>
    <t>pdmi03</t>
  </si>
  <si>
    <t>Imp Mprod 3</t>
  </si>
  <si>
    <t>pdmp04</t>
  </si>
  <si>
    <t>Cod Mprod 4</t>
  </si>
  <si>
    <t>pdmi04</t>
  </si>
  <si>
    <t>Imp Mprod 4</t>
  </si>
  <si>
    <t>pdmp05</t>
  </si>
  <si>
    <t>Cod Mprod 5</t>
  </si>
  <si>
    <t>pdmi05</t>
  </si>
  <si>
    <t>Imp Mprod 5</t>
  </si>
  <si>
    <t>pdcafj</t>
  </si>
  <si>
    <t>Articulo Afijo</t>
  </si>
  <si>
    <t>pdmint</t>
  </si>
  <si>
    <t>Modo Intecamb (S: Single, D:Dual)</t>
  </si>
  <si>
    <t>pdsadv</t>
  </si>
  <si>
    <t>No Aplicar Dev</t>
  </si>
  <si>
    <t>pdtemv</t>
  </si>
  <si>
    <t>Terminal Emv</t>
  </si>
  <si>
    <t>pdprop</t>
  </si>
  <si>
    <t>Term Propina</t>
  </si>
  <si>
    <t>pdprau</t>
  </si>
  <si>
    <t>Pre Aut</t>
  </si>
  <si>
    <t>F</t>
  </si>
  <si>
    <t>pdtpmm</t>
  </si>
  <si>
    <t>Term Pos Mult Mon</t>
  </si>
  <si>
    <t>pdcsqn</t>
  </si>
  <si>
    <t>Card Seq Nbr</t>
  </si>
  <si>
    <t>pdemv</t>
  </si>
  <si>
    <t>Emv</t>
  </si>
  <si>
    <t>¬_x0002_b_x0002_Ødµ_x0010__x0010_n Ø_x0001_ª_x0003_æ_x0001_¤_x0002_¤_x0003_¤_x0010__x0012__x0003_v _x0002_ûj_x0003__x0002_`¤_x0002_¤_x0017_õ9äðGÐ¤_x001B__x0001_Ø¤_x0003_\¤_x0003__x001A__x0002_¤_x0001_¤_x0002__x0007_¤_x0004_±÷ß¤ë_x0001_ê</t>
  </si>
  <si>
    <t>pdndev</t>
  </si>
  <si>
    <t>Nro Dev Dia</t>
  </si>
  <si>
    <t>pdprio</t>
  </si>
  <si>
    <t>Prioridad Dev</t>
  </si>
  <si>
    <t>pdppro</t>
  </si>
  <si>
    <t>% Propina</t>
  </si>
  <si>
    <t>pdcamp</t>
  </si>
  <si>
    <t>Campaña</t>
  </si>
  <si>
    <t>pdbin</t>
  </si>
  <si>
    <t>Bin</t>
  </si>
  <si>
    <t>pvc_id_2</t>
  </si>
  <si>
    <t>pdtarm</t>
  </si>
  <si>
    <t>Tarjeta Mask</t>
  </si>
  <si>
    <t>531755-4844</t>
  </si>
  <si>
    <t>pdtarr</t>
  </si>
  <si>
    <t>Tarjeta Rec</t>
  </si>
  <si>
    <t>pdltar</t>
  </si>
  <si>
    <t>Long Tarj</t>
  </si>
  <si>
    <t>pdface</t>
  </si>
  <si>
    <t>Fact Estab (D: Diario, M:Mensual)</t>
  </si>
  <si>
    <t>pdobse</t>
  </si>
  <si>
    <t>Observa</t>
  </si>
  <si>
    <t>pdtiep</t>
  </si>
  <si>
    <t>pdfabp</t>
  </si>
  <si>
    <t>Fec Abo Proce</t>
  </si>
  <si>
    <t>pdfcmp</t>
  </si>
  <si>
    <t>Fec Compensa</t>
  </si>
  <si>
    <t>pdeiba</t>
  </si>
  <si>
    <t>Emi Iba</t>
  </si>
  <si>
    <t>pdpiba</t>
  </si>
  <si>
    <t>Pag Iba</t>
  </si>
  <si>
    <t>pdde22</t>
  </si>
  <si>
    <t>D22 Pem</t>
  </si>
  <si>
    <t>pdde61</t>
  </si>
  <si>
    <t>D61 Pos Code</t>
  </si>
  <si>
    <t>pdissu</t>
  </si>
  <si>
    <t>Emisor Swt</t>
  </si>
  <si>
    <t>pdacqu</t>
  </si>
  <si>
    <t>Adquir Swt</t>
  </si>
  <si>
    <t>pdde07</t>
  </si>
  <si>
    <t>De07 Swt</t>
  </si>
  <si>
    <t>pdde15</t>
  </si>
  <si>
    <t>De15 Netdate</t>
  </si>
  <si>
    <t>pdfcom</t>
  </si>
  <si>
    <t>Flat Comis</t>
  </si>
  <si>
    <t>pdfeci</t>
  </si>
  <si>
    <t>Fec Interc</t>
  </si>
  <si>
    <t>pdimpi</t>
  </si>
  <si>
    <t>Imp Interc</t>
  </si>
  <si>
    <t>pdesqu</t>
  </si>
  <si>
    <t>Esquema</t>
  </si>
  <si>
    <t>pdtcom</t>
  </si>
  <si>
    <t>Tipo Comision (EM: Escal MCC, EE: Estab, ER: Escal RUC, CE: Camp Estab, CR: Camp RUC, FL: Flat, PJ: Porcentaje)</t>
  </si>
  <si>
    <t>PJ</t>
  </si>
  <si>
    <t>pdnrid</t>
  </si>
  <si>
    <t>Nro Id</t>
  </si>
  <si>
    <t>pddcem</t>
  </si>
  <si>
    <t>Dist Comi Emi</t>
  </si>
  <si>
    <t>pdimdc</t>
  </si>
  <si>
    <t>Impo Dcc</t>
  </si>
  <si>
    <t>pdmodc</t>
  </si>
  <si>
    <t>Mone Dcc</t>
  </si>
  <si>
    <t>pdrmdc</t>
  </si>
  <si>
    <t>Rate Margin Dcc</t>
  </si>
  <si>
    <t>pdexdc</t>
  </si>
  <si>
    <t>Exchange Rate Dcc</t>
  </si>
  <si>
    <t>pdiedc</t>
  </si>
  <si>
    <t>Impo Equiv Dcc</t>
  </si>
  <si>
    <t>pdpfid</t>
  </si>
  <si>
    <t>Pay Facil Id</t>
  </si>
  <si>
    <t>pdceex</t>
  </si>
  <si>
    <t>Comi Emis Extr</t>
  </si>
  <si>
    <t>pdseex</t>
  </si>
  <si>
    <t>Serv Emis Extr</t>
  </si>
  <si>
    <t>pdimse</t>
  </si>
  <si>
    <t>Impu.Serc Extra</t>
  </si>
  <si>
    <t>pdfexp</t>
  </si>
  <si>
    <t>Fexpi Aamm</t>
  </si>
  <si>
    <t>pdstxn</t>
  </si>
  <si>
    <t>Sta.Txn D61.S7</t>
  </si>
  <si>
    <t>pdiauf</t>
  </si>
  <si>
    <t>Aut.F D48.S61.F5</t>
  </si>
  <si>
    <t>pdtout</t>
  </si>
  <si>
    <t>Tipo Outgo</t>
  </si>
  <si>
    <t>SL</t>
  </si>
  <si>
    <t>pdfliq</t>
  </si>
  <si>
    <t>Fecha Liqui</t>
  </si>
  <si>
    <t>pdwall</t>
  </si>
  <si>
    <t>Ind Wallet</t>
  </si>
  <si>
    <t>pdcafr</t>
  </si>
  <si>
    <t>Facilitador</t>
  </si>
  <si>
    <t>pdemon</t>
  </si>
  <si>
    <t>Tip Facili</t>
  </si>
  <si>
    <t>pdcapt</t>
  </si>
  <si>
    <t>Capt Switch</t>
  </si>
  <si>
    <t>pdncom</t>
  </si>
  <si>
    <t>Nom Comercial</t>
  </si>
  <si>
    <t>WONG BAJADA BALTA</t>
  </si>
  <si>
    <t>pdaav</t>
  </si>
  <si>
    <t>Aav Seccode</t>
  </si>
  <si>
    <t>process_date</t>
  </si>
  <si>
    <t>Fecha de foto/datos configurada en el ETL para la extracción de datos, corresponde a aperturas de comercios hasta el cierre del día anterior</t>
  </si>
  <si>
    <t>DATE</t>
  </si>
  <si>
    <t>record_source</t>
  </si>
  <si>
    <t>Dato de Auditoría: Descripción del aplicativo origen de los datos.</t>
  </si>
  <si>
    <t>as400</t>
  </si>
  <si>
    <t>load_date</t>
  </si>
  <si>
    <t>Fecha y hora de inserción del registro en el modelo</t>
  </si>
  <si>
    <t>DATETIME</t>
  </si>
  <si>
    <t>2025-07-04T03:07:39.145385</t>
  </si>
  <si>
    <t>creation_user</t>
  </si>
  <si>
    <t>Usuario que crea el registro en la BD</t>
  </si>
  <si>
    <t>prd-data-operation-migration@prd-izipay-data-operation.iam.gserviceaccount.com</t>
  </si>
  <si>
    <t>valor_original</t>
  </si>
  <si>
    <t>mc_aprobador</t>
  </si>
  <si>
    <t>PR0034</t>
  </si>
  <si>
    <t>valor_destino</t>
  </si>
  <si>
    <t>ard_arn87_034</t>
  </si>
  <si>
    <t>entrymode</t>
  </si>
  <si>
    <t>POS VIRTUAL</t>
  </si>
  <si>
    <t>ard_arnfuente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</si>
</sst>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2"/>
      <name val="Calibri"/>
      <family val="2"/>
      <scheme val="minor"/>
    </font>
    <font>
      <sz val="11"/>
      <name val="Calibri"/>
      <family val="2"/>
      <scheme val="minor"/>
    </font>
    <font>
      <sz val="12"/>
      <color theme="0"/>
      <name val="Calibri"/>
      <family val="2"/>
      <scheme val="minor"/>
    </font>
  </fonts>
  <fills count="5">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s>
  <cellStyleXfs count="2">
    <xf numFmtId="0" fontId="0" fillId="0" borderId="0"/>
    <xf numFmtId="0" fontId="5" fillId="0" borderId="0" applyNumberFormat="0" applyFill="0" applyBorder="0" applyAlignment="0" applyProtection="0"/>
  </cellStyleXfs>
  <cellXfs count="33">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6" fillId="0" borderId="0" xfId="0" applyFont="1" applyAlignment="1">
      <alignment vertical="center"/>
    </xf>
    <xf numFmtId="0" fontId="0" fillId="0" borderId="2" xfId="0" applyBorder="1" applyAlignment="1">
      <alignment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10" fillId="0" borderId="0" xfId="0" applyFont="1"/>
    <xf numFmtId="0" fontId="10" fillId="0" borderId="1" xfId="0" applyFont="1" applyBorder="1" applyAlignment="1">
      <alignment horizontal="center" vertical="center"/>
    </xf>
    <xf numFmtId="0" fontId="10" fillId="0" borderId="1" xfId="0" applyFont="1" applyBorder="1"/>
    <xf numFmtId="0" fontId="10" fillId="0" borderId="1" xfId="0" applyFont="1" applyBorder="1" applyAlignment="1">
      <alignment vertical="center"/>
    </xf>
    <xf numFmtId="14" fontId="10" fillId="0" borderId="1" xfId="0" applyNumberFormat="1" applyFont="1" applyBorder="1" applyAlignment="1">
      <alignment vertical="center"/>
    </xf>
    <xf numFmtId="11" fontId="10" fillId="0" borderId="1" xfId="0" applyNumberFormat="1" applyFont="1" applyBorder="1" applyAlignment="1">
      <alignment vertical="center"/>
    </xf>
    <xf numFmtId="0" fontId="10" fillId="0" borderId="1" xfId="0" applyFont="1" applyBorder="1" applyAlignment="1">
      <alignment horizontal="center"/>
    </xf>
    <xf numFmtId="14" fontId="10" fillId="0" borderId="1" xfId="0" applyNumberFormat="1" applyFont="1" applyBorder="1"/>
    <xf numFmtId="0" fontId="11" fillId="2"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10" fillId="4" borderId="1" xfId="0" applyFont="1" applyFill="1" applyBorder="1"/>
    <xf numFmtId="0" fontId="7" fillId="0" borderId="0" xfId="0" applyFont="1" applyAlignment="1">
      <alignment vertical="center" wrapText="1"/>
    </xf>
    <xf numFmtId="0" fontId="10" fillId="4" borderId="1" xfId="0" applyFont="1" applyFill="1" applyBorder="1" applyAlignment="1">
      <alignment horizontal="center" vertical="center"/>
    </xf>
    <xf numFmtId="0" fontId="10" fillId="4" borderId="1" xfId="0" applyFont="1" applyFill="1" applyBorder="1" applyAlignment="1">
      <alignment vertical="center"/>
    </xf>
    <xf numFmtId="0" fontId="10" fillId="4" borderId="0" xfId="0" applyFont="1" applyFill="1"/>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ANGELLO BRAVO" id="{97797137-5D35-4535-9CD6-FADCD626FD8D}" userId="S::MC2103@izipay.pe::f0337103-7442-4107-bcf0-89491ef4094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2" dT="2025-10-30T20:49:48.09" personId="{97797137-5D35-4535-9CD6-FADCD626FD8D}" id="{F8A9F690-D5D2-4EB6-BF32-4EB3EE7BD398}">
    <text>Original: pdtarj</text>
  </threadedComment>
  <threadedComment ref="D108" dT="2025-10-30T20:50:39.68" personId="{97797137-5D35-4535-9CD6-FADCD626FD8D}" id="{6C70086E-23F9-4982-B6A9-43523571D23C}">
    <text>Original: pdruce</text>
  </threadedComment>
  <threadedComment ref="D144" dT="2025-10-30T20:51:22.73" personId="{97797137-5D35-4535-9CD6-FADCD626FD8D}" id="{7DAE044A-0A5D-496E-AB86-AE6BF95A2500}">
    <text>Original: pdtarx</text>
  </threadedComment>
</ThreadedComment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7"/>
  <sheetViews>
    <sheetView showGridLines="0" workbookViewId="0">
      <selection activeCell="B37" sqref="B37"/>
    </sheetView>
  </sheetViews>
  <sheetFormatPr baseColWidth="10" defaultColWidth="11.453125" defaultRowHeight="14.5"/>
  <cols>
    <col min="1" max="1" width="20.453125" customWidth="1"/>
    <col min="2" max="7" width="23.26953125" customWidth="1"/>
  </cols>
  <sheetData>
    <row r="1" spans="1:7">
      <c r="A1" s="1"/>
      <c r="B1" s="1"/>
      <c r="C1" s="1"/>
      <c r="D1" s="1"/>
      <c r="E1" s="1"/>
      <c r="F1" s="1"/>
      <c r="G1" s="1"/>
    </row>
    <row r="2" spans="1:7" ht="29.5">
      <c r="A2" s="9" t="s">
        <v>0</v>
      </c>
      <c r="B2" s="1"/>
      <c r="C2" s="1"/>
      <c r="D2" s="1"/>
      <c r="E2" s="1"/>
      <c r="F2" s="1"/>
      <c r="G2" s="1"/>
    </row>
    <row r="3" spans="1:7">
      <c r="A3" s="29" t="s">
        <v>1</v>
      </c>
      <c r="B3" s="29"/>
      <c r="C3" s="29"/>
      <c r="D3" s="29"/>
      <c r="E3" s="29"/>
      <c r="F3" s="29"/>
      <c r="G3" s="29"/>
    </row>
    <row r="4" spans="1:7" ht="15" thickBot="1">
      <c r="A4" s="10"/>
      <c r="B4" s="10"/>
      <c r="C4" s="10"/>
      <c r="D4" s="10"/>
      <c r="E4" s="10"/>
      <c r="F4" s="10"/>
      <c r="G4" s="10"/>
    </row>
    <row r="5" spans="1:7" ht="15" thickBot="1">
      <c r="A5" s="11" t="s">
        <v>2</v>
      </c>
      <c r="B5" s="12" t="s">
        <v>3</v>
      </c>
      <c r="C5" s="12" t="s">
        <v>4</v>
      </c>
      <c r="D5" s="12" t="s">
        <v>5</v>
      </c>
      <c r="E5" s="12" t="s">
        <v>6</v>
      </c>
      <c r="F5" s="12" t="s">
        <v>7</v>
      </c>
      <c r="G5" s="12" t="s">
        <v>8</v>
      </c>
    </row>
    <row r="6" spans="1:7">
      <c r="A6" s="1"/>
      <c r="B6" s="1"/>
      <c r="C6" s="1"/>
      <c r="D6" s="1"/>
      <c r="E6" s="1"/>
      <c r="F6" s="1"/>
      <c r="G6" s="1"/>
    </row>
    <row r="7" spans="1:7">
      <c r="A7" s="1"/>
      <c r="B7" s="1"/>
      <c r="C7" s="1"/>
      <c r="D7" s="1"/>
      <c r="E7" s="1"/>
      <c r="F7" s="1"/>
      <c r="G7"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5"/>
  <sheetViews>
    <sheetView showGridLines="0" topLeftCell="F1" workbookViewId="0">
      <selection activeCell="H6" sqref="H6"/>
    </sheetView>
  </sheetViews>
  <sheetFormatPr baseColWidth="10" defaultColWidth="9.1796875" defaultRowHeight="14.5"/>
  <cols>
    <col min="1" max="8" width="33.26953125" customWidth="1"/>
    <col min="9" max="9" width="49.81640625" customWidth="1"/>
    <col min="10" max="20" width="33.26953125" customWidth="1"/>
  </cols>
  <sheetData>
    <row r="1" spans="1:20">
      <c r="A1" s="13" t="s">
        <v>9</v>
      </c>
      <c r="B1" s="13" t="s">
        <v>10</v>
      </c>
      <c r="C1" s="13" t="s">
        <v>11</v>
      </c>
      <c r="D1" s="13" t="s">
        <v>12</v>
      </c>
      <c r="E1" s="13" t="s">
        <v>13</v>
      </c>
      <c r="F1" s="14" t="s">
        <v>14</v>
      </c>
      <c r="G1" s="13" t="s">
        <v>15</v>
      </c>
      <c r="H1" s="13" t="s">
        <v>6</v>
      </c>
      <c r="I1" s="13" t="s">
        <v>8</v>
      </c>
      <c r="J1" s="13" t="s">
        <v>16</v>
      </c>
      <c r="K1" s="13" t="s">
        <v>17</v>
      </c>
      <c r="L1" s="13" t="s">
        <v>18</v>
      </c>
      <c r="M1" s="13" t="s">
        <v>19</v>
      </c>
      <c r="N1" s="13" t="s">
        <v>20</v>
      </c>
      <c r="O1" s="13" t="s">
        <v>21</v>
      </c>
      <c r="P1" s="13" t="s">
        <v>22</v>
      </c>
      <c r="Q1" s="13" t="s">
        <v>23</v>
      </c>
      <c r="R1" s="13" t="s">
        <v>24</v>
      </c>
      <c r="S1" s="13" t="s">
        <v>25</v>
      </c>
      <c r="T1" s="13" t="s">
        <v>26</v>
      </c>
    </row>
    <row r="2" spans="1:20" ht="42">
      <c r="A2" s="15" t="s">
        <v>27</v>
      </c>
      <c r="B2" s="15" t="s">
        <v>28</v>
      </c>
      <c r="C2" s="15" t="s">
        <v>29</v>
      </c>
      <c r="D2" s="15" t="s">
        <v>30</v>
      </c>
      <c r="E2" s="15" t="s">
        <v>31</v>
      </c>
      <c r="F2" s="15" t="s">
        <v>32</v>
      </c>
      <c r="G2" s="15" t="s">
        <v>33</v>
      </c>
      <c r="H2" s="15" t="s">
        <v>34</v>
      </c>
      <c r="I2" s="15" t="s">
        <v>35</v>
      </c>
      <c r="J2" s="16" t="s">
        <v>36</v>
      </c>
      <c r="K2" s="16" t="s">
        <v>37</v>
      </c>
      <c r="L2" s="17"/>
      <c r="M2" s="15" t="s">
        <v>38</v>
      </c>
      <c r="N2" s="15" t="s">
        <v>39</v>
      </c>
      <c r="O2" s="15" t="s">
        <v>40</v>
      </c>
      <c r="P2" s="15" t="s">
        <v>41</v>
      </c>
      <c r="Q2" s="15" t="s">
        <v>42</v>
      </c>
      <c r="R2" s="15" t="s">
        <v>43</v>
      </c>
      <c r="S2" s="15" t="s">
        <v>44</v>
      </c>
      <c r="T2" s="15" t="s">
        <v>45</v>
      </c>
    </row>
    <row r="3" spans="1:20">
      <c r="A3" s="5" t="s">
        <v>46</v>
      </c>
      <c r="B3" s="5" t="s">
        <v>47</v>
      </c>
      <c r="C3" s="5" t="s">
        <v>47</v>
      </c>
      <c r="D3" s="5" t="s">
        <v>47</v>
      </c>
      <c r="E3" s="5" t="s">
        <v>47</v>
      </c>
      <c r="F3" s="5" t="s">
        <v>48</v>
      </c>
      <c r="G3" s="5" t="s">
        <v>49</v>
      </c>
      <c r="H3" s="6" t="s">
        <v>50</v>
      </c>
      <c r="I3" s="7" t="s">
        <v>51</v>
      </c>
      <c r="J3" s="5" t="s">
        <v>52</v>
      </c>
      <c r="K3" s="5" t="s">
        <v>53</v>
      </c>
      <c r="L3" s="8"/>
      <c r="M3" s="6" t="s">
        <v>54</v>
      </c>
      <c r="N3" s="8" t="s">
        <v>55</v>
      </c>
      <c r="O3" s="8" t="s">
        <v>56</v>
      </c>
      <c r="P3" s="8" t="s">
        <v>57</v>
      </c>
      <c r="Q3" s="8" t="s">
        <v>58</v>
      </c>
      <c r="R3" s="8"/>
      <c r="S3" s="8"/>
      <c r="T3" s="8"/>
    </row>
    <row r="4" spans="1:20">
      <c r="A4" s="5" t="s">
        <v>46</v>
      </c>
      <c r="B4" s="5" t="s">
        <v>47</v>
      </c>
      <c r="C4" s="5" t="s">
        <v>47</v>
      </c>
      <c r="D4" s="5" t="s">
        <v>47</v>
      </c>
      <c r="E4" s="5" t="s">
        <v>47</v>
      </c>
      <c r="F4" s="5" t="s">
        <v>48</v>
      </c>
      <c r="G4" s="5" t="s">
        <v>59</v>
      </c>
      <c r="H4" s="6" t="s">
        <v>60</v>
      </c>
      <c r="I4" s="7" t="s">
        <v>61</v>
      </c>
      <c r="J4" s="5" t="s">
        <v>62</v>
      </c>
      <c r="K4" s="5" t="s">
        <v>62</v>
      </c>
      <c r="L4" s="8"/>
      <c r="M4" s="6" t="s">
        <v>54</v>
      </c>
      <c r="N4" s="8" t="s">
        <v>55</v>
      </c>
      <c r="O4" s="8" t="s">
        <v>56</v>
      </c>
      <c r="P4" s="8" t="s">
        <v>57</v>
      </c>
      <c r="Q4" s="8" t="s">
        <v>58</v>
      </c>
      <c r="R4" s="8"/>
      <c r="S4" s="8"/>
      <c r="T4" s="8"/>
    </row>
    <row r="5" spans="1:20">
      <c r="A5" s="5" t="s">
        <v>46</v>
      </c>
      <c r="B5" s="5" t="s">
        <v>47</v>
      </c>
      <c r="C5" s="5" t="s">
        <v>47</v>
      </c>
      <c r="D5" s="5" t="s">
        <v>47</v>
      </c>
      <c r="E5" s="5" t="s">
        <v>47</v>
      </c>
      <c r="F5" s="5" t="s">
        <v>48</v>
      </c>
      <c r="G5" s="5" t="s">
        <v>59</v>
      </c>
      <c r="H5" s="6" t="s">
        <v>63</v>
      </c>
      <c r="I5" s="7" t="s">
        <v>64</v>
      </c>
      <c r="J5" s="5" t="s">
        <v>62</v>
      </c>
      <c r="K5" s="5" t="s">
        <v>62</v>
      </c>
      <c r="L5" s="8"/>
      <c r="M5" s="6" t="s">
        <v>54</v>
      </c>
      <c r="N5" s="8" t="s">
        <v>55</v>
      </c>
      <c r="O5" s="8" t="s">
        <v>56</v>
      </c>
      <c r="P5" s="8" t="s">
        <v>57</v>
      </c>
      <c r="Q5" s="8" t="s">
        <v>58</v>
      </c>
      <c r="R5" s="8"/>
      <c r="S5" s="8"/>
      <c r="T5" s="8"/>
    </row>
    <row r="6" spans="1:20">
      <c r="A6" s="5" t="s">
        <v>46</v>
      </c>
      <c r="B6" s="5" t="s">
        <v>47</v>
      </c>
      <c r="C6" s="5" t="s">
        <v>47</v>
      </c>
      <c r="D6" s="5" t="s">
        <v>47</v>
      </c>
      <c r="E6" s="5" t="s">
        <v>47</v>
      </c>
      <c r="F6" s="5" t="s">
        <v>48</v>
      </c>
      <c r="G6" s="5" t="s">
        <v>59</v>
      </c>
      <c r="H6" s="6" t="s">
        <v>65</v>
      </c>
      <c r="I6" s="7" t="s">
        <v>64</v>
      </c>
      <c r="J6" s="5" t="s">
        <v>62</v>
      </c>
      <c r="K6" s="5" t="s">
        <v>62</v>
      </c>
      <c r="L6" s="8"/>
      <c r="M6" s="6" t="s">
        <v>54</v>
      </c>
      <c r="N6" s="8" t="s">
        <v>55</v>
      </c>
      <c r="O6" s="8" t="s">
        <v>56</v>
      </c>
      <c r="P6" s="8" t="s">
        <v>57</v>
      </c>
      <c r="Q6" s="8" t="s">
        <v>58</v>
      </c>
      <c r="R6" s="8"/>
      <c r="S6" s="8"/>
      <c r="T6" s="8"/>
    </row>
    <row r="7" spans="1:20">
      <c r="A7" s="5" t="s">
        <v>46</v>
      </c>
      <c r="B7" s="5" t="s">
        <v>47</v>
      </c>
      <c r="C7" s="5" t="s">
        <v>47</v>
      </c>
      <c r="D7" s="5" t="s">
        <v>47</v>
      </c>
      <c r="E7" s="5" t="s">
        <v>47</v>
      </c>
      <c r="F7" s="5" t="s">
        <v>48</v>
      </c>
      <c r="G7" s="5" t="s">
        <v>59</v>
      </c>
      <c r="H7" s="6" t="s">
        <v>66</v>
      </c>
      <c r="I7" s="7" t="s">
        <v>67</v>
      </c>
      <c r="J7" s="5" t="s">
        <v>62</v>
      </c>
      <c r="K7" s="5" t="s">
        <v>62</v>
      </c>
      <c r="L7" s="8"/>
      <c r="M7" s="6" t="s">
        <v>54</v>
      </c>
      <c r="N7" s="8" t="s">
        <v>55</v>
      </c>
      <c r="O7" s="8" t="s">
        <v>56</v>
      </c>
      <c r="P7" s="8" t="s">
        <v>57</v>
      </c>
      <c r="Q7" s="8" t="s">
        <v>58</v>
      </c>
      <c r="R7" s="8"/>
      <c r="S7" s="8"/>
      <c r="T7" s="8"/>
    </row>
    <row r="8" spans="1:20">
      <c r="A8" s="5" t="s">
        <v>46</v>
      </c>
      <c r="B8" s="5" t="s">
        <v>47</v>
      </c>
      <c r="C8" s="5" t="s">
        <v>47</v>
      </c>
      <c r="D8" s="5" t="s">
        <v>47</v>
      </c>
      <c r="E8" s="5" t="s">
        <v>47</v>
      </c>
      <c r="F8" s="5" t="s">
        <v>48</v>
      </c>
      <c r="G8" s="5" t="s">
        <v>59</v>
      </c>
      <c r="H8" s="6" t="s">
        <v>68</v>
      </c>
      <c r="I8" s="7" t="s">
        <v>69</v>
      </c>
      <c r="J8" s="5" t="s">
        <v>62</v>
      </c>
      <c r="K8" s="5" t="s">
        <v>62</v>
      </c>
      <c r="L8" s="8"/>
      <c r="M8" s="6" t="s">
        <v>54</v>
      </c>
      <c r="N8" s="8" t="s">
        <v>55</v>
      </c>
      <c r="O8" s="8" t="s">
        <v>56</v>
      </c>
      <c r="P8" s="8" t="s">
        <v>57</v>
      </c>
      <c r="Q8" s="8" t="s">
        <v>58</v>
      </c>
      <c r="R8" s="8"/>
      <c r="S8" s="8"/>
      <c r="T8" s="8"/>
    </row>
    <row r="9" spans="1:20">
      <c r="A9" s="1"/>
      <c r="B9" s="1"/>
      <c r="C9" s="1"/>
      <c r="D9" s="1"/>
      <c r="E9" s="1"/>
      <c r="F9" s="1"/>
      <c r="G9" s="1"/>
      <c r="H9" s="1"/>
      <c r="I9" s="1"/>
      <c r="J9" s="1"/>
      <c r="K9" s="1"/>
      <c r="L9" s="1"/>
      <c r="M9" s="1"/>
      <c r="N9" s="1"/>
      <c r="O9" s="1"/>
      <c r="P9" s="1"/>
      <c r="Q9" s="1"/>
      <c r="R9" s="1"/>
      <c r="S9" s="1"/>
      <c r="T9" s="1"/>
    </row>
    <row r="10" spans="1:20">
      <c r="A10" s="2" t="s">
        <v>70</v>
      </c>
      <c r="B10" s="1"/>
      <c r="C10" s="1"/>
      <c r="D10" s="1"/>
      <c r="E10" s="1"/>
      <c r="F10" s="1"/>
      <c r="G10" s="1"/>
      <c r="H10" s="1"/>
      <c r="I10" s="1"/>
      <c r="J10" s="1"/>
      <c r="K10" s="1"/>
      <c r="L10" s="1"/>
      <c r="M10" s="1"/>
      <c r="N10" s="1"/>
      <c r="O10" s="1"/>
      <c r="P10" s="1"/>
      <c r="Q10" s="1"/>
      <c r="R10" s="1"/>
      <c r="S10" s="1"/>
      <c r="T10" s="1"/>
    </row>
    <row r="11" spans="1:20">
      <c r="A11" s="3" t="s">
        <v>71</v>
      </c>
      <c r="B11" s="1"/>
      <c r="C11" s="1"/>
      <c r="D11" s="4"/>
      <c r="E11" s="4"/>
      <c r="F11" s="4"/>
      <c r="G11" s="4"/>
      <c r="H11" s="1"/>
      <c r="I11" s="1"/>
      <c r="J11" s="1"/>
      <c r="K11" s="1"/>
      <c r="L11" s="1"/>
      <c r="M11" s="1"/>
      <c r="N11" s="1"/>
      <c r="O11" s="1"/>
      <c r="P11" s="1"/>
      <c r="Q11" s="1"/>
      <c r="R11" s="1"/>
      <c r="S11" s="1"/>
      <c r="T11" s="1"/>
    </row>
    <row r="12" spans="1:20">
      <c r="A12" s="3" t="s">
        <v>72</v>
      </c>
      <c r="B12" s="1"/>
      <c r="C12" s="1"/>
      <c r="D12" s="4"/>
      <c r="E12" s="4"/>
      <c r="F12" s="4"/>
      <c r="G12" s="4"/>
      <c r="H12" s="1"/>
      <c r="I12" s="1"/>
      <c r="J12" s="1"/>
      <c r="K12" s="1"/>
      <c r="L12" s="1"/>
      <c r="M12" s="1"/>
      <c r="N12" s="1"/>
      <c r="O12" s="1"/>
      <c r="P12" s="1"/>
      <c r="Q12" s="1"/>
      <c r="R12" s="1"/>
      <c r="S12" s="1"/>
      <c r="T12" s="1"/>
    </row>
    <row r="13" spans="1:20">
      <c r="A13" s="3" t="s">
        <v>73</v>
      </c>
      <c r="B13" s="1"/>
      <c r="C13" s="1"/>
      <c r="D13" s="1"/>
      <c r="E13" s="1"/>
      <c r="F13" s="1"/>
      <c r="G13" s="1"/>
      <c r="H13" s="1"/>
      <c r="I13" s="1"/>
      <c r="J13" s="1"/>
      <c r="K13" s="1"/>
      <c r="L13" s="1"/>
      <c r="M13" s="1"/>
      <c r="N13" s="1"/>
      <c r="O13" s="1"/>
      <c r="P13" s="1"/>
      <c r="Q13" s="1"/>
      <c r="R13" s="1"/>
      <c r="S13" s="1"/>
      <c r="T13" s="1"/>
    </row>
    <row r="14" spans="1:20">
      <c r="A14" s="3" t="s">
        <v>74</v>
      </c>
      <c r="B14" s="1"/>
      <c r="C14" s="1"/>
      <c r="D14" s="1"/>
      <c r="E14" s="1"/>
      <c r="F14" s="1"/>
      <c r="G14" s="1"/>
      <c r="H14" s="1"/>
      <c r="I14" s="1"/>
      <c r="J14" s="1"/>
      <c r="K14" s="1"/>
      <c r="L14" s="1"/>
      <c r="M14" s="1"/>
      <c r="N14" s="1"/>
      <c r="O14" s="1"/>
      <c r="P14" s="1"/>
      <c r="Q14" s="1"/>
      <c r="R14" s="1"/>
      <c r="S14" s="1"/>
      <c r="T14" s="1"/>
    </row>
    <row r="15" spans="1:20">
      <c r="A15" s="1"/>
      <c r="B15" s="1"/>
      <c r="C15" s="1"/>
      <c r="D15" s="1"/>
      <c r="E15" s="1"/>
      <c r="F15" s="1"/>
      <c r="H15" s="1"/>
      <c r="I15" s="1"/>
      <c r="J15" s="1"/>
      <c r="K15" s="1"/>
      <c r="L15" s="1"/>
      <c r="M15" s="1"/>
      <c r="N15" s="1"/>
      <c r="O15" s="1"/>
      <c r="P15" s="1"/>
      <c r="Q15" s="1"/>
      <c r="R15" s="1"/>
      <c r="S15" s="1"/>
      <c r="T15" s="1"/>
    </row>
  </sheetData>
  <hyperlinks>
    <hyperlink ref="H4" location="ard_arn_1!A1" display="ard_arn_1" xr:uid="{71454FCF-3283-4F35-A26C-79F4D94452AC}"/>
    <hyperlink ref="H7" location="entrymode_ard_arn87_03!A1" display="entrymode_ard_arn87_03" xr:uid="{050BDEB0-330A-4E44-8CB3-EEC0C3651FBD}"/>
    <hyperlink ref="H8" location="entrymode_ard_arnfuente!A1" display="entrymode_ard_arnfuente" xr:uid="{7C989C4B-DC16-41B3-AEAF-32B607F7A775}"/>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191"/>
  <sheetViews>
    <sheetView showGridLines="0" topLeftCell="A139" workbookViewId="0">
      <selection activeCell="A144" sqref="A144:XFD144"/>
    </sheetView>
  </sheetViews>
  <sheetFormatPr baseColWidth="10" defaultColWidth="11.453125" defaultRowHeight="14.5"/>
  <cols>
    <col min="1" max="4" width="29" style="18" customWidth="1"/>
    <col min="5" max="6" width="48.26953125" style="18" customWidth="1"/>
    <col min="7" max="8" width="29" style="18" customWidth="1"/>
    <col min="9" max="9" width="40.54296875" style="18" customWidth="1"/>
    <col min="10" max="13" width="29" style="18" customWidth="1"/>
    <col min="14" max="16384" width="11.453125" style="18"/>
  </cols>
  <sheetData>
    <row r="1" spans="1:13" ht="31">
      <c r="A1" s="26" t="s">
        <v>14</v>
      </c>
      <c r="B1" s="26" t="s">
        <v>15</v>
      </c>
      <c r="C1" s="26" t="s">
        <v>6</v>
      </c>
      <c r="D1" s="26" t="s">
        <v>7</v>
      </c>
      <c r="E1" s="26" t="s">
        <v>75</v>
      </c>
      <c r="F1" s="26" t="s">
        <v>76</v>
      </c>
      <c r="G1" s="26" t="s">
        <v>77</v>
      </c>
      <c r="H1" s="26" t="s">
        <v>78</v>
      </c>
      <c r="I1" s="26" t="s">
        <v>79</v>
      </c>
      <c r="J1" s="26" t="s">
        <v>80</v>
      </c>
      <c r="K1" s="26" t="s">
        <v>81</v>
      </c>
      <c r="L1" s="26" t="s">
        <v>82</v>
      </c>
      <c r="M1" s="26" t="s">
        <v>83</v>
      </c>
    </row>
    <row r="2" spans="1:13" ht="46.5">
      <c r="A2" s="27" t="s">
        <v>32</v>
      </c>
      <c r="B2" s="27" t="s">
        <v>33</v>
      </c>
      <c r="C2" s="27" t="s">
        <v>84</v>
      </c>
      <c r="D2" s="27" t="s">
        <v>85</v>
      </c>
      <c r="E2" s="27" t="s">
        <v>86</v>
      </c>
      <c r="F2" s="27" t="s">
        <v>87</v>
      </c>
      <c r="G2" s="27" t="s">
        <v>88</v>
      </c>
      <c r="H2" s="27" t="s">
        <v>89</v>
      </c>
      <c r="I2" s="27" t="s">
        <v>90</v>
      </c>
      <c r="J2" s="27" t="s">
        <v>91</v>
      </c>
      <c r="K2" s="27" t="s">
        <v>92</v>
      </c>
      <c r="L2" s="27" t="s">
        <v>93</v>
      </c>
      <c r="M2" s="27" t="s">
        <v>92</v>
      </c>
    </row>
    <row r="3" spans="1:13">
      <c r="A3" s="19" t="s">
        <v>48</v>
      </c>
      <c r="B3" s="19" t="s">
        <v>49</v>
      </c>
      <c r="C3" s="19" t="s">
        <v>50</v>
      </c>
      <c r="D3" s="20" t="s">
        <v>94</v>
      </c>
      <c r="E3" s="21" t="str">
        <f>UPPER(F3)</f>
        <v>PRODUCTO</v>
      </c>
      <c r="F3" s="21" t="s">
        <v>95</v>
      </c>
      <c r="G3" s="19" t="s">
        <v>55</v>
      </c>
      <c r="H3" s="19" t="s">
        <v>96</v>
      </c>
      <c r="I3" s="22" t="s">
        <v>97</v>
      </c>
      <c r="J3" s="19" t="s">
        <v>55</v>
      </c>
      <c r="K3" s="19" t="s">
        <v>98</v>
      </c>
      <c r="L3" s="19" t="s">
        <v>55</v>
      </c>
      <c r="M3" s="19" t="s">
        <v>55</v>
      </c>
    </row>
    <row r="4" spans="1:13">
      <c r="A4" s="19" t="s">
        <v>48</v>
      </c>
      <c r="B4" s="19" t="s">
        <v>49</v>
      </c>
      <c r="C4" s="19" t="s">
        <v>50</v>
      </c>
      <c r="D4" s="20" t="s">
        <v>99</v>
      </c>
      <c r="E4" s="21" t="str">
        <f t="shared" ref="E4:E67" si="0">UPPER(F4)</f>
        <v>COMERCIO</v>
      </c>
      <c r="F4" s="21" t="s">
        <v>100</v>
      </c>
      <c r="G4" s="19" t="s">
        <v>55</v>
      </c>
      <c r="H4" s="19" t="s">
        <v>96</v>
      </c>
      <c r="I4" s="21">
        <v>1032367</v>
      </c>
      <c r="J4" s="19" t="s">
        <v>98</v>
      </c>
      <c r="K4" s="19" t="s">
        <v>98</v>
      </c>
      <c r="L4" s="19" t="s">
        <v>55</v>
      </c>
      <c r="M4" s="19" t="s">
        <v>55</v>
      </c>
    </row>
    <row r="5" spans="1:13">
      <c r="A5" s="19" t="s">
        <v>48</v>
      </c>
      <c r="B5" s="19" t="s">
        <v>49</v>
      </c>
      <c r="C5" s="19" t="s">
        <v>50</v>
      </c>
      <c r="D5" s="20" t="s">
        <v>101</v>
      </c>
      <c r="E5" s="21" t="str">
        <f t="shared" si="0"/>
        <v>TRANSACCION</v>
      </c>
      <c r="F5" s="21" t="s">
        <v>102</v>
      </c>
      <c r="G5" s="19" t="s">
        <v>55</v>
      </c>
      <c r="H5" s="19" t="s">
        <v>96</v>
      </c>
      <c r="I5" s="21">
        <v>76</v>
      </c>
      <c r="J5" s="19" t="s">
        <v>55</v>
      </c>
      <c r="K5" s="19" t="s">
        <v>98</v>
      </c>
      <c r="L5" s="19" t="s">
        <v>55</v>
      </c>
      <c r="M5" s="19" t="s">
        <v>55</v>
      </c>
    </row>
    <row r="6" spans="1:13">
      <c r="A6" s="19" t="s">
        <v>48</v>
      </c>
      <c r="B6" s="19" t="s">
        <v>49</v>
      </c>
      <c r="C6" s="19" t="s">
        <v>50</v>
      </c>
      <c r="D6" s="20" t="s">
        <v>103</v>
      </c>
      <c r="E6" s="21" t="str">
        <f t="shared" si="0"/>
        <v>FECHA PROCESO</v>
      </c>
      <c r="F6" s="21" t="s">
        <v>104</v>
      </c>
      <c r="G6" s="19" t="s">
        <v>55</v>
      </c>
      <c r="H6" s="19" t="s">
        <v>96</v>
      </c>
      <c r="I6" s="21">
        <v>20240623</v>
      </c>
      <c r="J6" s="19" t="s">
        <v>55</v>
      </c>
      <c r="K6" s="19" t="s">
        <v>98</v>
      </c>
      <c r="L6" s="19" t="s">
        <v>55</v>
      </c>
      <c r="M6" s="19" t="s">
        <v>55</v>
      </c>
    </row>
    <row r="7" spans="1:13">
      <c r="A7" s="19" t="s">
        <v>48</v>
      </c>
      <c r="B7" s="19" t="s">
        <v>49</v>
      </c>
      <c r="C7" s="19" t="s">
        <v>50</v>
      </c>
      <c r="D7" s="20" t="s">
        <v>105</v>
      </c>
      <c r="E7" s="21" t="str">
        <f t="shared" si="0"/>
        <v>BCO PAGADOR</v>
      </c>
      <c r="F7" s="21" t="s">
        <v>106</v>
      </c>
      <c r="G7" s="19" t="s">
        <v>55</v>
      </c>
      <c r="H7" s="19" t="s">
        <v>96</v>
      </c>
      <c r="I7" s="21">
        <v>11</v>
      </c>
      <c r="J7" s="19" t="s">
        <v>55</v>
      </c>
      <c r="K7" s="19" t="s">
        <v>98</v>
      </c>
      <c r="L7" s="19" t="s">
        <v>55</v>
      </c>
      <c r="M7" s="19" t="s">
        <v>55</v>
      </c>
    </row>
    <row r="8" spans="1:13">
      <c r="A8" s="19" t="s">
        <v>48</v>
      </c>
      <c r="B8" s="19" t="s">
        <v>49</v>
      </c>
      <c r="C8" s="19" t="s">
        <v>50</v>
      </c>
      <c r="D8" s="20" t="s">
        <v>107</v>
      </c>
      <c r="E8" s="21" t="str">
        <f t="shared" si="0"/>
        <v>LOTE</v>
      </c>
      <c r="F8" s="21" t="s">
        <v>108</v>
      </c>
      <c r="G8" s="19" t="s">
        <v>55</v>
      </c>
      <c r="H8" s="19" t="s">
        <v>96</v>
      </c>
      <c r="I8" s="21">
        <v>59128</v>
      </c>
      <c r="J8" s="19" t="s">
        <v>55</v>
      </c>
      <c r="K8" s="19" t="s">
        <v>98</v>
      </c>
      <c r="L8" s="19" t="s">
        <v>55</v>
      </c>
      <c r="M8" s="19" t="s">
        <v>55</v>
      </c>
    </row>
    <row r="9" spans="1:13">
      <c r="A9" s="19" t="s">
        <v>48</v>
      </c>
      <c r="B9" s="19" t="s">
        <v>49</v>
      </c>
      <c r="C9" s="19" t="s">
        <v>50</v>
      </c>
      <c r="D9" s="20" t="s">
        <v>109</v>
      </c>
      <c r="E9" s="21" t="str">
        <f t="shared" si="0"/>
        <v>TERM POS ENTRY MODE</v>
      </c>
      <c r="F9" s="21" t="s">
        <v>110</v>
      </c>
      <c r="G9" s="19" t="s">
        <v>55</v>
      </c>
      <c r="H9" s="19" t="s">
        <v>96</v>
      </c>
      <c r="I9" s="21">
        <v>71</v>
      </c>
      <c r="J9" s="19" t="s">
        <v>55</v>
      </c>
      <c r="K9" s="19" t="s">
        <v>98</v>
      </c>
      <c r="L9" s="19" t="s">
        <v>55</v>
      </c>
      <c r="M9" s="19" t="s">
        <v>55</v>
      </c>
    </row>
    <row r="10" spans="1:13">
      <c r="A10" s="19" t="s">
        <v>48</v>
      </c>
      <c r="B10" s="19" t="s">
        <v>49</v>
      </c>
      <c r="C10" s="19" t="s">
        <v>50</v>
      </c>
      <c r="D10" s="20" t="s">
        <v>111</v>
      </c>
      <c r="E10" s="21" t="str">
        <f t="shared" si="0"/>
        <v>BCO RECEPTOR</v>
      </c>
      <c r="F10" s="21" t="s">
        <v>112</v>
      </c>
      <c r="G10" s="19" t="s">
        <v>55</v>
      </c>
      <c r="H10" s="19" t="s">
        <v>96</v>
      </c>
      <c r="I10" s="23">
        <v>99</v>
      </c>
      <c r="J10" s="19" t="s">
        <v>55</v>
      </c>
      <c r="K10" s="19" t="s">
        <v>98</v>
      </c>
      <c r="L10" s="19" t="s">
        <v>55</v>
      </c>
      <c r="M10" s="19" t="s">
        <v>55</v>
      </c>
    </row>
    <row r="11" spans="1:13">
      <c r="A11" s="19" t="s">
        <v>48</v>
      </c>
      <c r="B11" s="19" t="s">
        <v>49</v>
      </c>
      <c r="C11" s="19" t="s">
        <v>50</v>
      </c>
      <c r="D11" s="20" t="s">
        <v>113</v>
      </c>
      <c r="E11" s="21" t="str">
        <f t="shared" si="0"/>
        <v>BCO EMISOR</v>
      </c>
      <c r="F11" s="21" t="s">
        <v>114</v>
      </c>
      <c r="G11" s="19" t="s">
        <v>55</v>
      </c>
      <c r="H11" s="19" t="s">
        <v>96</v>
      </c>
      <c r="I11" s="21">
        <v>27</v>
      </c>
      <c r="J11" s="19" t="s">
        <v>55</v>
      </c>
      <c r="K11" s="19" t="s">
        <v>98</v>
      </c>
      <c r="L11" s="19" t="s">
        <v>55</v>
      </c>
      <c r="M11" s="19" t="s">
        <v>55</v>
      </c>
    </row>
    <row r="12" spans="1:13" s="32" customFormat="1" hidden="1">
      <c r="A12" s="30" t="s">
        <v>48</v>
      </c>
      <c r="B12" s="30" t="s">
        <v>49</v>
      </c>
      <c r="C12" s="30" t="s">
        <v>50</v>
      </c>
      <c r="D12" s="28" t="s">
        <v>115</v>
      </c>
      <c r="E12" s="31" t="str">
        <f t="shared" si="0"/>
        <v>TARJETA</v>
      </c>
      <c r="F12" s="31" t="s">
        <v>116</v>
      </c>
      <c r="G12" s="30" t="s">
        <v>98</v>
      </c>
      <c r="H12" s="30" t="s">
        <v>96</v>
      </c>
      <c r="I12" s="31">
        <v>5317557499974840</v>
      </c>
      <c r="J12" s="30" t="s">
        <v>98</v>
      </c>
      <c r="K12" s="30" t="s">
        <v>98</v>
      </c>
      <c r="L12" s="30" t="s">
        <v>55</v>
      </c>
      <c r="M12" s="30" t="s">
        <v>55</v>
      </c>
    </row>
    <row r="13" spans="1:13">
      <c r="A13" s="19" t="s">
        <v>48</v>
      </c>
      <c r="B13" s="19" t="s">
        <v>49</v>
      </c>
      <c r="C13" s="19" t="s">
        <v>50</v>
      </c>
      <c r="D13" s="20" t="s">
        <v>117</v>
      </c>
      <c r="E13" s="21" t="str">
        <f t="shared" si="0"/>
        <v>FECHA TRANSACC</v>
      </c>
      <c r="F13" s="21" t="s">
        <v>118</v>
      </c>
      <c r="G13" s="19" t="s">
        <v>55</v>
      </c>
      <c r="H13" s="19" t="s">
        <v>96</v>
      </c>
      <c r="I13" s="21">
        <v>20240622</v>
      </c>
      <c r="J13" s="19" t="s">
        <v>55</v>
      </c>
      <c r="K13" s="19" t="s">
        <v>98</v>
      </c>
      <c r="L13" s="19" t="s">
        <v>55</v>
      </c>
      <c r="M13" s="19" t="s">
        <v>55</v>
      </c>
    </row>
    <row r="14" spans="1:13">
      <c r="A14" s="19" t="s">
        <v>48</v>
      </c>
      <c r="B14" s="19" t="s">
        <v>49</v>
      </c>
      <c r="C14" s="19" t="s">
        <v>50</v>
      </c>
      <c r="D14" s="20" t="s">
        <v>119</v>
      </c>
      <c r="E14" s="21" t="str">
        <f t="shared" si="0"/>
        <v>NRO DOCUMENTO</v>
      </c>
      <c r="F14" s="21" t="s">
        <v>120</v>
      </c>
      <c r="G14" s="19" t="s">
        <v>55</v>
      </c>
      <c r="H14" s="19" t="s">
        <v>96</v>
      </c>
      <c r="I14" s="23">
        <v>9819</v>
      </c>
      <c r="J14" s="19" t="s">
        <v>55</v>
      </c>
      <c r="K14" s="19" t="s">
        <v>98</v>
      </c>
      <c r="L14" s="19" t="s">
        <v>55</v>
      </c>
      <c r="M14" s="19" t="s">
        <v>55</v>
      </c>
    </row>
    <row r="15" spans="1:13">
      <c r="A15" s="19" t="s">
        <v>48</v>
      </c>
      <c r="B15" s="19" t="s">
        <v>49</v>
      </c>
      <c r="C15" s="19" t="s">
        <v>50</v>
      </c>
      <c r="D15" s="20" t="s">
        <v>121</v>
      </c>
      <c r="E15" s="21" t="str">
        <f t="shared" si="0"/>
        <v>AUTORIZACION</v>
      </c>
      <c r="F15" s="21" t="s">
        <v>122</v>
      </c>
      <c r="G15" s="19" t="s">
        <v>55</v>
      </c>
      <c r="H15" s="19" t="s">
        <v>96</v>
      </c>
      <c r="I15" s="21">
        <v>756449</v>
      </c>
      <c r="J15" s="19" t="s">
        <v>55</v>
      </c>
      <c r="K15" s="19" t="s">
        <v>98</v>
      </c>
      <c r="L15" s="19" t="s">
        <v>55</v>
      </c>
      <c r="M15" s="19" t="s">
        <v>55</v>
      </c>
    </row>
    <row r="16" spans="1:13">
      <c r="A16" s="19" t="s">
        <v>48</v>
      </c>
      <c r="B16" s="19" t="s">
        <v>49</v>
      </c>
      <c r="C16" s="19" t="s">
        <v>50</v>
      </c>
      <c r="D16" s="20" t="s">
        <v>123</v>
      </c>
      <c r="E16" s="21" t="str">
        <f t="shared" si="0"/>
        <v>IMPORTE</v>
      </c>
      <c r="F16" s="21" t="s">
        <v>124</v>
      </c>
      <c r="G16" s="19" t="s">
        <v>55</v>
      </c>
      <c r="H16" s="19" t="s">
        <v>96</v>
      </c>
      <c r="I16" s="21">
        <v>6</v>
      </c>
      <c r="J16" s="19" t="s">
        <v>55</v>
      </c>
      <c r="K16" s="19" t="s">
        <v>98</v>
      </c>
      <c r="L16" s="19" t="s">
        <v>55</v>
      </c>
      <c r="M16" s="19" t="s">
        <v>55</v>
      </c>
    </row>
    <row r="17" spans="1:13">
      <c r="A17" s="19" t="s">
        <v>48</v>
      </c>
      <c r="B17" s="19" t="s">
        <v>49</v>
      </c>
      <c r="C17" s="19" t="s">
        <v>50</v>
      </c>
      <c r="D17" s="20" t="s">
        <v>125</v>
      </c>
      <c r="E17" s="21" t="str">
        <f t="shared" si="0"/>
        <v>MONEDA</v>
      </c>
      <c r="F17" s="21" t="s">
        <v>126</v>
      </c>
      <c r="G17" s="19" t="s">
        <v>55</v>
      </c>
      <c r="H17" s="19" t="s">
        <v>96</v>
      </c>
      <c r="I17" s="21">
        <v>604</v>
      </c>
      <c r="J17" s="19" t="s">
        <v>55</v>
      </c>
      <c r="K17" s="19" t="s">
        <v>98</v>
      </c>
      <c r="L17" s="19" t="s">
        <v>55</v>
      </c>
      <c r="M17" s="19" t="s">
        <v>55</v>
      </c>
    </row>
    <row r="18" spans="1:13">
      <c r="A18" s="19" t="s">
        <v>48</v>
      </c>
      <c r="B18" s="19" t="s">
        <v>49</v>
      </c>
      <c r="C18" s="19" t="s">
        <v>50</v>
      </c>
      <c r="D18" s="20" t="s">
        <v>127</v>
      </c>
      <c r="E18" s="21" t="str">
        <f t="shared" si="0"/>
        <v>ABO/CAR COMISION</v>
      </c>
      <c r="F18" s="21" t="s">
        <v>128</v>
      </c>
      <c r="G18" s="19" t="s">
        <v>55</v>
      </c>
      <c r="H18" s="19" t="s">
        <v>96</v>
      </c>
      <c r="I18" s="21" t="s">
        <v>129</v>
      </c>
      <c r="J18" s="19" t="s">
        <v>55</v>
      </c>
      <c r="K18" s="19" t="s">
        <v>98</v>
      </c>
      <c r="L18" s="19" t="s">
        <v>55</v>
      </c>
      <c r="M18" s="19" t="s">
        <v>55</v>
      </c>
    </row>
    <row r="19" spans="1:13">
      <c r="A19" s="19" t="s">
        <v>48</v>
      </c>
      <c r="B19" s="19" t="s">
        <v>49</v>
      </c>
      <c r="C19" s="19" t="s">
        <v>50</v>
      </c>
      <c r="D19" s="20" t="s">
        <v>130</v>
      </c>
      <c r="E19" s="21" t="str">
        <f t="shared" si="0"/>
        <v>COMISION</v>
      </c>
      <c r="F19" s="21" t="s">
        <v>131</v>
      </c>
      <c r="G19" s="19" t="s">
        <v>55</v>
      </c>
      <c r="H19" s="19" t="s">
        <v>96</v>
      </c>
      <c r="I19" s="21">
        <v>0.05</v>
      </c>
      <c r="J19" s="19" t="s">
        <v>55</v>
      </c>
      <c r="K19" s="19" t="s">
        <v>98</v>
      </c>
      <c r="L19" s="19" t="s">
        <v>55</v>
      </c>
      <c r="M19" s="19" t="s">
        <v>55</v>
      </c>
    </row>
    <row r="20" spans="1:13">
      <c r="A20" s="19" t="s">
        <v>48</v>
      </c>
      <c r="B20" s="19" t="s">
        <v>49</v>
      </c>
      <c r="C20" s="19" t="s">
        <v>50</v>
      </c>
      <c r="D20" s="20" t="s">
        <v>132</v>
      </c>
      <c r="E20" s="21" t="str">
        <f t="shared" si="0"/>
        <v>COMISION PROCES</v>
      </c>
      <c r="F20" s="21" t="s">
        <v>133</v>
      </c>
      <c r="G20" s="19" t="s">
        <v>55</v>
      </c>
      <c r="H20" s="19" t="s">
        <v>96</v>
      </c>
      <c r="I20" s="21">
        <v>0.03</v>
      </c>
      <c r="J20" s="19" t="s">
        <v>55</v>
      </c>
      <c r="K20" s="19" t="s">
        <v>98</v>
      </c>
      <c r="L20" s="19" t="s">
        <v>55</v>
      </c>
      <c r="M20" s="19" t="s">
        <v>55</v>
      </c>
    </row>
    <row r="21" spans="1:13">
      <c r="A21" s="19" t="s">
        <v>48</v>
      </c>
      <c r="B21" s="19" t="s">
        <v>49</v>
      </c>
      <c r="C21" s="19" t="s">
        <v>50</v>
      </c>
      <c r="D21" s="20" t="s">
        <v>134</v>
      </c>
      <c r="E21" s="21" t="str">
        <f t="shared" si="0"/>
        <v>IMPUESTO PROCES</v>
      </c>
      <c r="F21" s="21" t="s">
        <v>135</v>
      </c>
      <c r="G21" s="19" t="s">
        <v>55</v>
      </c>
      <c r="H21" s="19" t="s">
        <v>96</v>
      </c>
      <c r="I21" s="21">
        <v>0.01</v>
      </c>
      <c r="J21" s="19" t="s">
        <v>55</v>
      </c>
      <c r="K21" s="19" t="s">
        <v>98</v>
      </c>
      <c r="L21" s="19" t="s">
        <v>55</v>
      </c>
      <c r="M21" s="19" t="s">
        <v>55</v>
      </c>
    </row>
    <row r="22" spans="1:13">
      <c r="A22" s="19" t="s">
        <v>48</v>
      </c>
      <c r="B22" s="19" t="s">
        <v>49</v>
      </c>
      <c r="C22" s="19" t="s">
        <v>50</v>
      </c>
      <c r="D22" s="20" t="s">
        <v>136</v>
      </c>
      <c r="E22" s="21" t="str">
        <f t="shared" si="0"/>
        <v>COMISION EMISOR</v>
      </c>
      <c r="F22" s="21" t="s">
        <v>137</v>
      </c>
      <c r="G22" s="19" t="s">
        <v>55</v>
      </c>
      <c r="H22" s="19" t="s">
        <v>96</v>
      </c>
      <c r="I22" s="21">
        <v>0.02</v>
      </c>
      <c r="J22" s="19" t="s">
        <v>55</v>
      </c>
      <c r="K22" s="19" t="s">
        <v>98</v>
      </c>
      <c r="L22" s="19" t="s">
        <v>55</v>
      </c>
      <c r="M22" s="19" t="s">
        <v>55</v>
      </c>
    </row>
    <row r="23" spans="1:13">
      <c r="A23" s="19" t="s">
        <v>48</v>
      </c>
      <c r="B23" s="19" t="s">
        <v>49</v>
      </c>
      <c r="C23" s="19" t="s">
        <v>50</v>
      </c>
      <c r="D23" s="20" t="s">
        <v>138</v>
      </c>
      <c r="E23" s="21" t="str">
        <f t="shared" si="0"/>
        <v>IMPUESTO EMISOR</v>
      </c>
      <c r="F23" s="21" t="s">
        <v>139</v>
      </c>
      <c r="G23" s="19" t="s">
        <v>55</v>
      </c>
      <c r="H23" s="19" t="s">
        <v>96</v>
      </c>
      <c r="I23" s="21">
        <v>0</v>
      </c>
      <c r="J23" s="19" t="s">
        <v>55</v>
      </c>
      <c r="K23" s="19" t="s">
        <v>98</v>
      </c>
      <c r="L23" s="19" t="s">
        <v>55</v>
      </c>
      <c r="M23" s="19" t="s">
        <v>55</v>
      </c>
    </row>
    <row r="24" spans="1:13">
      <c r="A24" s="19" t="s">
        <v>48</v>
      </c>
      <c r="B24" s="19" t="s">
        <v>49</v>
      </c>
      <c r="C24" s="19" t="s">
        <v>50</v>
      </c>
      <c r="D24" s="20" t="s">
        <v>140</v>
      </c>
      <c r="E24" s="21" t="str">
        <f t="shared" si="0"/>
        <v>MEDIO DE TRANSAC</v>
      </c>
      <c r="F24" s="21" t="s">
        <v>141</v>
      </c>
      <c r="G24" s="19" t="s">
        <v>55</v>
      </c>
      <c r="H24" s="19" t="s">
        <v>96</v>
      </c>
      <c r="I24" s="21" t="s">
        <v>142</v>
      </c>
      <c r="J24" s="19" t="s">
        <v>55</v>
      </c>
      <c r="K24" s="19" t="s">
        <v>98</v>
      </c>
      <c r="L24" s="19" t="s">
        <v>55</v>
      </c>
      <c r="M24" s="19" t="s">
        <v>55</v>
      </c>
    </row>
    <row r="25" spans="1:13">
      <c r="A25" s="19" t="s">
        <v>48</v>
      </c>
      <c r="B25" s="19" t="s">
        <v>49</v>
      </c>
      <c r="C25" s="19" t="s">
        <v>50</v>
      </c>
      <c r="D25" s="20" t="s">
        <v>143</v>
      </c>
      <c r="E25" s="21" t="str">
        <f t="shared" si="0"/>
        <v>FECHA DE LOTE</v>
      </c>
      <c r="F25" s="21" t="s">
        <v>144</v>
      </c>
      <c r="G25" s="19" t="s">
        <v>55</v>
      </c>
      <c r="H25" s="19" t="s">
        <v>96</v>
      </c>
      <c r="I25" s="21">
        <v>20240623</v>
      </c>
      <c r="J25" s="19" t="s">
        <v>55</v>
      </c>
      <c r="K25" s="19" t="s">
        <v>98</v>
      </c>
      <c r="L25" s="19" t="s">
        <v>55</v>
      </c>
      <c r="M25" s="19" t="s">
        <v>55</v>
      </c>
    </row>
    <row r="26" spans="1:13">
      <c r="A26" s="19" t="s">
        <v>48</v>
      </c>
      <c r="B26" s="19" t="s">
        <v>49</v>
      </c>
      <c r="C26" s="19" t="s">
        <v>50</v>
      </c>
      <c r="D26" s="20" t="s">
        <v>145</v>
      </c>
      <c r="E26" s="21" t="str">
        <f t="shared" si="0"/>
        <v>LOTE REFERENCIA</v>
      </c>
      <c r="F26" s="21" t="s">
        <v>146</v>
      </c>
      <c r="G26" s="19" t="s">
        <v>55</v>
      </c>
      <c r="H26" s="19" t="s">
        <v>96</v>
      </c>
      <c r="I26" s="21">
        <v>1391</v>
      </c>
      <c r="J26" s="19" t="s">
        <v>55</v>
      </c>
      <c r="K26" s="19" t="s">
        <v>98</v>
      </c>
      <c r="L26" s="19" t="s">
        <v>55</v>
      </c>
      <c r="M26" s="19" t="s">
        <v>55</v>
      </c>
    </row>
    <row r="27" spans="1:13">
      <c r="A27" s="19" t="s">
        <v>48</v>
      </c>
      <c r="B27" s="19" t="s">
        <v>49</v>
      </c>
      <c r="C27" s="19" t="s">
        <v>50</v>
      </c>
      <c r="D27" s="20" t="s">
        <v>147</v>
      </c>
      <c r="E27" s="21" t="str">
        <f t="shared" si="0"/>
        <v>USUARIO</v>
      </c>
      <c r="F27" s="21" t="s">
        <v>148</v>
      </c>
      <c r="G27" s="19" t="s">
        <v>55</v>
      </c>
      <c r="H27" s="19" t="s">
        <v>96</v>
      </c>
      <c r="I27" s="21">
        <v>5849209</v>
      </c>
      <c r="J27" s="19" t="s">
        <v>55</v>
      </c>
      <c r="K27" s="19" t="s">
        <v>98</v>
      </c>
      <c r="L27" s="19" t="s">
        <v>55</v>
      </c>
      <c r="M27" s="19" t="s">
        <v>55</v>
      </c>
    </row>
    <row r="28" spans="1:13">
      <c r="A28" s="19" t="s">
        <v>48</v>
      </c>
      <c r="B28" s="19" t="s">
        <v>49</v>
      </c>
      <c r="C28" s="19" t="s">
        <v>50</v>
      </c>
      <c r="D28" s="20" t="s">
        <v>149</v>
      </c>
      <c r="E28" s="21" t="str">
        <f t="shared" si="0"/>
        <v>TERMINAL</v>
      </c>
      <c r="F28" s="21" t="s">
        <v>150</v>
      </c>
      <c r="G28" s="19" t="s">
        <v>55</v>
      </c>
      <c r="H28" s="19" t="s">
        <v>96</v>
      </c>
      <c r="I28" s="21" t="s">
        <v>151</v>
      </c>
      <c r="J28" s="19" t="s">
        <v>55</v>
      </c>
      <c r="K28" s="19" t="s">
        <v>98</v>
      </c>
      <c r="L28" s="19" t="s">
        <v>55</v>
      </c>
      <c r="M28" s="19" t="s">
        <v>55</v>
      </c>
    </row>
    <row r="29" spans="1:13">
      <c r="A29" s="19" t="s">
        <v>48</v>
      </c>
      <c r="B29" s="19" t="s">
        <v>49</v>
      </c>
      <c r="C29" s="19" t="s">
        <v>50</v>
      </c>
      <c r="D29" s="20" t="s">
        <v>152</v>
      </c>
      <c r="E29" s="21" t="str">
        <f t="shared" si="0"/>
        <v>APROBADO POR</v>
      </c>
      <c r="F29" s="21" t="s">
        <v>153</v>
      </c>
      <c r="G29" s="19" t="s">
        <v>55</v>
      </c>
      <c r="H29" s="19" t="s">
        <v>96</v>
      </c>
      <c r="I29" s="21"/>
      <c r="J29" s="19" t="s">
        <v>55</v>
      </c>
      <c r="K29" s="19" t="s">
        <v>98</v>
      </c>
      <c r="L29" s="19" t="s">
        <v>55</v>
      </c>
      <c r="M29" s="19" t="s">
        <v>55</v>
      </c>
    </row>
    <row r="30" spans="1:13">
      <c r="A30" s="19" t="s">
        <v>48</v>
      </c>
      <c r="B30" s="19" t="s">
        <v>49</v>
      </c>
      <c r="C30" s="19" t="s">
        <v>50</v>
      </c>
      <c r="D30" s="20" t="s">
        <v>154</v>
      </c>
      <c r="E30" s="21" t="str">
        <f t="shared" si="0"/>
        <v>FECHA PENDIENTE</v>
      </c>
      <c r="F30" s="21" t="s">
        <v>155</v>
      </c>
      <c r="G30" s="19" t="s">
        <v>55</v>
      </c>
      <c r="H30" s="19" t="s">
        <v>96</v>
      </c>
      <c r="I30" s="21">
        <v>0</v>
      </c>
      <c r="J30" s="19" t="s">
        <v>55</v>
      </c>
      <c r="K30" s="19" t="s">
        <v>98</v>
      </c>
      <c r="L30" s="19" t="s">
        <v>55</v>
      </c>
      <c r="M30" s="19" t="s">
        <v>55</v>
      </c>
    </row>
    <row r="31" spans="1:13">
      <c r="A31" s="19" t="s">
        <v>48</v>
      </c>
      <c r="B31" s="19" t="s">
        <v>49</v>
      </c>
      <c r="C31" s="19" t="s">
        <v>50</v>
      </c>
      <c r="D31" s="20" t="s">
        <v>156</v>
      </c>
      <c r="E31" s="21" t="str">
        <f t="shared" si="0"/>
        <v>ICA EMISOR</v>
      </c>
      <c r="F31" s="21" t="s">
        <v>157</v>
      </c>
      <c r="G31" s="19" t="s">
        <v>55</v>
      </c>
      <c r="H31" s="19" t="s">
        <v>96</v>
      </c>
      <c r="I31" s="21">
        <v>1782</v>
      </c>
      <c r="J31" s="19" t="s">
        <v>55</v>
      </c>
      <c r="K31" s="19" t="s">
        <v>98</v>
      </c>
      <c r="L31" s="19" t="s">
        <v>55</v>
      </c>
      <c r="M31" s="19" t="s">
        <v>55</v>
      </c>
    </row>
    <row r="32" spans="1:13">
      <c r="A32" s="19" t="s">
        <v>48</v>
      </c>
      <c r="B32" s="19" t="s">
        <v>49</v>
      </c>
      <c r="C32" s="19" t="s">
        <v>50</v>
      </c>
      <c r="D32" s="20" t="s">
        <v>158</v>
      </c>
      <c r="E32" s="21" t="str">
        <f t="shared" si="0"/>
        <v>ICA ADQUIR</v>
      </c>
      <c r="F32" s="21" t="s">
        <v>159</v>
      </c>
      <c r="G32" s="19" t="s">
        <v>55</v>
      </c>
      <c r="H32" s="19" t="s">
        <v>96</v>
      </c>
      <c r="I32" s="21">
        <v>7963</v>
      </c>
      <c r="J32" s="19" t="s">
        <v>55</v>
      </c>
      <c r="K32" s="19" t="s">
        <v>98</v>
      </c>
      <c r="L32" s="19" t="s">
        <v>55</v>
      </c>
      <c r="M32" s="19" t="s">
        <v>55</v>
      </c>
    </row>
    <row r="33" spans="1:13">
      <c r="A33" s="19" t="s">
        <v>48</v>
      </c>
      <c r="B33" s="19" t="s">
        <v>49</v>
      </c>
      <c r="C33" s="19" t="s">
        <v>50</v>
      </c>
      <c r="D33" s="20" t="s">
        <v>160</v>
      </c>
      <c r="E33" s="21" t="str">
        <f t="shared" si="0"/>
        <v>FECHA JULIANA</v>
      </c>
      <c r="F33" s="21" t="s">
        <v>161</v>
      </c>
      <c r="G33" s="19" t="s">
        <v>55</v>
      </c>
      <c r="H33" s="19" t="s">
        <v>96</v>
      </c>
      <c r="I33" s="21">
        <v>4175</v>
      </c>
      <c r="J33" s="19" t="s">
        <v>55</v>
      </c>
      <c r="K33" s="19" t="s">
        <v>98</v>
      </c>
      <c r="L33" s="19" t="s">
        <v>55</v>
      </c>
      <c r="M33" s="19" t="s">
        <v>55</v>
      </c>
    </row>
    <row r="34" spans="1:13">
      <c r="A34" s="19" t="s">
        <v>48</v>
      </c>
      <c r="B34" s="19" t="s">
        <v>49</v>
      </c>
      <c r="C34" s="19" t="s">
        <v>50</v>
      </c>
      <c r="D34" s="20" t="s">
        <v>162</v>
      </c>
      <c r="E34" s="21" t="str">
        <f t="shared" si="0"/>
        <v>MCC</v>
      </c>
      <c r="F34" s="21" t="s">
        <v>163</v>
      </c>
      <c r="G34" s="19" t="s">
        <v>55</v>
      </c>
      <c r="H34" s="19" t="s">
        <v>96</v>
      </c>
      <c r="I34" s="21">
        <v>7523</v>
      </c>
      <c r="J34" s="19" t="s">
        <v>55</v>
      </c>
      <c r="K34" s="19" t="s">
        <v>98</v>
      </c>
      <c r="L34" s="19" t="s">
        <v>55</v>
      </c>
      <c r="M34" s="19" t="s">
        <v>55</v>
      </c>
    </row>
    <row r="35" spans="1:13">
      <c r="A35" s="19" t="s">
        <v>48</v>
      </c>
      <c r="B35" s="19" t="s">
        <v>49</v>
      </c>
      <c r="C35" s="19" t="s">
        <v>50</v>
      </c>
      <c r="D35" s="20" t="s">
        <v>164</v>
      </c>
      <c r="E35" s="21" t="str">
        <f t="shared" si="0"/>
        <v>TIPO CAMBIO</v>
      </c>
      <c r="F35" s="21" t="s">
        <v>165</v>
      </c>
      <c r="G35" s="19" t="s">
        <v>55</v>
      </c>
      <c r="H35" s="19" t="s">
        <v>96</v>
      </c>
      <c r="I35" s="21">
        <v>3.806</v>
      </c>
      <c r="J35" s="19" t="s">
        <v>55</v>
      </c>
      <c r="K35" s="19" t="s">
        <v>98</v>
      </c>
      <c r="L35" s="19" t="s">
        <v>55</v>
      </c>
      <c r="M35" s="19" t="s">
        <v>55</v>
      </c>
    </row>
    <row r="36" spans="1:13">
      <c r="A36" s="19" t="s">
        <v>48</v>
      </c>
      <c r="B36" s="19" t="s">
        <v>49</v>
      </c>
      <c r="C36" s="19" t="s">
        <v>50</v>
      </c>
      <c r="D36" s="20" t="s">
        <v>166</v>
      </c>
      <c r="E36" s="21" t="str">
        <f t="shared" si="0"/>
        <v>IMPORTE SOLES</v>
      </c>
      <c r="F36" s="21" t="s">
        <v>167</v>
      </c>
      <c r="G36" s="19" t="s">
        <v>55</v>
      </c>
      <c r="H36" s="19" t="s">
        <v>96</v>
      </c>
      <c r="I36" s="21">
        <v>6</v>
      </c>
      <c r="J36" s="19" t="s">
        <v>55</v>
      </c>
      <c r="K36" s="19" t="s">
        <v>98</v>
      </c>
      <c r="L36" s="19" t="s">
        <v>55</v>
      </c>
      <c r="M36" s="19" t="s">
        <v>55</v>
      </c>
    </row>
    <row r="37" spans="1:13">
      <c r="A37" s="19" t="s">
        <v>48</v>
      </c>
      <c r="B37" s="19" t="s">
        <v>49</v>
      </c>
      <c r="C37" s="19" t="s">
        <v>50</v>
      </c>
      <c r="D37" s="20" t="s">
        <v>168</v>
      </c>
      <c r="E37" s="21" t="str">
        <f t="shared" si="0"/>
        <v>TIENDA</v>
      </c>
      <c r="F37" s="21" t="s">
        <v>169</v>
      </c>
      <c r="G37" s="19" t="s">
        <v>55</v>
      </c>
      <c r="H37" s="19" t="s">
        <v>96</v>
      </c>
      <c r="I37" s="21">
        <v>1032367</v>
      </c>
      <c r="J37" s="19" t="s">
        <v>55</v>
      </c>
      <c r="K37" s="19" t="s">
        <v>98</v>
      </c>
      <c r="L37" s="19" t="s">
        <v>55</v>
      </c>
      <c r="M37" s="19" t="s">
        <v>55</v>
      </c>
    </row>
    <row r="38" spans="1:13">
      <c r="A38" s="19" t="s">
        <v>48</v>
      </c>
      <c r="B38" s="19" t="s">
        <v>49</v>
      </c>
      <c r="C38" s="19" t="s">
        <v>50</v>
      </c>
      <c r="D38" s="20" t="s">
        <v>170</v>
      </c>
      <c r="E38" s="21" t="str">
        <f t="shared" si="0"/>
        <v>SUCURSAL</v>
      </c>
      <c r="F38" s="21" t="s">
        <v>171</v>
      </c>
      <c r="G38" s="19" t="s">
        <v>55</v>
      </c>
      <c r="H38" s="19" t="s">
        <v>96</v>
      </c>
      <c r="I38" s="21">
        <v>0</v>
      </c>
      <c r="J38" s="19" t="s">
        <v>55</v>
      </c>
      <c r="K38" s="19" t="s">
        <v>98</v>
      </c>
      <c r="L38" s="19" t="s">
        <v>55</v>
      </c>
      <c r="M38" s="19" t="s">
        <v>55</v>
      </c>
    </row>
    <row r="39" spans="1:13">
      <c r="A39" s="19" t="s">
        <v>48</v>
      </c>
      <c r="B39" s="19" t="s">
        <v>49</v>
      </c>
      <c r="C39" s="19" t="s">
        <v>50</v>
      </c>
      <c r="D39" s="20" t="s">
        <v>172</v>
      </c>
      <c r="E39" s="21" t="str">
        <f t="shared" si="0"/>
        <v>INDICA DEVOLUCION (D: DEVOLUCIÓN TOTAL, P: DEVOLUCIÓN PARCIAL: ' ' NO TIENE DEVOLUCIÓN)</v>
      </c>
      <c r="F39" s="21" t="s">
        <v>173</v>
      </c>
      <c r="G39" s="19" t="s">
        <v>55</v>
      </c>
      <c r="H39" s="19" t="s">
        <v>96</v>
      </c>
      <c r="I39" s="21"/>
      <c r="J39" s="19" t="s">
        <v>55</v>
      </c>
      <c r="K39" s="19" t="s">
        <v>98</v>
      </c>
      <c r="L39" s="19" t="s">
        <v>55</v>
      </c>
      <c r="M39" s="19" t="s">
        <v>55</v>
      </c>
    </row>
    <row r="40" spans="1:13">
      <c r="A40" s="19" t="s">
        <v>48</v>
      </c>
      <c r="B40" s="19" t="s">
        <v>49</v>
      </c>
      <c r="C40" s="19" t="s">
        <v>50</v>
      </c>
      <c r="D40" s="20" t="s">
        <v>174</v>
      </c>
      <c r="E40" s="21" t="str">
        <f t="shared" si="0"/>
        <v>AGEN.RECEPTORA</v>
      </c>
      <c r="F40" s="21" t="s">
        <v>175</v>
      </c>
      <c r="G40" s="19" t="s">
        <v>55</v>
      </c>
      <c r="H40" s="19" t="s">
        <v>96</v>
      </c>
      <c r="I40" s="21">
        <v>0</v>
      </c>
      <c r="J40" s="19" t="s">
        <v>55</v>
      </c>
      <c r="K40" s="19" t="s">
        <v>98</v>
      </c>
      <c r="L40" s="19" t="s">
        <v>55</v>
      </c>
      <c r="M40" s="19" t="s">
        <v>55</v>
      </c>
    </row>
    <row r="41" spans="1:13">
      <c r="A41" s="19" t="s">
        <v>48</v>
      </c>
      <c r="B41" s="19" t="s">
        <v>49</v>
      </c>
      <c r="C41" s="19" t="s">
        <v>50</v>
      </c>
      <c r="D41" s="20" t="s">
        <v>176</v>
      </c>
      <c r="E41" s="21" t="str">
        <f t="shared" si="0"/>
        <v>TIPO PENDIENTE</v>
      </c>
      <c r="F41" s="21" t="s">
        <v>177</v>
      </c>
      <c r="G41" s="19" t="s">
        <v>55</v>
      </c>
      <c r="H41" s="19" t="s">
        <v>96</v>
      </c>
      <c r="I41" s="21"/>
      <c r="J41" s="19" t="s">
        <v>55</v>
      </c>
      <c r="K41" s="19" t="s">
        <v>98</v>
      </c>
      <c r="L41" s="19" t="s">
        <v>55</v>
      </c>
      <c r="M41" s="19" t="s">
        <v>55</v>
      </c>
    </row>
    <row r="42" spans="1:13">
      <c r="A42" s="19" t="s">
        <v>48</v>
      </c>
      <c r="B42" s="19" t="s">
        <v>49</v>
      </c>
      <c r="C42" s="19" t="s">
        <v>50</v>
      </c>
      <c r="D42" s="20" t="s">
        <v>178</v>
      </c>
      <c r="E42" s="21" t="str">
        <f t="shared" si="0"/>
        <v>SALDO EMISOR</v>
      </c>
      <c r="F42" s="21" t="s">
        <v>179</v>
      </c>
      <c r="G42" s="19" t="s">
        <v>55</v>
      </c>
      <c r="H42" s="19" t="s">
        <v>96</v>
      </c>
      <c r="I42" s="21">
        <v>0</v>
      </c>
      <c r="J42" s="19" t="s">
        <v>55</v>
      </c>
      <c r="K42" s="19" t="s">
        <v>98</v>
      </c>
      <c r="L42" s="19" t="s">
        <v>55</v>
      </c>
      <c r="M42" s="19" t="s">
        <v>55</v>
      </c>
    </row>
    <row r="43" spans="1:13">
      <c r="A43" s="19" t="s">
        <v>48</v>
      </c>
      <c r="B43" s="19" t="s">
        <v>49</v>
      </c>
      <c r="C43" s="19" t="s">
        <v>50</v>
      </c>
      <c r="D43" s="20" t="s">
        <v>180</v>
      </c>
      <c r="E43" s="21" t="str">
        <f t="shared" si="0"/>
        <v>PAIS</v>
      </c>
      <c r="F43" s="21" t="s">
        <v>181</v>
      </c>
      <c r="G43" s="19" t="s">
        <v>55</v>
      </c>
      <c r="H43" s="19" t="s">
        <v>96</v>
      </c>
      <c r="I43" s="21" t="s">
        <v>182</v>
      </c>
      <c r="J43" s="19" t="s">
        <v>55</v>
      </c>
      <c r="K43" s="19" t="s">
        <v>98</v>
      </c>
      <c r="L43" s="19" t="s">
        <v>55</v>
      </c>
      <c r="M43" s="19" t="s">
        <v>55</v>
      </c>
    </row>
    <row r="44" spans="1:13">
      <c r="A44" s="19" t="s">
        <v>48</v>
      </c>
      <c r="B44" s="19" t="s">
        <v>49</v>
      </c>
      <c r="C44" s="19" t="s">
        <v>50</v>
      </c>
      <c r="D44" s="20" t="s">
        <v>183</v>
      </c>
      <c r="E44" s="21" t="str">
        <f t="shared" si="0"/>
        <v>ORIGEN</v>
      </c>
      <c r="F44" s="21" t="s">
        <v>184</v>
      </c>
      <c r="G44" s="19" t="s">
        <v>55</v>
      </c>
      <c r="H44" s="19" t="s">
        <v>96</v>
      </c>
      <c r="I44" s="21" t="s">
        <v>185</v>
      </c>
      <c r="J44" s="19" t="s">
        <v>55</v>
      </c>
      <c r="K44" s="19" t="s">
        <v>98</v>
      </c>
      <c r="L44" s="19" t="s">
        <v>55</v>
      </c>
      <c r="M44" s="19" t="s">
        <v>55</v>
      </c>
    </row>
    <row r="45" spans="1:13">
      <c r="A45" s="19" t="s">
        <v>48</v>
      </c>
      <c r="B45" s="19" t="s">
        <v>49</v>
      </c>
      <c r="C45" s="19" t="s">
        <v>50</v>
      </c>
      <c r="D45" s="20" t="s">
        <v>186</v>
      </c>
      <c r="E45" s="21" t="str">
        <f t="shared" si="0"/>
        <v>PREMIADO (P: TIENE PREMIACIÓN)</v>
      </c>
      <c r="F45" s="21" t="s">
        <v>187</v>
      </c>
      <c r="G45" s="19" t="s">
        <v>55</v>
      </c>
      <c r="H45" s="19" t="s">
        <v>96</v>
      </c>
      <c r="I45" s="21"/>
      <c r="J45" s="19" t="s">
        <v>55</v>
      </c>
      <c r="K45" s="19" t="s">
        <v>98</v>
      </c>
      <c r="L45" s="19" t="s">
        <v>55</v>
      </c>
      <c r="M45" s="19" t="s">
        <v>55</v>
      </c>
    </row>
    <row r="46" spans="1:13">
      <c r="A46" s="19" t="s">
        <v>48</v>
      </c>
      <c r="B46" s="19" t="s">
        <v>49</v>
      </c>
      <c r="C46" s="19" t="s">
        <v>50</v>
      </c>
      <c r="D46" s="20" t="s">
        <v>188</v>
      </c>
      <c r="E46" s="21" t="str">
        <f t="shared" si="0"/>
        <v>BANKNET REFE NBR</v>
      </c>
      <c r="F46" s="21" t="s">
        <v>189</v>
      </c>
      <c r="G46" s="19" t="s">
        <v>55</v>
      </c>
      <c r="H46" s="19" t="s">
        <v>96</v>
      </c>
      <c r="I46" s="21" t="s">
        <v>190</v>
      </c>
      <c r="J46" s="19" t="s">
        <v>55</v>
      </c>
      <c r="K46" s="19" t="s">
        <v>98</v>
      </c>
      <c r="L46" s="19" t="s">
        <v>55</v>
      </c>
      <c r="M46" s="19" t="s">
        <v>55</v>
      </c>
    </row>
    <row r="47" spans="1:13">
      <c r="A47" s="19" t="s">
        <v>48</v>
      </c>
      <c r="B47" s="19" t="s">
        <v>49</v>
      </c>
      <c r="C47" s="19" t="s">
        <v>50</v>
      </c>
      <c r="D47" s="20" t="s">
        <v>191</v>
      </c>
      <c r="E47" s="21" t="str">
        <f t="shared" si="0"/>
        <v>ACQUIRER REFE NBR</v>
      </c>
      <c r="F47" s="21" t="s">
        <v>192</v>
      </c>
      <c r="G47" s="19" t="s">
        <v>55</v>
      </c>
      <c r="H47" s="19" t="s">
        <v>96</v>
      </c>
      <c r="I47" s="21">
        <v>7.5301504175005904E+22</v>
      </c>
      <c r="J47" s="19" t="s">
        <v>98</v>
      </c>
      <c r="K47" s="19" t="s">
        <v>98</v>
      </c>
      <c r="L47" s="19" t="s">
        <v>55</v>
      </c>
      <c r="M47" s="19" t="s">
        <v>55</v>
      </c>
    </row>
    <row r="48" spans="1:13">
      <c r="A48" s="19" t="s">
        <v>48</v>
      </c>
      <c r="B48" s="19" t="s">
        <v>49</v>
      </c>
      <c r="C48" s="19" t="s">
        <v>50</v>
      </c>
      <c r="D48" s="20" t="s">
        <v>193</v>
      </c>
      <c r="E48" s="21" t="str">
        <f t="shared" si="0"/>
        <v>% COMISION ESTAB</v>
      </c>
      <c r="F48" s="21" t="s">
        <v>194</v>
      </c>
      <c r="G48" s="19" t="s">
        <v>55</v>
      </c>
      <c r="H48" s="19" t="s">
        <v>96</v>
      </c>
      <c r="I48" s="21">
        <v>8.8999999999999999E-3</v>
      </c>
      <c r="J48" s="19" t="s">
        <v>55</v>
      </c>
      <c r="K48" s="19" t="s">
        <v>98</v>
      </c>
      <c r="L48" s="19" t="s">
        <v>55</v>
      </c>
      <c r="M48" s="19" t="s">
        <v>55</v>
      </c>
    </row>
    <row r="49" spans="1:13">
      <c r="A49" s="19" t="s">
        <v>48</v>
      </c>
      <c r="B49" s="19" t="s">
        <v>49</v>
      </c>
      <c r="C49" s="19" t="s">
        <v>50</v>
      </c>
      <c r="D49" s="20" t="s">
        <v>195</v>
      </c>
      <c r="E49" s="21" t="str">
        <f t="shared" si="0"/>
        <v>CADENA</v>
      </c>
      <c r="F49" s="21" t="s">
        <v>196</v>
      </c>
      <c r="G49" s="19" t="s">
        <v>55</v>
      </c>
      <c r="H49" s="19" t="s">
        <v>96</v>
      </c>
      <c r="I49" s="21">
        <v>9018457</v>
      </c>
      <c r="J49" s="19" t="s">
        <v>55</v>
      </c>
      <c r="K49" s="19" t="s">
        <v>98</v>
      </c>
      <c r="L49" s="19" t="s">
        <v>55</v>
      </c>
      <c r="M49" s="19" t="s">
        <v>55</v>
      </c>
    </row>
    <row r="50" spans="1:13">
      <c r="A50" s="19" t="s">
        <v>48</v>
      </c>
      <c r="B50" s="19" t="s">
        <v>49</v>
      </c>
      <c r="C50" s="19" t="s">
        <v>50</v>
      </c>
      <c r="D50" s="20" t="s">
        <v>197</v>
      </c>
      <c r="E50" s="21" t="str">
        <f t="shared" si="0"/>
        <v>ITEM</v>
      </c>
      <c r="F50" s="21" t="s">
        <v>198</v>
      </c>
      <c r="G50" s="19" t="s">
        <v>55</v>
      </c>
      <c r="H50" s="19" t="s">
        <v>96</v>
      </c>
      <c r="I50" s="21">
        <v>24</v>
      </c>
      <c r="J50" s="19" t="s">
        <v>55</v>
      </c>
      <c r="K50" s="19" t="s">
        <v>98</v>
      </c>
      <c r="L50" s="19" t="s">
        <v>55</v>
      </c>
      <c r="M50" s="19" t="s">
        <v>55</v>
      </c>
    </row>
    <row r="51" spans="1:13">
      <c r="A51" s="19" t="s">
        <v>48</v>
      </c>
      <c r="B51" s="19" t="s">
        <v>49</v>
      </c>
      <c r="C51" s="19" t="s">
        <v>50</v>
      </c>
      <c r="D51" s="20" t="s">
        <v>199</v>
      </c>
      <c r="E51" s="21" t="str">
        <f t="shared" si="0"/>
        <v>COD.INTERCA.COMI</v>
      </c>
      <c r="F51" s="21" t="s">
        <v>200</v>
      </c>
      <c r="G51" s="19" t="s">
        <v>55</v>
      </c>
      <c r="H51" s="19" t="s">
        <v>96</v>
      </c>
      <c r="I51" s="21">
        <v>75</v>
      </c>
      <c r="J51" s="19" t="s">
        <v>55</v>
      </c>
      <c r="K51" s="19" t="s">
        <v>98</v>
      </c>
      <c r="L51" s="19" t="s">
        <v>55</v>
      </c>
      <c r="M51" s="19" t="s">
        <v>55</v>
      </c>
    </row>
    <row r="52" spans="1:13">
      <c r="A52" s="19" t="s">
        <v>48</v>
      </c>
      <c r="B52" s="19" t="s">
        <v>49</v>
      </c>
      <c r="C52" s="19" t="s">
        <v>50</v>
      </c>
      <c r="D52" s="20" t="s">
        <v>201</v>
      </c>
      <c r="E52" s="21" t="str">
        <f t="shared" si="0"/>
        <v>TASA INTERCAMBIO</v>
      </c>
      <c r="F52" s="21" t="s">
        <v>202</v>
      </c>
      <c r="G52" s="19" t="s">
        <v>55</v>
      </c>
      <c r="H52" s="19" t="s">
        <v>96</v>
      </c>
      <c r="I52" s="21" t="s">
        <v>203</v>
      </c>
      <c r="J52" s="19" t="s">
        <v>55</v>
      </c>
      <c r="K52" s="19" t="s">
        <v>98</v>
      </c>
      <c r="L52" s="19" t="s">
        <v>55</v>
      </c>
      <c r="M52" s="19" t="s">
        <v>55</v>
      </c>
    </row>
    <row r="53" spans="1:13">
      <c r="A53" s="19" t="s">
        <v>48</v>
      </c>
      <c r="B53" s="19" t="s">
        <v>49</v>
      </c>
      <c r="C53" s="19" t="s">
        <v>50</v>
      </c>
      <c r="D53" s="20" t="s">
        <v>204</v>
      </c>
      <c r="E53" s="21" t="str">
        <f t="shared" si="0"/>
        <v>TIPO INTERCAMBIO</v>
      </c>
      <c r="F53" s="21" t="s">
        <v>205</v>
      </c>
      <c r="G53" s="19" t="s">
        <v>55</v>
      </c>
      <c r="H53" s="19" t="s">
        <v>96</v>
      </c>
      <c r="I53" s="21" t="s">
        <v>206</v>
      </c>
      <c r="J53" s="19" t="s">
        <v>55</v>
      </c>
      <c r="K53" s="19" t="s">
        <v>98</v>
      </c>
      <c r="L53" s="19" t="s">
        <v>55</v>
      </c>
      <c r="M53" s="19" t="s">
        <v>55</v>
      </c>
    </row>
    <row r="54" spans="1:13">
      <c r="A54" s="19" t="s">
        <v>48</v>
      </c>
      <c r="B54" s="19" t="s">
        <v>49</v>
      </c>
      <c r="C54" s="19" t="s">
        <v>50</v>
      </c>
      <c r="D54" s="20" t="s">
        <v>207</v>
      </c>
      <c r="E54" s="21" t="str">
        <f t="shared" si="0"/>
        <v>REPORT CAMARA LOCAL</v>
      </c>
      <c r="F54" s="21" t="s">
        <v>208</v>
      </c>
      <c r="G54" s="19" t="s">
        <v>55</v>
      </c>
      <c r="H54" s="19" t="s">
        <v>96</v>
      </c>
      <c r="I54" s="21" t="s">
        <v>98</v>
      </c>
      <c r="J54" s="19" t="s">
        <v>55</v>
      </c>
      <c r="K54" s="19" t="s">
        <v>98</v>
      </c>
      <c r="L54" s="19" t="s">
        <v>55</v>
      </c>
      <c r="M54" s="19" t="s">
        <v>55</v>
      </c>
    </row>
    <row r="55" spans="1:13">
      <c r="A55" s="19" t="s">
        <v>48</v>
      </c>
      <c r="B55" s="19" t="s">
        <v>49</v>
      </c>
      <c r="C55" s="19" t="s">
        <v>50</v>
      </c>
      <c r="D55" s="20" t="s">
        <v>209</v>
      </c>
      <c r="E55" s="21" t="str">
        <f t="shared" si="0"/>
        <v>TRANSAC.SEGUN MCI (L: LOCAL, I: INTERNACIONAL: $INTERNACIONAL DOLARES)</v>
      </c>
      <c r="F55" s="21" t="s">
        <v>210</v>
      </c>
      <c r="G55" s="19" t="s">
        <v>55</v>
      </c>
      <c r="H55" s="19" t="s">
        <v>96</v>
      </c>
      <c r="I55" s="21">
        <v>5</v>
      </c>
      <c r="J55" s="19" t="s">
        <v>55</v>
      </c>
      <c r="K55" s="19" t="s">
        <v>98</v>
      </c>
      <c r="L55" s="19" t="s">
        <v>55</v>
      </c>
      <c r="M55" s="19" t="s">
        <v>55</v>
      </c>
    </row>
    <row r="56" spans="1:13">
      <c r="A56" s="19" t="s">
        <v>48</v>
      </c>
      <c r="B56" s="19" t="s">
        <v>49</v>
      </c>
      <c r="C56" s="19" t="s">
        <v>50</v>
      </c>
      <c r="D56" s="20" t="s">
        <v>211</v>
      </c>
      <c r="E56" s="21" t="str">
        <f t="shared" si="0"/>
        <v>COMI.SERV.PROCESAMI</v>
      </c>
      <c r="F56" s="21" t="s">
        <v>212</v>
      </c>
      <c r="G56" s="19" t="s">
        <v>55</v>
      </c>
      <c r="H56" s="19" t="s">
        <v>96</v>
      </c>
      <c r="I56" s="21">
        <v>0</v>
      </c>
      <c r="J56" s="19" t="s">
        <v>55</v>
      </c>
      <c r="K56" s="19" t="s">
        <v>98</v>
      </c>
      <c r="L56" s="19" t="s">
        <v>55</v>
      </c>
      <c r="M56" s="19" t="s">
        <v>55</v>
      </c>
    </row>
    <row r="57" spans="1:13">
      <c r="A57" s="19" t="s">
        <v>48</v>
      </c>
      <c r="B57" s="19" t="s">
        <v>49</v>
      </c>
      <c r="C57" s="19" t="s">
        <v>50</v>
      </c>
      <c r="D57" s="20" t="s">
        <v>213</v>
      </c>
      <c r="E57" s="21" t="str">
        <f t="shared" si="0"/>
        <v>IMPU.SERV.PROCESAMI</v>
      </c>
      <c r="F57" s="21" t="s">
        <v>214</v>
      </c>
      <c r="G57" s="19" t="s">
        <v>55</v>
      </c>
      <c r="H57" s="19" t="s">
        <v>96</v>
      </c>
      <c r="I57" s="21">
        <v>0</v>
      </c>
      <c r="J57" s="19" t="s">
        <v>55</v>
      </c>
      <c r="K57" s="19" t="s">
        <v>98</v>
      </c>
      <c r="L57" s="19" t="s">
        <v>55</v>
      </c>
      <c r="M57" s="19" t="s">
        <v>55</v>
      </c>
    </row>
    <row r="58" spans="1:13">
      <c r="A58" s="19" t="s">
        <v>48</v>
      </c>
      <c r="B58" s="19" t="s">
        <v>49</v>
      </c>
      <c r="C58" s="19" t="s">
        <v>50</v>
      </c>
      <c r="D58" s="20" t="s">
        <v>215</v>
      </c>
      <c r="E58" s="21" t="str">
        <f t="shared" si="0"/>
        <v>C:CARGO A:ABONO</v>
      </c>
      <c r="F58" s="21" t="s">
        <v>216</v>
      </c>
      <c r="G58" s="19" t="s">
        <v>55</v>
      </c>
      <c r="H58" s="19" t="s">
        <v>96</v>
      </c>
      <c r="I58" s="21" t="s">
        <v>217</v>
      </c>
      <c r="J58" s="19" t="s">
        <v>55</v>
      </c>
      <c r="K58" s="19" t="s">
        <v>98</v>
      </c>
      <c r="L58" s="19" t="s">
        <v>55</v>
      </c>
      <c r="M58" s="19" t="s">
        <v>55</v>
      </c>
    </row>
    <row r="59" spans="1:13">
      <c r="A59" s="19" t="s">
        <v>48</v>
      </c>
      <c r="B59" s="19" t="s">
        <v>49</v>
      </c>
      <c r="C59" s="19" t="s">
        <v>50</v>
      </c>
      <c r="D59" s="20" t="s">
        <v>218</v>
      </c>
      <c r="E59" s="21" t="str">
        <f t="shared" si="0"/>
        <v>SDO EMISOR SOLES</v>
      </c>
      <c r="F59" s="21" t="s">
        <v>219</v>
      </c>
      <c r="G59" s="19" t="s">
        <v>55</v>
      </c>
      <c r="H59" s="19" t="s">
        <v>96</v>
      </c>
      <c r="I59" s="21">
        <v>0</v>
      </c>
      <c r="J59" s="19" t="s">
        <v>55</v>
      </c>
      <c r="K59" s="19" t="s">
        <v>98</v>
      </c>
      <c r="L59" s="19" t="s">
        <v>55</v>
      </c>
      <c r="M59" s="19" t="s">
        <v>55</v>
      </c>
    </row>
    <row r="60" spans="1:13">
      <c r="A60" s="19" t="s">
        <v>48</v>
      </c>
      <c r="B60" s="19" t="s">
        <v>49</v>
      </c>
      <c r="C60" s="19" t="s">
        <v>50</v>
      </c>
      <c r="D60" s="20" t="s">
        <v>220</v>
      </c>
      <c r="E60" s="21" t="str">
        <f t="shared" si="0"/>
        <v>FACTURAC ESPECIAL</v>
      </c>
      <c r="F60" s="21" t="s">
        <v>221</v>
      </c>
      <c r="G60" s="19" t="s">
        <v>55</v>
      </c>
      <c r="H60" s="19" t="s">
        <v>96</v>
      </c>
      <c r="I60" s="21"/>
      <c r="J60" s="19" t="s">
        <v>55</v>
      </c>
      <c r="K60" s="19" t="s">
        <v>98</v>
      </c>
      <c r="L60" s="19" t="s">
        <v>55</v>
      </c>
      <c r="M60" s="19" t="s">
        <v>55</v>
      </c>
    </row>
    <row r="61" spans="1:13">
      <c r="A61" s="19" t="s">
        <v>48</v>
      </c>
      <c r="B61" s="19" t="s">
        <v>49</v>
      </c>
      <c r="C61" s="19" t="s">
        <v>50</v>
      </c>
      <c r="D61" s="20" t="s">
        <v>222</v>
      </c>
      <c r="E61" s="21" t="str">
        <f t="shared" si="0"/>
        <v>LIMITE PISO</v>
      </c>
      <c r="F61" s="21" t="s">
        <v>223</v>
      </c>
      <c r="G61" s="19" t="s">
        <v>55</v>
      </c>
      <c r="H61" s="19" t="s">
        <v>96</v>
      </c>
      <c r="I61" s="21">
        <v>0</v>
      </c>
      <c r="J61" s="19" t="s">
        <v>55</v>
      </c>
      <c r="K61" s="19" t="s">
        <v>98</v>
      </c>
      <c r="L61" s="19" t="s">
        <v>55</v>
      </c>
      <c r="M61" s="19" t="s">
        <v>55</v>
      </c>
    </row>
    <row r="62" spans="1:13">
      <c r="A62" s="19" t="s">
        <v>48</v>
      </c>
      <c r="B62" s="19" t="s">
        <v>49</v>
      </c>
      <c r="C62" s="19" t="s">
        <v>50</v>
      </c>
      <c r="D62" s="20" t="s">
        <v>224</v>
      </c>
      <c r="E62" s="21" t="str">
        <f t="shared" si="0"/>
        <v>CLASE FACTURADOR</v>
      </c>
      <c r="F62" s="21" t="s">
        <v>225</v>
      </c>
      <c r="G62" s="19" t="s">
        <v>55</v>
      </c>
      <c r="H62" s="19" t="s">
        <v>96</v>
      </c>
      <c r="I62" s="21">
        <v>1</v>
      </c>
      <c r="J62" s="19" t="s">
        <v>55</v>
      </c>
      <c r="K62" s="19" t="s">
        <v>98</v>
      </c>
      <c r="L62" s="19" t="s">
        <v>55</v>
      </c>
      <c r="M62" s="19" t="s">
        <v>55</v>
      </c>
    </row>
    <row r="63" spans="1:13">
      <c r="A63" s="19" t="s">
        <v>48</v>
      </c>
      <c r="B63" s="19" t="s">
        <v>49</v>
      </c>
      <c r="C63" s="19" t="s">
        <v>50</v>
      </c>
      <c r="D63" s="20" t="s">
        <v>226</v>
      </c>
      <c r="E63" s="21" t="str">
        <f t="shared" si="0"/>
        <v>FEC.PRO.REFERENCIA</v>
      </c>
      <c r="F63" s="21" t="s">
        <v>227</v>
      </c>
      <c r="G63" s="19" t="s">
        <v>55</v>
      </c>
      <c r="H63" s="19" t="s">
        <v>96</v>
      </c>
      <c r="I63" s="21">
        <v>0</v>
      </c>
      <c r="J63" s="19" t="s">
        <v>55</v>
      </c>
      <c r="K63" s="19" t="s">
        <v>98</v>
      </c>
      <c r="L63" s="19" t="s">
        <v>55</v>
      </c>
      <c r="M63" s="19" t="s">
        <v>55</v>
      </c>
    </row>
    <row r="64" spans="1:13">
      <c r="A64" s="19" t="s">
        <v>48</v>
      </c>
      <c r="B64" s="19" t="s">
        <v>49</v>
      </c>
      <c r="C64" s="19" t="s">
        <v>50</v>
      </c>
      <c r="D64" s="20" t="s">
        <v>228</v>
      </c>
      <c r="E64" s="21" t="str">
        <f t="shared" si="0"/>
        <v>FORMA PAGO</v>
      </c>
      <c r="F64" s="21" t="s">
        <v>229</v>
      </c>
      <c r="G64" s="19" t="s">
        <v>55</v>
      </c>
      <c r="H64" s="19" t="s">
        <v>96</v>
      </c>
      <c r="I64" s="21">
        <v>1</v>
      </c>
      <c r="J64" s="19" t="s">
        <v>55</v>
      </c>
      <c r="K64" s="19" t="s">
        <v>98</v>
      </c>
      <c r="L64" s="19" t="s">
        <v>55</v>
      </c>
      <c r="M64" s="19" t="s">
        <v>55</v>
      </c>
    </row>
    <row r="65" spans="1:13">
      <c r="A65" s="19" t="s">
        <v>48</v>
      </c>
      <c r="B65" s="19" t="s">
        <v>49</v>
      </c>
      <c r="C65" s="19" t="s">
        <v>50</v>
      </c>
      <c r="D65" s="20" t="s">
        <v>230</v>
      </c>
      <c r="E65" s="21" t="str">
        <f t="shared" si="0"/>
        <v>MES PAGO DIFERIDO</v>
      </c>
      <c r="F65" s="21" t="s">
        <v>231</v>
      </c>
      <c r="G65" s="19" t="s">
        <v>55</v>
      </c>
      <c r="H65" s="19" t="s">
        <v>96</v>
      </c>
      <c r="I65" s="21"/>
      <c r="J65" s="19" t="s">
        <v>55</v>
      </c>
      <c r="K65" s="19" t="s">
        <v>98</v>
      </c>
      <c r="L65" s="19" t="s">
        <v>55</v>
      </c>
      <c r="M65" s="19" t="s">
        <v>55</v>
      </c>
    </row>
    <row r="66" spans="1:13">
      <c r="A66" s="19" t="s">
        <v>48</v>
      </c>
      <c r="B66" s="19" t="s">
        <v>49</v>
      </c>
      <c r="C66" s="19" t="s">
        <v>50</v>
      </c>
      <c r="D66" s="20" t="s">
        <v>232</v>
      </c>
      <c r="E66" s="21" t="str">
        <f t="shared" si="0"/>
        <v>NRO CUOTAS</v>
      </c>
      <c r="F66" s="21" t="s">
        <v>233</v>
      </c>
      <c r="G66" s="19" t="s">
        <v>55</v>
      </c>
      <c r="H66" s="19" t="s">
        <v>96</v>
      </c>
      <c r="I66" s="21"/>
      <c r="J66" s="19" t="s">
        <v>55</v>
      </c>
      <c r="K66" s="19" t="s">
        <v>98</v>
      </c>
      <c r="L66" s="19" t="s">
        <v>55</v>
      </c>
      <c r="M66" s="19" t="s">
        <v>55</v>
      </c>
    </row>
    <row r="67" spans="1:13">
      <c r="A67" s="19" t="s">
        <v>48</v>
      </c>
      <c r="B67" s="19" t="s">
        <v>49</v>
      </c>
      <c r="C67" s="19" t="s">
        <v>50</v>
      </c>
      <c r="D67" s="20" t="s">
        <v>234</v>
      </c>
      <c r="E67" s="21" t="str">
        <f t="shared" si="0"/>
        <v>VALOR DE CUOTA</v>
      </c>
      <c r="F67" s="21" t="s">
        <v>235</v>
      </c>
      <c r="G67" s="19" t="s">
        <v>55</v>
      </c>
      <c r="H67" s="19" t="s">
        <v>96</v>
      </c>
      <c r="I67" s="21">
        <v>0</v>
      </c>
      <c r="J67" s="19" t="s">
        <v>55</v>
      </c>
      <c r="K67" s="19" t="s">
        <v>98</v>
      </c>
      <c r="L67" s="19" t="s">
        <v>55</v>
      </c>
      <c r="M67" s="19" t="s">
        <v>55</v>
      </c>
    </row>
    <row r="68" spans="1:13">
      <c r="A68" s="19" t="s">
        <v>48</v>
      </c>
      <c r="B68" s="19" t="s">
        <v>49</v>
      </c>
      <c r="C68" s="19" t="s">
        <v>50</v>
      </c>
      <c r="D68" s="20" t="s">
        <v>236</v>
      </c>
      <c r="E68" s="21" t="str">
        <f t="shared" ref="E68:E131" si="1">UPPER(F68)</f>
        <v>FECHA 1RA CUOTA</v>
      </c>
      <c r="F68" s="21" t="s">
        <v>237</v>
      </c>
      <c r="G68" s="19" t="s">
        <v>55</v>
      </c>
      <c r="H68" s="19" t="s">
        <v>96</v>
      </c>
      <c r="I68" s="22">
        <v>0</v>
      </c>
      <c r="J68" s="19" t="s">
        <v>55</v>
      </c>
      <c r="K68" s="19" t="s">
        <v>98</v>
      </c>
      <c r="L68" s="19" t="s">
        <v>55</v>
      </c>
      <c r="M68" s="19" t="s">
        <v>55</v>
      </c>
    </row>
    <row r="69" spans="1:13">
      <c r="A69" s="19" t="s">
        <v>48</v>
      </c>
      <c r="B69" s="19" t="s">
        <v>49</v>
      </c>
      <c r="C69" s="19" t="s">
        <v>50</v>
      </c>
      <c r="D69" s="20" t="s">
        <v>238</v>
      </c>
      <c r="E69" s="21" t="str">
        <f t="shared" si="1"/>
        <v>AUTORIZADO EN OLA</v>
      </c>
      <c r="F69" s="21" t="s">
        <v>239</v>
      </c>
      <c r="G69" s="19" t="s">
        <v>55</v>
      </c>
      <c r="H69" s="19" t="s">
        <v>96</v>
      </c>
      <c r="I69" s="22" t="s">
        <v>240</v>
      </c>
      <c r="J69" s="19" t="s">
        <v>55</v>
      </c>
      <c r="K69" s="19" t="s">
        <v>98</v>
      </c>
      <c r="L69" s="19" t="s">
        <v>55</v>
      </c>
      <c r="M69" s="19" t="s">
        <v>55</v>
      </c>
    </row>
    <row r="70" spans="1:13">
      <c r="A70" s="19" t="s">
        <v>48</v>
      </c>
      <c r="B70" s="19" t="s">
        <v>49</v>
      </c>
      <c r="C70" s="19" t="s">
        <v>50</v>
      </c>
      <c r="D70" s="20" t="s">
        <v>241</v>
      </c>
      <c r="E70" s="21" t="str">
        <f t="shared" si="1"/>
        <v>$FLAT "FEE"</v>
      </c>
      <c r="F70" s="21" t="s">
        <v>242</v>
      </c>
      <c r="G70" s="19" t="s">
        <v>55</v>
      </c>
      <c r="H70" s="19" t="s">
        <v>96</v>
      </c>
      <c r="I70" s="21">
        <v>0</v>
      </c>
      <c r="J70" s="19" t="s">
        <v>55</v>
      </c>
      <c r="K70" s="19" t="s">
        <v>98</v>
      </c>
      <c r="L70" s="19" t="s">
        <v>55</v>
      </c>
      <c r="M70" s="19" t="s">
        <v>55</v>
      </c>
    </row>
    <row r="71" spans="1:13">
      <c r="A71" s="19" t="s">
        <v>48</v>
      </c>
      <c r="B71" s="19" t="s">
        <v>49</v>
      </c>
      <c r="C71" s="19" t="s">
        <v>50</v>
      </c>
      <c r="D71" s="20" t="s">
        <v>243</v>
      </c>
      <c r="E71" s="21" t="str">
        <f t="shared" si="1"/>
        <v>T.CAMBIO PROCESO</v>
      </c>
      <c r="F71" s="21" t="s">
        <v>244</v>
      </c>
      <c r="G71" s="19" t="s">
        <v>55</v>
      </c>
      <c r="H71" s="19" t="s">
        <v>96</v>
      </c>
      <c r="I71" s="21">
        <v>3.806</v>
      </c>
      <c r="J71" s="19" t="s">
        <v>55</v>
      </c>
      <c r="K71" s="19" t="s">
        <v>98</v>
      </c>
      <c r="L71" s="19" t="s">
        <v>55</v>
      </c>
      <c r="M71" s="19" t="s">
        <v>55</v>
      </c>
    </row>
    <row r="72" spans="1:13">
      <c r="A72" s="19" t="s">
        <v>48</v>
      </c>
      <c r="B72" s="19" t="s">
        <v>49</v>
      </c>
      <c r="C72" s="19" t="s">
        <v>50</v>
      </c>
      <c r="D72" s="20" t="s">
        <v>245</v>
      </c>
      <c r="E72" s="21" t="str">
        <f t="shared" si="1"/>
        <v>FREC PROCESO EMISOR</v>
      </c>
      <c r="F72" s="21" t="s">
        <v>246</v>
      </c>
      <c r="G72" s="19" t="s">
        <v>55</v>
      </c>
      <c r="H72" s="19" t="s">
        <v>96</v>
      </c>
      <c r="I72" s="21" t="s">
        <v>247</v>
      </c>
      <c r="J72" s="19" t="s">
        <v>55</v>
      </c>
      <c r="K72" s="19" t="s">
        <v>98</v>
      </c>
      <c r="L72" s="19" t="s">
        <v>55</v>
      </c>
      <c r="M72" s="19" t="s">
        <v>55</v>
      </c>
    </row>
    <row r="73" spans="1:13">
      <c r="A73" s="19" t="s">
        <v>48</v>
      </c>
      <c r="B73" s="19" t="s">
        <v>49</v>
      </c>
      <c r="C73" s="19" t="s">
        <v>50</v>
      </c>
      <c r="D73" s="20" t="s">
        <v>248</v>
      </c>
      <c r="E73" s="21" t="str">
        <f t="shared" si="1"/>
        <v>FECH PROCESO EMISOR</v>
      </c>
      <c r="F73" s="21" t="s">
        <v>249</v>
      </c>
      <c r="G73" s="19" t="s">
        <v>55</v>
      </c>
      <c r="H73" s="19" t="s">
        <v>96</v>
      </c>
      <c r="I73" s="21">
        <v>20240623</v>
      </c>
      <c r="J73" s="19" t="s">
        <v>55</v>
      </c>
      <c r="K73" s="19" t="s">
        <v>98</v>
      </c>
      <c r="L73" s="19" t="s">
        <v>55</v>
      </c>
      <c r="M73" s="19" t="s">
        <v>55</v>
      </c>
    </row>
    <row r="74" spans="1:13">
      <c r="A74" s="19" t="s">
        <v>48</v>
      </c>
      <c r="B74" s="19" t="s">
        <v>49</v>
      </c>
      <c r="C74" s="19" t="s">
        <v>50</v>
      </c>
      <c r="D74" s="20" t="s">
        <v>250</v>
      </c>
      <c r="E74" s="21" t="str">
        <f t="shared" si="1"/>
        <v>FECHA INGRESO</v>
      </c>
      <c r="F74" s="21" t="s">
        <v>251</v>
      </c>
      <c r="G74" s="19" t="s">
        <v>55</v>
      </c>
      <c r="H74" s="19" t="s">
        <v>96</v>
      </c>
      <c r="I74" s="21">
        <v>20240623</v>
      </c>
      <c r="J74" s="19" t="s">
        <v>55</v>
      </c>
      <c r="K74" s="19" t="s">
        <v>98</v>
      </c>
      <c r="L74" s="19" t="s">
        <v>55</v>
      </c>
      <c r="M74" s="19" t="s">
        <v>55</v>
      </c>
    </row>
    <row r="75" spans="1:13">
      <c r="A75" s="19" t="s">
        <v>48</v>
      </c>
      <c r="B75" s="19" t="s">
        <v>49</v>
      </c>
      <c r="C75" s="19" t="s">
        <v>50</v>
      </c>
      <c r="D75" s="20" t="s">
        <v>252</v>
      </c>
      <c r="E75" s="21" t="str">
        <f t="shared" si="1"/>
        <v>TIPO:FAC,N/C</v>
      </c>
      <c r="F75" s="21" t="s">
        <v>253</v>
      </c>
      <c r="G75" s="19" t="s">
        <v>55</v>
      </c>
      <c r="H75" s="19" t="s">
        <v>96</v>
      </c>
      <c r="I75" s="21"/>
      <c r="J75" s="19" t="s">
        <v>55</v>
      </c>
      <c r="K75" s="19" t="s">
        <v>98</v>
      </c>
      <c r="L75" s="19" t="s">
        <v>55</v>
      </c>
      <c r="M75" s="19" t="s">
        <v>55</v>
      </c>
    </row>
    <row r="76" spans="1:13">
      <c r="A76" s="19" t="s">
        <v>48</v>
      </c>
      <c r="B76" s="19" t="s">
        <v>49</v>
      </c>
      <c r="C76" s="19" t="s">
        <v>50</v>
      </c>
      <c r="D76" s="20" t="s">
        <v>254</v>
      </c>
      <c r="E76" s="21" t="str">
        <f t="shared" si="1"/>
        <v>NRO COMPROB PAGO</v>
      </c>
      <c r="F76" s="21" t="s">
        <v>255</v>
      </c>
      <c r="G76" s="19" t="s">
        <v>55</v>
      </c>
      <c r="H76" s="19" t="s">
        <v>96</v>
      </c>
      <c r="I76" s="21">
        <v>0</v>
      </c>
      <c r="J76" s="19" t="s">
        <v>55</v>
      </c>
      <c r="K76" s="19" t="s">
        <v>98</v>
      </c>
      <c r="L76" s="19" t="s">
        <v>55</v>
      </c>
      <c r="M76" s="19" t="s">
        <v>55</v>
      </c>
    </row>
    <row r="77" spans="1:13">
      <c r="A77" s="19" t="s">
        <v>48</v>
      </c>
      <c r="B77" s="19" t="s">
        <v>49</v>
      </c>
      <c r="C77" s="19" t="s">
        <v>50</v>
      </c>
      <c r="D77" s="20" t="s">
        <v>256</v>
      </c>
      <c r="E77" s="21" t="str">
        <f t="shared" si="1"/>
        <v>SERV.INTERCAM.LOCAL</v>
      </c>
      <c r="F77" s="21" t="s">
        <v>257</v>
      </c>
      <c r="G77" s="19" t="s">
        <v>55</v>
      </c>
      <c r="H77" s="19" t="s">
        <v>96</v>
      </c>
      <c r="I77" s="21">
        <v>0</v>
      </c>
      <c r="J77" s="19" t="s">
        <v>55</v>
      </c>
      <c r="K77" s="19" t="s">
        <v>98</v>
      </c>
      <c r="L77" s="19" t="s">
        <v>55</v>
      </c>
      <c r="M77" s="19" t="s">
        <v>55</v>
      </c>
    </row>
    <row r="78" spans="1:13">
      <c r="A78" s="19" t="s">
        <v>48</v>
      </c>
      <c r="B78" s="19" t="s">
        <v>49</v>
      </c>
      <c r="C78" s="19" t="s">
        <v>50</v>
      </c>
      <c r="D78" s="20" t="s">
        <v>258</v>
      </c>
      <c r="E78" s="21" t="str">
        <f t="shared" si="1"/>
        <v>IMPU.INTERCAM.LOCAL</v>
      </c>
      <c r="F78" s="21" t="s">
        <v>259</v>
      </c>
      <c r="G78" s="19" t="s">
        <v>55</v>
      </c>
      <c r="H78" s="19" t="s">
        <v>96</v>
      </c>
      <c r="I78" s="21">
        <v>0</v>
      </c>
      <c r="J78" s="19" t="s">
        <v>55</v>
      </c>
      <c r="K78" s="19" t="s">
        <v>98</v>
      </c>
      <c r="L78" s="19" t="s">
        <v>55</v>
      </c>
      <c r="M78" s="19" t="s">
        <v>55</v>
      </c>
    </row>
    <row r="79" spans="1:13">
      <c r="A79" s="19" t="s">
        <v>48</v>
      </c>
      <c r="B79" s="19" t="s">
        <v>49</v>
      </c>
      <c r="C79" s="19" t="s">
        <v>50</v>
      </c>
      <c r="D79" s="20" t="s">
        <v>260</v>
      </c>
      <c r="E79" s="21" t="str">
        <f t="shared" si="1"/>
        <v>NETO1 ESTABLECIM</v>
      </c>
      <c r="F79" s="21" t="s">
        <v>261</v>
      </c>
      <c r="G79" s="19" t="s">
        <v>55</v>
      </c>
      <c r="H79" s="19" t="s">
        <v>96</v>
      </c>
      <c r="I79" s="21">
        <v>0</v>
      </c>
      <c r="J79" s="19" t="s">
        <v>55</v>
      </c>
      <c r="K79" s="19" t="s">
        <v>98</v>
      </c>
      <c r="L79" s="19" t="s">
        <v>55</v>
      </c>
      <c r="M79" s="19" t="s">
        <v>55</v>
      </c>
    </row>
    <row r="80" spans="1:13">
      <c r="A80" s="19" t="s">
        <v>48</v>
      </c>
      <c r="B80" s="19" t="s">
        <v>49</v>
      </c>
      <c r="C80" s="19" t="s">
        <v>50</v>
      </c>
      <c r="D80" s="20" t="s">
        <v>262</v>
      </c>
      <c r="E80" s="21" t="str">
        <f t="shared" si="1"/>
        <v>FECHA AUTORIZACION</v>
      </c>
      <c r="F80" s="21" t="s">
        <v>263</v>
      </c>
      <c r="G80" s="19" t="s">
        <v>55</v>
      </c>
      <c r="H80" s="19" t="s">
        <v>96</v>
      </c>
      <c r="I80" s="21">
        <v>20240622</v>
      </c>
      <c r="J80" s="19" t="s">
        <v>55</v>
      </c>
      <c r="K80" s="19" t="s">
        <v>98</v>
      </c>
      <c r="L80" s="19" t="s">
        <v>55</v>
      </c>
      <c r="M80" s="19" t="s">
        <v>55</v>
      </c>
    </row>
    <row r="81" spans="1:13">
      <c r="A81" s="19" t="s">
        <v>48</v>
      </c>
      <c r="B81" s="19" t="s">
        <v>49</v>
      </c>
      <c r="C81" s="19" t="s">
        <v>50</v>
      </c>
      <c r="D81" s="20" t="s">
        <v>264</v>
      </c>
      <c r="E81" s="21" t="str">
        <f t="shared" si="1"/>
        <v>IMPORTE AUTORIZADO</v>
      </c>
      <c r="F81" s="21" t="s">
        <v>265</v>
      </c>
      <c r="G81" s="19" t="s">
        <v>55</v>
      </c>
      <c r="H81" s="19" t="s">
        <v>96</v>
      </c>
      <c r="I81" s="21">
        <v>6</v>
      </c>
      <c r="J81" s="19" t="s">
        <v>55</v>
      </c>
      <c r="K81" s="19" t="s">
        <v>98</v>
      </c>
      <c r="L81" s="19" t="s">
        <v>55</v>
      </c>
      <c r="M81" s="19" t="s">
        <v>55</v>
      </c>
    </row>
    <row r="82" spans="1:13">
      <c r="A82" s="19" t="s">
        <v>48</v>
      </c>
      <c r="B82" s="19" t="s">
        <v>49</v>
      </c>
      <c r="C82" s="19" t="s">
        <v>50</v>
      </c>
      <c r="D82" s="20" t="s">
        <v>266</v>
      </c>
      <c r="E82" s="21" t="str">
        <f t="shared" si="1"/>
        <v>FEC.ING.REFERENCIA</v>
      </c>
      <c r="F82" s="21" t="s">
        <v>267</v>
      </c>
      <c r="G82" s="19" t="s">
        <v>55</v>
      </c>
      <c r="H82" s="19" t="s">
        <v>96</v>
      </c>
      <c r="I82" s="21">
        <v>0</v>
      </c>
      <c r="J82" s="19" t="s">
        <v>55</v>
      </c>
      <c r="K82" s="19" t="s">
        <v>98</v>
      </c>
      <c r="L82" s="19" t="s">
        <v>55</v>
      </c>
      <c r="M82" s="19" t="s">
        <v>55</v>
      </c>
    </row>
    <row r="83" spans="1:13">
      <c r="A83" s="19" t="s">
        <v>48</v>
      </c>
      <c r="B83" s="19" t="s">
        <v>49</v>
      </c>
      <c r="C83" s="19" t="s">
        <v>50</v>
      </c>
      <c r="D83" s="20" t="s">
        <v>268</v>
      </c>
      <c r="E83" s="21" t="str">
        <f t="shared" si="1"/>
        <v>LOTE REF</v>
      </c>
      <c r="F83" s="21" t="s">
        <v>269</v>
      </c>
      <c r="G83" s="19" t="s">
        <v>55</v>
      </c>
      <c r="H83" s="19" t="s">
        <v>96</v>
      </c>
      <c r="I83" s="21">
        <v>0</v>
      </c>
      <c r="J83" s="19" t="s">
        <v>55</v>
      </c>
      <c r="K83" s="19" t="s">
        <v>98</v>
      </c>
      <c r="L83" s="19" t="s">
        <v>55</v>
      </c>
      <c r="M83" s="19" t="s">
        <v>55</v>
      </c>
    </row>
    <row r="84" spans="1:13">
      <c r="A84" s="19" t="s">
        <v>48</v>
      </c>
      <c r="B84" s="19" t="s">
        <v>49</v>
      </c>
      <c r="C84" s="19" t="s">
        <v>50</v>
      </c>
      <c r="D84" s="20" t="s">
        <v>270</v>
      </c>
      <c r="E84" s="21" t="str">
        <f t="shared" si="1"/>
        <v>ITEM REF</v>
      </c>
      <c r="F84" s="21" t="s">
        <v>271</v>
      </c>
      <c r="G84" s="19" t="s">
        <v>55</v>
      </c>
      <c r="H84" s="19" t="s">
        <v>96</v>
      </c>
      <c r="I84" s="21">
        <v>0</v>
      </c>
      <c r="J84" s="19" t="s">
        <v>55</v>
      </c>
      <c r="K84" s="19" t="s">
        <v>98</v>
      </c>
      <c r="L84" s="19" t="s">
        <v>55</v>
      </c>
      <c r="M84" s="19" t="s">
        <v>55</v>
      </c>
    </row>
    <row r="85" spans="1:13">
      <c r="A85" s="19" t="s">
        <v>48</v>
      </c>
      <c r="B85" s="19" t="s">
        <v>49</v>
      </c>
      <c r="C85" s="19" t="s">
        <v>50</v>
      </c>
      <c r="D85" s="20" t="s">
        <v>272</v>
      </c>
      <c r="E85" s="21" t="str">
        <f t="shared" si="1"/>
        <v>ESTAB PLAZA VEA</v>
      </c>
      <c r="F85" s="21" t="s">
        <v>273</v>
      </c>
      <c r="G85" s="19" t="s">
        <v>55</v>
      </c>
      <c r="H85" s="19" t="s">
        <v>96</v>
      </c>
      <c r="I85" s="21"/>
      <c r="J85" s="19" t="s">
        <v>55</v>
      </c>
      <c r="K85" s="19" t="s">
        <v>98</v>
      </c>
      <c r="L85" s="19" t="s">
        <v>55</v>
      </c>
      <c r="M85" s="19" t="s">
        <v>55</v>
      </c>
    </row>
    <row r="86" spans="1:13">
      <c r="A86" s="19" t="s">
        <v>48</v>
      </c>
      <c r="B86" s="19" t="s">
        <v>49</v>
      </c>
      <c r="C86" s="19" t="s">
        <v>50</v>
      </c>
      <c r="D86" s="20" t="s">
        <v>274</v>
      </c>
      <c r="E86" s="21" t="str">
        <f t="shared" si="1"/>
        <v>SUB PROD/GCMS</v>
      </c>
      <c r="F86" s="21" t="s">
        <v>275</v>
      </c>
      <c r="G86" s="19" t="s">
        <v>55</v>
      </c>
      <c r="H86" s="19" t="s">
        <v>96</v>
      </c>
      <c r="I86" s="21" t="s">
        <v>276</v>
      </c>
      <c r="J86" s="19" t="s">
        <v>55</v>
      </c>
      <c r="K86" s="19" t="s">
        <v>98</v>
      </c>
      <c r="L86" s="19" t="s">
        <v>55</v>
      </c>
      <c r="M86" s="19" t="s">
        <v>55</v>
      </c>
    </row>
    <row r="87" spans="1:13">
      <c r="A87" s="19" t="s">
        <v>48</v>
      </c>
      <c r="B87" s="19" t="s">
        <v>49</v>
      </c>
      <c r="C87" s="19" t="s">
        <v>50</v>
      </c>
      <c r="D87" s="20" t="s">
        <v>277</v>
      </c>
      <c r="E87" s="21" t="str">
        <f t="shared" si="1"/>
        <v>FECHA ABONO REAL</v>
      </c>
      <c r="F87" s="21" t="s">
        <v>278</v>
      </c>
      <c r="G87" s="19" t="s">
        <v>55</v>
      </c>
      <c r="H87" s="19" t="s">
        <v>96</v>
      </c>
      <c r="I87" s="21">
        <v>20240625</v>
      </c>
      <c r="J87" s="19" t="s">
        <v>55</v>
      </c>
      <c r="K87" s="19" t="s">
        <v>98</v>
      </c>
      <c r="L87" s="19" t="s">
        <v>55</v>
      </c>
      <c r="M87" s="19" t="s">
        <v>55</v>
      </c>
    </row>
    <row r="88" spans="1:13">
      <c r="A88" s="19" t="s">
        <v>48</v>
      </c>
      <c r="B88" s="19" t="s">
        <v>49</v>
      </c>
      <c r="C88" s="19" t="s">
        <v>50</v>
      </c>
      <c r="D88" s="20" t="s">
        <v>279</v>
      </c>
      <c r="E88" s="21" t="str">
        <f t="shared" si="1"/>
        <v>NRO DIAS ABONO</v>
      </c>
      <c r="F88" s="21" t="s">
        <v>280</v>
      </c>
      <c r="G88" s="19" t="s">
        <v>55</v>
      </c>
      <c r="H88" s="19" t="s">
        <v>96</v>
      </c>
      <c r="I88" s="21">
        <v>2</v>
      </c>
      <c r="J88" s="19" t="s">
        <v>55</v>
      </c>
      <c r="K88" s="19" t="s">
        <v>98</v>
      </c>
      <c r="L88" s="19" t="s">
        <v>55</v>
      </c>
      <c r="M88" s="19" t="s">
        <v>55</v>
      </c>
    </row>
    <row r="89" spans="1:13">
      <c r="A89" s="19" t="s">
        <v>48</v>
      </c>
      <c r="B89" s="19" t="s">
        <v>49</v>
      </c>
      <c r="C89" s="19" t="s">
        <v>50</v>
      </c>
      <c r="D89" s="20" t="s">
        <v>281</v>
      </c>
      <c r="E89" s="21" t="str">
        <f t="shared" si="1"/>
        <v>CAMPAÑA EMISOR</v>
      </c>
      <c r="F89" s="21" t="s">
        <v>282</v>
      </c>
      <c r="G89" s="19" t="s">
        <v>55</v>
      </c>
      <c r="H89" s="19" t="s">
        <v>96</v>
      </c>
      <c r="I89" s="21"/>
      <c r="J89" s="19" t="s">
        <v>55</v>
      </c>
      <c r="K89" s="19" t="s">
        <v>98</v>
      </c>
      <c r="L89" s="19" t="s">
        <v>55</v>
      </c>
      <c r="M89" s="19" t="s">
        <v>55</v>
      </c>
    </row>
    <row r="90" spans="1:13">
      <c r="A90" s="19" t="s">
        <v>48</v>
      </c>
      <c r="B90" s="19" t="s">
        <v>49</v>
      </c>
      <c r="C90" s="19" t="s">
        <v>50</v>
      </c>
      <c r="D90" s="20" t="s">
        <v>283</v>
      </c>
      <c r="E90" s="21" t="str">
        <f t="shared" si="1"/>
        <v>TIEMPO RESPUESTA</v>
      </c>
      <c r="F90" s="21" t="s">
        <v>284</v>
      </c>
      <c r="G90" s="19" t="s">
        <v>55</v>
      </c>
      <c r="H90" s="19" t="s">
        <v>96</v>
      </c>
      <c r="I90" s="21">
        <v>0</v>
      </c>
      <c r="J90" s="19" t="s">
        <v>55</v>
      </c>
      <c r="K90" s="19" t="s">
        <v>98</v>
      </c>
      <c r="L90" s="19" t="s">
        <v>55</v>
      </c>
      <c r="M90" s="19" t="s">
        <v>55</v>
      </c>
    </row>
    <row r="91" spans="1:13">
      <c r="A91" s="19" t="s">
        <v>48</v>
      </c>
      <c r="B91" s="19" t="s">
        <v>49</v>
      </c>
      <c r="C91" s="19" t="s">
        <v>50</v>
      </c>
      <c r="D91" s="20" t="s">
        <v>285</v>
      </c>
      <c r="E91" s="21" t="str">
        <f t="shared" si="1"/>
        <v>HORA AUTORIZ</v>
      </c>
      <c r="F91" s="21" t="s">
        <v>286</v>
      </c>
      <c r="G91" s="19" t="s">
        <v>55</v>
      </c>
      <c r="H91" s="19" t="s">
        <v>96</v>
      </c>
      <c r="I91" s="21">
        <v>202704</v>
      </c>
      <c r="J91" s="19" t="s">
        <v>55</v>
      </c>
      <c r="K91" s="19" t="s">
        <v>98</v>
      </c>
      <c r="L91" s="19" t="s">
        <v>55</v>
      </c>
      <c r="M91" s="19" t="s">
        <v>55</v>
      </c>
    </row>
    <row r="92" spans="1:13">
      <c r="A92" s="19" t="s">
        <v>48</v>
      </c>
      <c r="B92" s="19" t="s">
        <v>49</v>
      </c>
      <c r="C92" s="19" t="s">
        <v>50</v>
      </c>
      <c r="D92" s="20" t="s">
        <v>287</v>
      </c>
      <c r="E92" s="21" t="str">
        <f t="shared" si="1"/>
        <v>AGENTE IATA</v>
      </c>
      <c r="F92" s="21" t="s">
        <v>288</v>
      </c>
      <c r="G92" s="19" t="s">
        <v>55</v>
      </c>
      <c r="H92" s="19" t="s">
        <v>96</v>
      </c>
      <c r="I92" s="21">
        <v>0</v>
      </c>
      <c r="J92" s="19" t="s">
        <v>55</v>
      </c>
      <c r="K92" s="19" t="s">
        <v>98</v>
      </c>
      <c r="L92" s="19" t="s">
        <v>55</v>
      </c>
      <c r="M92" s="19" t="s">
        <v>55</v>
      </c>
    </row>
    <row r="93" spans="1:13">
      <c r="A93" s="19" t="s">
        <v>48</v>
      </c>
      <c r="B93" s="19" t="s">
        <v>49</v>
      </c>
      <c r="C93" s="19" t="s">
        <v>50</v>
      </c>
      <c r="D93" s="20" t="s">
        <v>289</v>
      </c>
      <c r="E93" s="21" t="str">
        <f t="shared" si="1"/>
        <v>COD AEROLINEA</v>
      </c>
      <c r="F93" s="21" t="s">
        <v>290</v>
      </c>
      <c r="G93" s="19" t="s">
        <v>55</v>
      </c>
      <c r="H93" s="19" t="s">
        <v>96</v>
      </c>
      <c r="I93" s="21">
        <v>0</v>
      </c>
      <c r="J93" s="19" t="s">
        <v>55</v>
      </c>
      <c r="K93" s="19" t="s">
        <v>98</v>
      </c>
      <c r="L93" s="19" t="s">
        <v>55</v>
      </c>
      <c r="M93" s="19" t="s">
        <v>55</v>
      </c>
    </row>
    <row r="94" spans="1:13">
      <c r="A94" s="19" t="s">
        <v>48</v>
      </c>
      <c r="B94" s="19" t="s">
        <v>49</v>
      </c>
      <c r="C94" s="19" t="s">
        <v>50</v>
      </c>
      <c r="D94" s="20" t="s">
        <v>291</v>
      </c>
      <c r="E94" s="21" t="str">
        <f t="shared" si="1"/>
        <v>OPERACION IATA</v>
      </c>
      <c r="F94" s="21" t="s">
        <v>292</v>
      </c>
      <c r="G94" s="19" t="s">
        <v>55</v>
      </c>
      <c r="H94" s="19" t="s">
        <v>96</v>
      </c>
      <c r="I94" s="21">
        <v>0</v>
      </c>
      <c r="J94" s="19" t="s">
        <v>55</v>
      </c>
      <c r="K94" s="19" t="s">
        <v>98</v>
      </c>
      <c r="L94" s="19" t="s">
        <v>55</v>
      </c>
      <c r="M94" s="19" t="s">
        <v>55</v>
      </c>
    </row>
    <row r="95" spans="1:13">
      <c r="A95" s="19" t="s">
        <v>48</v>
      </c>
      <c r="B95" s="19" t="s">
        <v>49</v>
      </c>
      <c r="C95" s="19" t="s">
        <v>50</v>
      </c>
      <c r="D95" s="20" t="s">
        <v>293</v>
      </c>
      <c r="E95" s="21" t="str">
        <f t="shared" si="1"/>
        <v>1ER PENDIENTE</v>
      </c>
      <c r="F95" s="21" t="s">
        <v>294</v>
      </c>
      <c r="G95" s="19" t="s">
        <v>55</v>
      </c>
      <c r="H95" s="19" t="s">
        <v>96</v>
      </c>
      <c r="I95" s="21">
        <v>0</v>
      </c>
      <c r="J95" s="19" t="s">
        <v>55</v>
      </c>
      <c r="K95" s="19" t="s">
        <v>98</v>
      </c>
      <c r="L95" s="19" t="s">
        <v>55</v>
      </c>
      <c r="M95" s="19" t="s">
        <v>55</v>
      </c>
    </row>
    <row r="96" spans="1:13">
      <c r="A96" s="19" t="s">
        <v>48</v>
      </c>
      <c r="B96" s="19" t="s">
        <v>49</v>
      </c>
      <c r="C96" s="19" t="s">
        <v>50</v>
      </c>
      <c r="D96" s="20" t="s">
        <v>295</v>
      </c>
      <c r="E96" s="21" t="str">
        <f t="shared" si="1"/>
        <v>ICA EMISOR</v>
      </c>
      <c r="F96" s="21" t="s">
        <v>157</v>
      </c>
      <c r="G96" s="19" t="s">
        <v>55</v>
      </c>
      <c r="H96" s="19" t="s">
        <v>96</v>
      </c>
      <c r="I96" s="21">
        <v>31782</v>
      </c>
      <c r="J96" s="19" t="s">
        <v>55</v>
      </c>
      <c r="K96" s="19" t="s">
        <v>98</v>
      </c>
      <c r="L96" s="19" t="s">
        <v>55</v>
      </c>
      <c r="M96" s="19" t="s">
        <v>55</v>
      </c>
    </row>
    <row r="97" spans="1:13">
      <c r="A97" s="19" t="s">
        <v>48</v>
      </c>
      <c r="B97" s="19" t="s">
        <v>49</v>
      </c>
      <c r="C97" s="19" t="s">
        <v>50</v>
      </c>
      <c r="D97" s="20" t="s">
        <v>296</v>
      </c>
      <c r="E97" s="21" t="str">
        <f t="shared" si="1"/>
        <v>IRD</v>
      </c>
      <c r="F97" s="21" t="s">
        <v>297</v>
      </c>
      <c r="G97" s="19" t="s">
        <v>55</v>
      </c>
      <c r="H97" s="19" t="s">
        <v>96</v>
      </c>
      <c r="I97" s="21" t="s">
        <v>298</v>
      </c>
      <c r="J97" s="19" t="s">
        <v>55</v>
      </c>
      <c r="K97" s="19" t="s">
        <v>98</v>
      </c>
      <c r="L97" s="19" t="s">
        <v>55</v>
      </c>
      <c r="M97" s="19" t="s">
        <v>55</v>
      </c>
    </row>
    <row r="98" spans="1:13">
      <c r="A98" s="19" t="s">
        <v>48</v>
      </c>
      <c r="B98" s="19" t="s">
        <v>49</v>
      </c>
      <c r="C98" s="19" t="s">
        <v>50</v>
      </c>
      <c r="D98" s="20" t="s">
        <v>299</v>
      </c>
      <c r="E98" s="21" t="str">
        <f t="shared" si="1"/>
        <v>REGION</v>
      </c>
      <c r="F98" s="21" t="s">
        <v>300</v>
      </c>
      <c r="G98" s="19" t="s">
        <v>55</v>
      </c>
      <c r="H98" s="19" t="s">
        <v>96</v>
      </c>
      <c r="I98" s="21" t="s">
        <v>301</v>
      </c>
      <c r="J98" s="19" t="s">
        <v>55</v>
      </c>
      <c r="K98" s="19" t="s">
        <v>98</v>
      </c>
      <c r="L98" s="19" t="s">
        <v>55</v>
      </c>
      <c r="M98" s="19" t="s">
        <v>55</v>
      </c>
    </row>
    <row r="99" spans="1:13">
      <c r="A99" s="19" t="s">
        <v>48</v>
      </c>
      <c r="B99" s="19" t="s">
        <v>49</v>
      </c>
      <c r="C99" s="19" t="s">
        <v>50</v>
      </c>
      <c r="D99" s="20" t="s">
        <v>302</v>
      </c>
      <c r="E99" s="21" t="str">
        <f t="shared" si="1"/>
        <v>SERVICE CODE</v>
      </c>
      <c r="F99" s="21" t="s">
        <v>303</v>
      </c>
      <c r="G99" s="19" t="s">
        <v>55</v>
      </c>
      <c r="H99" s="19" t="s">
        <v>96</v>
      </c>
      <c r="I99" s="21">
        <v>221</v>
      </c>
      <c r="J99" s="19" t="s">
        <v>55</v>
      </c>
      <c r="K99" s="19" t="s">
        <v>98</v>
      </c>
      <c r="L99" s="19" t="s">
        <v>55</v>
      </c>
      <c r="M99" s="19" t="s">
        <v>55</v>
      </c>
    </row>
    <row r="100" spans="1:13">
      <c r="A100" s="19" t="s">
        <v>48</v>
      </c>
      <c r="B100" s="19" t="s">
        <v>49</v>
      </c>
      <c r="C100" s="19" t="s">
        <v>50</v>
      </c>
      <c r="D100" s="20" t="s">
        <v>304</v>
      </c>
      <c r="E100" s="21" t="str">
        <f t="shared" si="1"/>
        <v>PROTOC-AUTENT-UCAF</v>
      </c>
      <c r="F100" s="21" t="s">
        <v>305</v>
      </c>
      <c r="G100" s="19" t="s">
        <v>55</v>
      </c>
      <c r="H100" s="19" t="s">
        <v>96</v>
      </c>
      <c r="I100" s="21"/>
      <c r="J100" s="19" t="s">
        <v>55</v>
      </c>
      <c r="K100" s="19" t="s">
        <v>98</v>
      </c>
      <c r="L100" s="19" t="s">
        <v>55</v>
      </c>
      <c r="M100" s="19" t="s">
        <v>55</v>
      </c>
    </row>
    <row r="101" spans="1:13">
      <c r="A101" s="19" t="s">
        <v>48</v>
      </c>
      <c r="B101" s="19" t="s">
        <v>49</v>
      </c>
      <c r="C101" s="19" t="s">
        <v>50</v>
      </c>
      <c r="D101" s="20" t="s">
        <v>306</v>
      </c>
      <c r="E101" s="21" t="str">
        <f t="shared" si="1"/>
        <v>IMPO CASH</v>
      </c>
      <c r="F101" s="21" t="s">
        <v>307</v>
      </c>
      <c r="G101" s="19" t="s">
        <v>55</v>
      </c>
      <c r="H101" s="19" t="s">
        <v>96</v>
      </c>
      <c r="I101" s="21">
        <v>0</v>
      </c>
      <c r="J101" s="19" t="s">
        <v>55</v>
      </c>
      <c r="K101" s="19" t="s">
        <v>98</v>
      </c>
      <c r="L101" s="19" t="s">
        <v>55</v>
      </c>
      <c r="M101" s="19" t="s">
        <v>55</v>
      </c>
    </row>
    <row r="102" spans="1:13">
      <c r="A102" s="19" t="s">
        <v>48</v>
      </c>
      <c r="B102" s="19" t="s">
        <v>49</v>
      </c>
      <c r="C102" s="19" t="s">
        <v>50</v>
      </c>
      <c r="D102" s="20" t="s">
        <v>308</v>
      </c>
      <c r="E102" s="21" t="str">
        <f t="shared" si="1"/>
        <v>COMIS CASH</v>
      </c>
      <c r="F102" s="21" t="s">
        <v>309</v>
      </c>
      <c r="G102" s="19" t="s">
        <v>55</v>
      </c>
      <c r="H102" s="19" t="s">
        <v>96</v>
      </c>
      <c r="I102" s="21">
        <v>0</v>
      </c>
      <c r="J102" s="19" t="s">
        <v>55</v>
      </c>
      <c r="K102" s="19" t="s">
        <v>98</v>
      </c>
      <c r="L102" s="19" t="s">
        <v>55</v>
      </c>
      <c r="M102" s="19" t="s">
        <v>55</v>
      </c>
    </row>
    <row r="103" spans="1:13">
      <c r="A103" s="19" t="s">
        <v>48</v>
      </c>
      <c r="B103" s="19" t="s">
        <v>49</v>
      </c>
      <c r="C103" s="19" t="s">
        <v>50</v>
      </c>
      <c r="D103" s="20" t="s">
        <v>310</v>
      </c>
      <c r="E103" s="21" t="str">
        <f t="shared" si="1"/>
        <v>TRACE SWITCH</v>
      </c>
      <c r="F103" s="21" t="s">
        <v>311</v>
      </c>
      <c r="G103" s="19" t="s">
        <v>55</v>
      </c>
      <c r="H103" s="19" t="s">
        <v>96</v>
      </c>
      <c r="I103" s="21">
        <v>285846</v>
      </c>
      <c r="J103" s="19" t="s">
        <v>55</v>
      </c>
      <c r="K103" s="19" t="s">
        <v>98</v>
      </c>
      <c r="L103" s="19" t="s">
        <v>55</v>
      </c>
      <c r="M103" s="19" t="s">
        <v>55</v>
      </c>
    </row>
    <row r="104" spans="1:13">
      <c r="A104" s="19" t="s">
        <v>48</v>
      </c>
      <c r="B104" s="19" t="s">
        <v>49</v>
      </c>
      <c r="C104" s="19" t="s">
        <v>50</v>
      </c>
      <c r="D104" s="20" t="s">
        <v>312</v>
      </c>
      <c r="E104" s="21" t="str">
        <f t="shared" si="1"/>
        <v>POS DATA CODE</v>
      </c>
      <c r="F104" s="21" t="s">
        <v>313</v>
      </c>
      <c r="G104" s="19" t="s">
        <v>55</v>
      </c>
      <c r="H104" s="19" t="s">
        <v>96</v>
      </c>
      <c r="I104" s="21" t="s">
        <v>314</v>
      </c>
      <c r="J104" s="19" t="s">
        <v>55</v>
      </c>
      <c r="K104" s="19" t="s">
        <v>98</v>
      </c>
      <c r="L104" s="19" t="s">
        <v>55</v>
      </c>
      <c r="M104" s="19" t="s">
        <v>55</v>
      </c>
    </row>
    <row r="105" spans="1:13">
      <c r="A105" s="19" t="s">
        <v>48</v>
      </c>
      <c r="B105" s="19" t="s">
        <v>49</v>
      </c>
      <c r="C105" s="19" t="s">
        <v>50</v>
      </c>
      <c r="D105" s="20" t="s">
        <v>315</v>
      </c>
      <c r="E105" s="21" t="str">
        <f t="shared" si="1"/>
        <v>TCC</v>
      </c>
      <c r="F105" s="21" t="s">
        <v>316</v>
      </c>
      <c r="G105" s="19" t="s">
        <v>55</v>
      </c>
      <c r="H105" s="19" t="s">
        <v>96</v>
      </c>
      <c r="I105" s="21" t="s">
        <v>317</v>
      </c>
      <c r="J105" s="19" t="s">
        <v>55</v>
      </c>
      <c r="K105" s="19" t="s">
        <v>98</v>
      </c>
      <c r="L105" s="19" t="s">
        <v>55</v>
      </c>
      <c r="M105" s="19" t="s">
        <v>55</v>
      </c>
    </row>
    <row r="106" spans="1:13">
      <c r="A106" s="19" t="s">
        <v>48</v>
      </c>
      <c r="B106" s="19" t="s">
        <v>49</v>
      </c>
      <c r="C106" s="19" t="s">
        <v>50</v>
      </c>
      <c r="D106" s="20" t="s">
        <v>318</v>
      </c>
      <c r="E106" s="21" t="str">
        <f t="shared" si="1"/>
        <v>TIPO CTA</v>
      </c>
      <c r="F106" s="21" t="s">
        <v>319</v>
      </c>
      <c r="G106" s="19" t="s">
        <v>55</v>
      </c>
      <c r="H106" s="19" t="s">
        <v>96</v>
      </c>
      <c r="I106" s="21"/>
      <c r="J106" s="19" t="s">
        <v>55</v>
      </c>
      <c r="K106" s="19" t="s">
        <v>98</v>
      </c>
      <c r="L106" s="19" t="s">
        <v>55</v>
      </c>
      <c r="M106" s="19" t="s">
        <v>55</v>
      </c>
    </row>
    <row r="107" spans="1:13">
      <c r="A107" s="19" t="s">
        <v>48</v>
      </c>
      <c r="B107" s="19" t="s">
        <v>49</v>
      </c>
      <c r="C107" s="19" t="s">
        <v>50</v>
      </c>
      <c r="D107" s="20" t="s">
        <v>320</v>
      </c>
      <c r="E107" s="21" t="str">
        <f t="shared" si="1"/>
        <v>ARN REFERENCIA</v>
      </c>
      <c r="F107" s="21" t="s">
        <v>321</v>
      </c>
      <c r="G107" s="19" t="s">
        <v>55</v>
      </c>
      <c r="H107" s="19" t="s">
        <v>96</v>
      </c>
      <c r="I107" s="21"/>
      <c r="J107" s="19" t="s">
        <v>55</v>
      </c>
      <c r="K107" s="19" t="s">
        <v>98</v>
      </c>
      <c r="L107" s="19" t="s">
        <v>55</v>
      </c>
      <c r="M107" s="19" t="s">
        <v>55</v>
      </c>
    </row>
    <row r="108" spans="1:13">
      <c r="A108" s="19" t="s">
        <v>48</v>
      </c>
      <c r="B108" s="19" t="s">
        <v>49</v>
      </c>
      <c r="C108" s="19" t="s">
        <v>50</v>
      </c>
      <c r="D108" s="28" t="s">
        <v>322</v>
      </c>
      <c r="E108" s="21" t="str">
        <f t="shared" si="1"/>
        <v>CÓDIGO IDENTIFICADOR ÚNICO DEL DOCUMENTO AFILIADO A IZIPAY</v>
      </c>
      <c r="F108" s="21" t="s">
        <v>323</v>
      </c>
      <c r="G108" s="19" t="s">
        <v>98</v>
      </c>
      <c r="H108" s="19" t="s">
        <v>96</v>
      </c>
      <c r="I108" s="21">
        <v>20603381697</v>
      </c>
      <c r="J108" s="19" t="s">
        <v>55</v>
      </c>
      <c r="K108" s="19" t="s">
        <v>98</v>
      </c>
      <c r="L108" s="19" t="s">
        <v>55</v>
      </c>
      <c r="M108" s="19" t="s">
        <v>55</v>
      </c>
    </row>
    <row r="109" spans="1:13">
      <c r="A109" s="19" t="s">
        <v>48</v>
      </c>
      <c r="B109" s="19" t="s">
        <v>49</v>
      </c>
      <c r="C109" s="19" t="s">
        <v>50</v>
      </c>
      <c r="D109" s="20" t="s">
        <v>324</v>
      </c>
      <c r="E109" s="21" t="str">
        <f t="shared" si="1"/>
        <v>BOLETO/N ORDEN</v>
      </c>
      <c r="F109" s="21" t="s">
        <v>325</v>
      </c>
      <c r="G109" s="19" t="s">
        <v>55</v>
      </c>
      <c r="H109" s="19" t="s">
        <v>96</v>
      </c>
      <c r="I109" s="21"/>
      <c r="J109" s="19" t="s">
        <v>55</v>
      </c>
      <c r="K109" s="19" t="s">
        <v>98</v>
      </c>
      <c r="L109" s="19" t="s">
        <v>55</v>
      </c>
      <c r="M109" s="19" t="s">
        <v>55</v>
      </c>
    </row>
    <row r="110" spans="1:13">
      <c r="A110" s="19" t="s">
        <v>48</v>
      </c>
      <c r="B110" s="19" t="s">
        <v>49</v>
      </c>
      <c r="C110" s="19" t="s">
        <v>50</v>
      </c>
      <c r="D110" s="20" t="s">
        <v>326</v>
      </c>
      <c r="E110" s="21" t="str">
        <f t="shared" si="1"/>
        <v>MOTIVO</v>
      </c>
      <c r="F110" s="21" t="s">
        <v>327</v>
      </c>
      <c r="G110" s="19" t="s">
        <v>55</v>
      </c>
      <c r="H110" s="19" t="s">
        <v>96</v>
      </c>
      <c r="I110" s="21"/>
      <c r="J110" s="19" t="s">
        <v>55</v>
      </c>
      <c r="K110" s="19" t="s">
        <v>98</v>
      </c>
      <c r="L110" s="19" t="s">
        <v>55</v>
      </c>
      <c r="M110" s="19" t="s">
        <v>55</v>
      </c>
    </row>
    <row r="111" spans="1:13">
      <c r="A111" s="19" t="s">
        <v>48</v>
      </c>
      <c r="B111" s="19" t="s">
        <v>49</v>
      </c>
      <c r="C111" s="19" t="s">
        <v>50</v>
      </c>
      <c r="D111" s="20" t="s">
        <v>328</v>
      </c>
      <c r="E111" s="21" t="str">
        <f t="shared" si="1"/>
        <v>COMISION ADQ</v>
      </c>
      <c r="F111" s="21" t="s">
        <v>329</v>
      </c>
      <c r="G111" s="19" t="s">
        <v>55</v>
      </c>
      <c r="H111" s="19" t="s">
        <v>96</v>
      </c>
      <c r="I111" s="21">
        <v>0</v>
      </c>
      <c r="J111" s="19" t="s">
        <v>55</v>
      </c>
      <c r="K111" s="19" t="s">
        <v>98</v>
      </c>
      <c r="L111" s="19" t="s">
        <v>55</v>
      </c>
      <c r="M111" s="19" t="s">
        <v>55</v>
      </c>
    </row>
    <row r="112" spans="1:13">
      <c r="A112" s="19" t="s">
        <v>48</v>
      </c>
      <c r="B112" s="19" t="s">
        <v>49</v>
      </c>
      <c r="C112" s="19" t="s">
        <v>50</v>
      </c>
      <c r="D112" s="20" t="s">
        <v>330</v>
      </c>
      <c r="E112" s="21" t="str">
        <f t="shared" si="1"/>
        <v>IGV COMI ADQ</v>
      </c>
      <c r="F112" s="21" t="s">
        <v>331</v>
      </c>
      <c r="G112" s="19" t="s">
        <v>55</v>
      </c>
      <c r="H112" s="19" t="s">
        <v>96</v>
      </c>
      <c r="I112" s="21">
        <v>0</v>
      </c>
      <c r="J112" s="19" t="s">
        <v>55</v>
      </c>
      <c r="K112" s="19" t="s">
        <v>98</v>
      </c>
      <c r="L112" s="19" t="s">
        <v>55</v>
      </c>
      <c r="M112" s="19" t="s">
        <v>55</v>
      </c>
    </row>
    <row r="113" spans="1:13">
      <c r="A113" s="19" t="s">
        <v>48</v>
      </c>
      <c r="B113" s="19" t="s">
        <v>49</v>
      </c>
      <c r="C113" s="19" t="s">
        <v>50</v>
      </c>
      <c r="D113" s="20" t="s">
        <v>332</v>
      </c>
      <c r="E113" s="21" t="str">
        <f t="shared" si="1"/>
        <v>CARD PROG ID</v>
      </c>
      <c r="F113" s="21" t="s">
        <v>333</v>
      </c>
      <c r="G113" s="19" t="s">
        <v>55</v>
      </c>
      <c r="H113" s="19" t="s">
        <v>96</v>
      </c>
      <c r="I113" s="21" t="s">
        <v>334</v>
      </c>
      <c r="J113" s="19" t="s">
        <v>55</v>
      </c>
      <c r="K113" s="19" t="s">
        <v>98</v>
      </c>
      <c r="L113" s="19" t="s">
        <v>55</v>
      </c>
      <c r="M113" s="19" t="s">
        <v>55</v>
      </c>
    </row>
    <row r="114" spans="1:13">
      <c r="A114" s="19" t="s">
        <v>48</v>
      </c>
      <c r="B114" s="19" t="s">
        <v>49</v>
      </c>
      <c r="C114" s="19" t="s">
        <v>50</v>
      </c>
      <c r="D114" s="20" t="s">
        <v>335</v>
      </c>
      <c r="E114" s="21" t="str">
        <f t="shared" si="1"/>
        <v>LICEN PROD ID</v>
      </c>
      <c r="F114" s="21" t="s">
        <v>336</v>
      </c>
      <c r="G114" s="19" t="s">
        <v>55</v>
      </c>
      <c r="H114" s="19" t="s">
        <v>96</v>
      </c>
      <c r="I114" s="21" t="s">
        <v>276</v>
      </c>
      <c r="J114" s="19" t="s">
        <v>55</v>
      </c>
      <c r="K114" s="19" t="s">
        <v>98</v>
      </c>
      <c r="L114" s="19" t="s">
        <v>55</v>
      </c>
      <c r="M114" s="19" t="s">
        <v>55</v>
      </c>
    </row>
    <row r="115" spans="1:13">
      <c r="A115" s="19" t="s">
        <v>48</v>
      </c>
      <c r="B115" s="19" t="s">
        <v>49</v>
      </c>
      <c r="C115" s="19" t="s">
        <v>50</v>
      </c>
      <c r="D115" s="20" t="s">
        <v>337</v>
      </c>
      <c r="E115" s="21" t="str">
        <f t="shared" si="1"/>
        <v>PROCCES CODE</v>
      </c>
      <c r="F115" s="21" t="s">
        <v>338</v>
      </c>
      <c r="G115" s="19" t="s">
        <v>55</v>
      </c>
      <c r="H115" s="19" t="s">
        <v>96</v>
      </c>
      <c r="I115" s="21">
        <v>0</v>
      </c>
      <c r="J115" s="19" t="s">
        <v>55</v>
      </c>
      <c r="K115" s="19" t="s">
        <v>98</v>
      </c>
      <c r="L115" s="19" t="s">
        <v>55</v>
      </c>
      <c r="M115" s="19" t="s">
        <v>55</v>
      </c>
    </row>
    <row r="116" spans="1:13">
      <c r="A116" s="19" t="s">
        <v>48</v>
      </c>
      <c r="B116" s="19" t="s">
        <v>49</v>
      </c>
      <c r="C116" s="19" t="s">
        <v>50</v>
      </c>
      <c r="D116" s="20" t="s">
        <v>339</v>
      </c>
      <c r="E116" s="21" t="str">
        <f t="shared" si="1"/>
        <v>BUSS LEVEL</v>
      </c>
      <c r="F116" s="21" t="s">
        <v>340</v>
      </c>
      <c r="G116" s="19" t="s">
        <v>55</v>
      </c>
      <c r="H116" s="19" t="s">
        <v>96</v>
      </c>
      <c r="I116" s="21">
        <v>4</v>
      </c>
      <c r="J116" s="19" t="s">
        <v>55</v>
      </c>
      <c r="K116" s="19" t="s">
        <v>98</v>
      </c>
      <c r="L116" s="19" t="s">
        <v>55</v>
      </c>
      <c r="M116" s="19" t="s">
        <v>55</v>
      </c>
    </row>
    <row r="117" spans="1:13">
      <c r="A117" s="19" t="s">
        <v>48</v>
      </c>
      <c r="B117" s="19" t="s">
        <v>49</v>
      </c>
      <c r="C117" s="19" t="s">
        <v>50</v>
      </c>
      <c r="D117" s="20" t="s">
        <v>341</v>
      </c>
      <c r="E117" s="21" t="str">
        <f t="shared" si="1"/>
        <v>BUSS ID</v>
      </c>
      <c r="F117" s="21" t="s">
        <v>342</v>
      </c>
      <c r="G117" s="19" t="s">
        <v>55</v>
      </c>
      <c r="H117" s="19" t="s">
        <v>96</v>
      </c>
      <c r="I117" s="21">
        <v>604001</v>
      </c>
      <c r="J117" s="19" t="s">
        <v>55</v>
      </c>
      <c r="K117" s="19" t="s">
        <v>98</v>
      </c>
      <c r="L117" s="19" t="s">
        <v>55</v>
      </c>
      <c r="M117" s="19" t="s">
        <v>55</v>
      </c>
    </row>
    <row r="118" spans="1:13">
      <c r="A118" s="19" t="s">
        <v>48</v>
      </c>
      <c r="B118" s="19" t="s">
        <v>49</v>
      </c>
      <c r="C118" s="19" t="s">
        <v>50</v>
      </c>
      <c r="D118" s="20" t="s">
        <v>343</v>
      </c>
      <c r="E118" s="21" t="str">
        <f t="shared" si="1"/>
        <v>FECHA DEPOSITO</v>
      </c>
      <c r="F118" s="21" t="s">
        <v>344</v>
      </c>
      <c r="G118" s="19" t="s">
        <v>55</v>
      </c>
      <c r="H118" s="19" t="s">
        <v>96</v>
      </c>
      <c r="I118" s="21">
        <v>20240622</v>
      </c>
      <c r="J118" s="19" t="s">
        <v>55</v>
      </c>
      <c r="K118" s="19" t="s">
        <v>98</v>
      </c>
      <c r="L118" s="19" t="s">
        <v>55</v>
      </c>
      <c r="M118" s="19" t="s">
        <v>55</v>
      </c>
    </row>
    <row r="119" spans="1:13">
      <c r="A119" s="19" t="s">
        <v>48</v>
      </c>
      <c r="B119" s="19" t="s">
        <v>49</v>
      </c>
      <c r="C119" s="19" t="s">
        <v>50</v>
      </c>
      <c r="D119" s="20" t="s">
        <v>345</v>
      </c>
      <c r="E119" s="21" t="str">
        <f t="shared" si="1"/>
        <v>FECHA CONFIRMACION</v>
      </c>
      <c r="F119" s="21" t="s">
        <v>346</v>
      </c>
      <c r="G119" s="19" t="s">
        <v>55</v>
      </c>
      <c r="H119" s="19" t="s">
        <v>96</v>
      </c>
      <c r="I119" s="21">
        <v>0</v>
      </c>
      <c r="J119" s="19" t="s">
        <v>55</v>
      </c>
      <c r="K119" s="19" t="s">
        <v>98</v>
      </c>
      <c r="L119" s="19" t="s">
        <v>55</v>
      </c>
      <c r="M119" s="19" t="s">
        <v>55</v>
      </c>
    </row>
    <row r="120" spans="1:13">
      <c r="A120" s="19" t="s">
        <v>48</v>
      </c>
      <c r="B120" s="19" t="s">
        <v>49</v>
      </c>
      <c r="C120" s="19" t="s">
        <v>50</v>
      </c>
      <c r="D120" s="20" t="s">
        <v>347</v>
      </c>
      <c r="E120" s="21" t="str">
        <f t="shared" si="1"/>
        <v>COD MPROD 1</v>
      </c>
      <c r="F120" s="21" t="s">
        <v>348</v>
      </c>
      <c r="G120" s="19" t="s">
        <v>55</v>
      </c>
      <c r="H120" s="19" t="s">
        <v>96</v>
      </c>
      <c r="I120" s="21">
        <v>0</v>
      </c>
      <c r="J120" s="19" t="s">
        <v>55</v>
      </c>
      <c r="K120" s="19" t="s">
        <v>98</v>
      </c>
      <c r="L120" s="19" t="s">
        <v>55</v>
      </c>
      <c r="M120" s="19" t="s">
        <v>55</v>
      </c>
    </row>
    <row r="121" spans="1:13">
      <c r="A121" s="19" t="s">
        <v>48</v>
      </c>
      <c r="B121" s="19" t="s">
        <v>49</v>
      </c>
      <c r="C121" s="19" t="s">
        <v>50</v>
      </c>
      <c r="D121" s="20" t="s">
        <v>349</v>
      </c>
      <c r="E121" s="21" t="str">
        <f t="shared" si="1"/>
        <v>IMP MPROD 1</v>
      </c>
      <c r="F121" s="21" t="s">
        <v>350</v>
      </c>
      <c r="G121" s="19" t="s">
        <v>55</v>
      </c>
      <c r="H121" s="19" t="s">
        <v>96</v>
      </c>
      <c r="I121" s="21">
        <v>0</v>
      </c>
      <c r="J121" s="19" t="s">
        <v>55</v>
      </c>
      <c r="K121" s="19" t="s">
        <v>98</v>
      </c>
      <c r="L121" s="19" t="s">
        <v>55</v>
      </c>
      <c r="M121" s="19" t="s">
        <v>55</v>
      </c>
    </row>
    <row r="122" spans="1:13">
      <c r="A122" s="19" t="s">
        <v>48</v>
      </c>
      <c r="B122" s="19" t="s">
        <v>49</v>
      </c>
      <c r="C122" s="19" t="s">
        <v>50</v>
      </c>
      <c r="D122" s="20" t="s">
        <v>351</v>
      </c>
      <c r="E122" s="21" t="str">
        <f t="shared" si="1"/>
        <v>COD MPROD 2</v>
      </c>
      <c r="F122" s="21" t="s">
        <v>352</v>
      </c>
      <c r="G122" s="19" t="s">
        <v>55</v>
      </c>
      <c r="H122" s="19" t="s">
        <v>96</v>
      </c>
      <c r="I122" s="21">
        <v>0</v>
      </c>
      <c r="J122" s="19" t="s">
        <v>55</v>
      </c>
      <c r="K122" s="19" t="s">
        <v>98</v>
      </c>
      <c r="L122" s="19" t="s">
        <v>55</v>
      </c>
      <c r="M122" s="19" t="s">
        <v>55</v>
      </c>
    </row>
    <row r="123" spans="1:13">
      <c r="A123" s="19" t="s">
        <v>48</v>
      </c>
      <c r="B123" s="19" t="s">
        <v>49</v>
      </c>
      <c r="C123" s="19" t="s">
        <v>50</v>
      </c>
      <c r="D123" s="20" t="s">
        <v>353</v>
      </c>
      <c r="E123" s="21" t="str">
        <f t="shared" si="1"/>
        <v>IMP MPROD 2</v>
      </c>
      <c r="F123" s="21" t="s">
        <v>354</v>
      </c>
      <c r="G123" s="19" t="s">
        <v>55</v>
      </c>
      <c r="H123" s="19" t="s">
        <v>96</v>
      </c>
      <c r="I123" s="21">
        <v>0</v>
      </c>
      <c r="J123" s="19" t="s">
        <v>55</v>
      </c>
      <c r="K123" s="19" t="s">
        <v>98</v>
      </c>
      <c r="L123" s="19" t="s">
        <v>55</v>
      </c>
      <c r="M123" s="19" t="s">
        <v>55</v>
      </c>
    </row>
    <row r="124" spans="1:13">
      <c r="A124" s="19" t="s">
        <v>48</v>
      </c>
      <c r="B124" s="19" t="s">
        <v>49</v>
      </c>
      <c r="C124" s="19" t="s">
        <v>50</v>
      </c>
      <c r="D124" s="20" t="s">
        <v>355</v>
      </c>
      <c r="E124" s="21" t="str">
        <f t="shared" si="1"/>
        <v>COD MPROD 3</v>
      </c>
      <c r="F124" s="21" t="s">
        <v>356</v>
      </c>
      <c r="G124" s="19" t="s">
        <v>55</v>
      </c>
      <c r="H124" s="19" t="s">
        <v>96</v>
      </c>
      <c r="I124" s="21">
        <v>0</v>
      </c>
      <c r="J124" s="19" t="s">
        <v>55</v>
      </c>
      <c r="K124" s="19" t="s">
        <v>98</v>
      </c>
      <c r="L124" s="19" t="s">
        <v>55</v>
      </c>
      <c r="M124" s="19" t="s">
        <v>55</v>
      </c>
    </row>
    <row r="125" spans="1:13">
      <c r="A125" s="19" t="s">
        <v>48</v>
      </c>
      <c r="B125" s="19" t="s">
        <v>49</v>
      </c>
      <c r="C125" s="19" t="s">
        <v>50</v>
      </c>
      <c r="D125" s="20" t="s">
        <v>357</v>
      </c>
      <c r="E125" s="21" t="str">
        <f t="shared" si="1"/>
        <v>IMP MPROD 3</v>
      </c>
      <c r="F125" s="21" t="s">
        <v>358</v>
      </c>
      <c r="G125" s="19" t="s">
        <v>55</v>
      </c>
      <c r="H125" s="19" t="s">
        <v>96</v>
      </c>
      <c r="I125" s="21">
        <v>0</v>
      </c>
      <c r="J125" s="19" t="s">
        <v>55</v>
      </c>
      <c r="K125" s="19" t="s">
        <v>98</v>
      </c>
      <c r="L125" s="19" t="s">
        <v>55</v>
      </c>
      <c r="M125" s="19" t="s">
        <v>55</v>
      </c>
    </row>
    <row r="126" spans="1:13">
      <c r="A126" s="19" t="s">
        <v>48</v>
      </c>
      <c r="B126" s="19" t="s">
        <v>49</v>
      </c>
      <c r="C126" s="19" t="s">
        <v>50</v>
      </c>
      <c r="D126" s="20" t="s">
        <v>359</v>
      </c>
      <c r="E126" s="21" t="str">
        <f t="shared" si="1"/>
        <v>COD MPROD 4</v>
      </c>
      <c r="F126" s="21" t="s">
        <v>360</v>
      </c>
      <c r="G126" s="19" t="s">
        <v>55</v>
      </c>
      <c r="H126" s="19" t="s">
        <v>96</v>
      </c>
      <c r="I126" s="21">
        <v>0</v>
      </c>
      <c r="J126" s="19" t="s">
        <v>55</v>
      </c>
      <c r="K126" s="19" t="s">
        <v>98</v>
      </c>
      <c r="L126" s="19" t="s">
        <v>55</v>
      </c>
      <c r="M126" s="19" t="s">
        <v>55</v>
      </c>
    </row>
    <row r="127" spans="1:13">
      <c r="A127" s="19" t="s">
        <v>48</v>
      </c>
      <c r="B127" s="19" t="s">
        <v>49</v>
      </c>
      <c r="C127" s="19" t="s">
        <v>50</v>
      </c>
      <c r="D127" s="20" t="s">
        <v>361</v>
      </c>
      <c r="E127" s="21" t="str">
        <f t="shared" si="1"/>
        <v>IMP MPROD 4</v>
      </c>
      <c r="F127" s="21" t="s">
        <v>362</v>
      </c>
      <c r="G127" s="19" t="s">
        <v>55</v>
      </c>
      <c r="H127" s="19" t="s">
        <v>96</v>
      </c>
      <c r="I127" s="21">
        <v>0</v>
      </c>
      <c r="J127" s="19" t="s">
        <v>55</v>
      </c>
      <c r="K127" s="19" t="s">
        <v>98</v>
      </c>
      <c r="L127" s="19" t="s">
        <v>55</v>
      </c>
      <c r="M127" s="19" t="s">
        <v>55</v>
      </c>
    </row>
    <row r="128" spans="1:13">
      <c r="A128" s="19" t="s">
        <v>48</v>
      </c>
      <c r="B128" s="19" t="s">
        <v>49</v>
      </c>
      <c r="C128" s="19" t="s">
        <v>50</v>
      </c>
      <c r="D128" s="20" t="s">
        <v>363</v>
      </c>
      <c r="E128" s="21" t="str">
        <f t="shared" si="1"/>
        <v>COD MPROD 5</v>
      </c>
      <c r="F128" s="21" t="s">
        <v>364</v>
      </c>
      <c r="G128" s="19" t="s">
        <v>55</v>
      </c>
      <c r="H128" s="19" t="s">
        <v>96</v>
      </c>
      <c r="I128" s="21">
        <v>0</v>
      </c>
      <c r="J128" s="19" t="s">
        <v>55</v>
      </c>
      <c r="K128" s="19" t="s">
        <v>98</v>
      </c>
      <c r="L128" s="19" t="s">
        <v>55</v>
      </c>
      <c r="M128" s="19" t="s">
        <v>55</v>
      </c>
    </row>
    <row r="129" spans="1:13">
      <c r="A129" s="19" t="s">
        <v>48</v>
      </c>
      <c r="B129" s="19" t="s">
        <v>49</v>
      </c>
      <c r="C129" s="19" t="s">
        <v>50</v>
      </c>
      <c r="D129" s="20" t="s">
        <v>365</v>
      </c>
      <c r="E129" s="21" t="str">
        <f t="shared" si="1"/>
        <v>IMP MPROD 5</v>
      </c>
      <c r="F129" s="21" t="s">
        <v>366</v>
      </c>
      <c r="G129" s="19" t="s">
        <v>55</v>
      </c>
      <c r="H129" s="19" t="s">
        <v>96</v>
      </c>
      <c r="I129" s="21">
        <v>0</v>
      </c>
      <c r="J129" s="19" t="s">
        <v>55</v>
      </c>
      <c r="K129" s="19" t="s">
        <v>98</v>
      </c>
      <c r="L129" s="19" t="s">
        <v>55</v>
      </c>
      <c r="M129" s="19" t="s">
        <v>55</v>
      </c>
    </row>
    <row r="130" spans="1:13">
      <c r="A130" s="19" t="s">
        <v>48</v>
      </c>
      <c r="B130" s="19" t="s">
        <v>49</v>
      </c>
      <c r="C130" s="19" t="s">
        <v>50</v>
      </c>
      <c r="D130" s="20" t="s">
        <v>367</v>
      </c>
      <c r="E130" s="21" t="str">
        <f t="shared" si="1"/>
        <v>ARTICULO AFIJO</v>
      </c>
      <c r="F130" s="21" t="s">
        <v>368</v>
      </c>
      <c r="G130" s="19" t="s">
        <v>55</v>
      </c>
      <c r="H130" s="19" t="s">
        <v>96</v>
      </c>
      <c r="I130" s="21"/>
      <c r="J130" s="19" t="s">
        <v>55</v>
      </c>
      <c r="K130" s="19" t="s">
        <v>98</v>
      </c>
      <c r="L130" s="19" t="s">
        <v>55</v>
      </c>
      <c r="M130" s="19" t="s">
        <v>55</v>
      </c>
    </row>
    <row r="131" spans="1:13">
      <c r="A131" s="19" t="s">
        <v>48</v>
      </c>
      <c r="B131" s="19" t="s">
        <v>49</v>
      </c>
      <c r="C131" s="19" t="s">
        <v>50</v>
      </c>
      <c r="D131" s="20" t="s">
        <v>369</v>
      </c>
      <c r="E131" s="21" t="str">
        <f t="shared" si="1"/>
        <v>MODO INTECAMB (S: SINGLE, D:DUAL)</v>
      </c>
      <c r="F131" s="21" t="s">
        <v>370</v>
      </c>
      <c r="G131" s="19" t="s">
        <v>55</v>
      </c>
      <c r="H131" s="19" t="s">
        <v>96</v>
      </c>
      <c r="I131" s="21" t="s">
        <v>240</v>
      </c>
      <c r="J131" s="19" t="s">
        <v>55</v>
      </c>
      <c r="K131" s="19" t="s">
        <v>98</v>
      </c>
      <c r="L131" s="19" t="s">
        <v>55</v>
      </c>
      <c r="M131" s="19" t="s">
        <v>55</v>
      </c>
    </row>
    <row r="132" spans="1:13">
      <c r="A132" s="19" t="s">
        <v>48</v>
      </c>
      <c r="B132" s="19" t="s">
        <v>49</v>
      </c>
      <c r="C132" s="19" t="s">
        <v>50</v>
      </c>
      <c r="D132" s="20" t="s">
        <v>371</v>
      </c>
      <c r="E132" s="21" t="str">
        <f t="shared" ref="E132:E191" si="2">UPPER(F132)</f>
        <v>NO APLICAR DEV</v>
      </c>
      <c r="F132" s="21" t="s">
        <v>372</v>
      </c>
      <c r="G132" s="19" t="s">
        <v>55</v>
      </c>
      <c r="H132" s="19" t="s">
        <v>96</v>
      </c>
      <c r="I132" s="21"/>
      <c r="J132" s="19" t="s">
        <v>55</v>
      </c>
      <c r="K132" s="19" t="s">
        <v>98</v>
      </c>
      <c r="L132" s="19" t="s">
        <v>55</v>
      </c>
      <c r="M132" s="19" t="s">
        <v>55</v>
      </c>
    </row>
    <row r="133" spans="1:13">
      <c r="A133" s="19" t="s">
        <v>48</v>
      </c>
      <c r="B133" s="19" t="s">
        <v>49</v>
      </c>
      <c r="C133" s="19" t="s">
        <v>50</v>
      </c>
      <c r="D133" s="20" t="s">
        <v>373</v>
      </c>
      <c r="E133" s="21" t="str">
        <f t="shared" si="2"/>
        <v>TERMINAL EMV</v>
      </c>
      <c r="F133" s="21" t="s">
        <v>374</v>
      </c>
      <c r="G133" s="19" t="s">
        <v>55</v>
      </c>
      <c r="H133" s="19" t="s">
        <v>96</v>
      </c>
      <c r="I133" s="21"/>
      <c r="J133" s="19" t="s">
        <v>55</v>
      </c>
      <c r="K133" s="19" t="s">
        <v>98</v>
      </c>
      <c r="L133" s="19" t="s">
        <v>55</v>
      </c>
      <c r="M133" s="19" t="s">
        <v>55</v>
      </c>
    </row>
    <row r="134" spans="1:13">
      <c r="A134" s="19" t="s">
        <v>48</v>
      </c>
      <c r="B134" s="19" t="s">
        <v>49</v>
      </c>
      <c r="C134" s="19" t="s">
        <v>50</v>
      </c>
      <c r="D134" s="20" t="s">
        <v>375</v>
      </c>
      <c r="E134" s="21" t="str">
        <f t="shared" si="2"/>
        <v>TERM PROPINA</v>
      </c>
      <c r="F134" s="21" t="s">
        <v>376</v>
      </c>
      <c r="G134" s="19" t="s">
        <v>55</v>
      </c>
      <c r="H134" s="19" t="s">
        <v>96</v>
      </c>
      <c r="I134" s="21"/>
      <c r="J134" s="19" t="s">
        <v>55</v>
      </c>
      <c r="K134" s="19" t="s">
        <v>98</v>
      </c>
      <c r="L134" s="19" t="s">
        <v>55</v>
      </c>
      <c r="M134" s="19" t="s">
        <v>55</v>
      </c>
    </row>
    <row r="135" spans="1:13">
      <c r="A135" s="19" t="s">
        <v>48</v>
      </c>
      <c r="B135" s="19" t="s">
        <v>49</v>
      </c>
      <c r="C135" s="19" t="s">
        <v>50</v>
      </c>
      <c r="D135" s="20" t="s">
        <v>377</v>
      </c>
      <c r="E135" s="21" t="str">
        <f t="shared" si="2"/>
        <v>PRE AUT</v>
      </c>
      <c r="F135" s="21" t="s">
        <v>378</v>
      </c>
      <c r="G135" s="19" t="s">
        <v>55</v>
      </c>
      <c r="H135" s="19" t="s">
        <v>96</v>
      </c>
      <c r="I135" s="21" t="s">
        <v>379</v>
      </c>
      <c r="J135" s="19" t="s">
        <v>55</v>
      </c>
      <c r="K135" s="19" t="s">
        <v>98</v>
      </c>
      <c r="L135" s="19" t="s">
        <v>55</v>
      </c>
      <c r="M135" s="19" t="s">
        <v>55</v>
      </c>
    </row>
    <row r="136" spans="1:13">
      <c r="A136" s="19" t="s">
        <v>48</v>
      </c>
      <c r="B136" s="19" t="s">
        <v>49</v>
      </c>
      <c r="C136" s="19" t="s">
        <v>50</v>
      </c>
      <c r="D136" s="20" t="s">
        <v>380</v>
      </c>
      <c r="E136" s="21" t="str">
        <f t="shared" si="2"/>
        <v>TERM POS MULT MON</v>
      </c>
      <c r="F136" s="21" t="s">
        <v>381</v>
      </c>
      <c r="G136" s="19" t="s">
        <v>55</v>
      </c>
      <c r="H136" s="19" t="s">
        <v>96</v>
      </c>
      <c r="I136" s="21"/>
      <c r="J136" s="19" t="s">
        <v>55</v>
      </c>
      <c r="K136" s="19" t="s">
        <v>98</v>
      </c>
      <c r="L136" s="19" t="s">
        <v>55</v>
      </c>
      <c r="M136" s="19" t="s">
        <v>55</v>
      </c>
    </row>
    <row r="137" spans="1:13">
      <c r="A137" s="19" t="s">
        <v>48</v>
      </c>
      <c r="B137" s="19" t="s">
        <v>49</v>
      </c>
      <c r="C137" s="19" t="s">
        <v>50</v>
      </c>
      <c r="D137" s="20" t="s">
        <v>382</v>
      </c>
      <c r="E137" s="21" t="str">
        <f t="shared" si="2"/>
        <v>CARD SEQ NBR</v>
      </c>
      <c r="F137" s="21" t="s">
        <v>383</v>
      </c>
      <c r="G137" s="19" t="s">
        <v>55</v>
      </c>
      <c r="H137" s="19" t="s">
        <v>96</v>
      </c>
      <c r="I137" s="21">
        <v>0</v>
      </c>
      <c r="J137" s="19" t="s">
        <v>55</v>
      </c>
      <c r="K137" s="19" t="s">
        <v>98</v>
      </c>
      <c r="L137" s="19" t="s">
        <v>55</v>
      </c>
      <c r="M137" s="19" t="s">
        <v>55</v>
      </c>
    </row>
    <row r="138" spans="1:13">
      <c r="A138" s="19" t="s">
        <v>48</v>
      </c>
      <c r="B138" s="19" t="s">
        <v>49</v>
      </c>
      <c r="C138" s="19" t="s">
        <v>50</v>
      </c>
      <c r="D138" s="20" t="s">
        <v>384</v>
      </c>
      <c r="E138" s="21" t="str">
        <f t="shared" si="2"/>
        <v>EMV</v>
      </c>
      <c r="F138" s="21" t="s">
        <v>385</v>
      </c>
      <c r="G138" s="19" t="s">
        <v>55</v>
      </c>
      <c r="H138" s="19" t="s">
        <v>96</v>
      </c>
      <c r="I138" s="21" t="s">
        <v>386</v>
      </c>
      <c r="J138" s="19" t="s">
        <v>55</v>
      </c>
      <c r="K138" s="19" t="s">
        <v>98</v>
      </c>
      <c r="L138" s="19" t="s">
        <v>55</v>
      </c>
      <c r="M138" s="19" t="s">
        <v>55</v>
      </c>
    </row>
    <row r="139" spans="1:13">
      <c r="A139" s="19" t="s">
        <v>48</v>
      </c>
      <c r="B139" s="19" t="s">
        <v>49</v>
      </c>
      <c r="C139" s="19" t="s">
        <v>50</v>
      </c>
      <c r="D139" s="20" t="s">
        <v>387</v>
      </c>
      <c r="E139" s="21" t="str">
        <f t="shared" si="2"/>
        <v>NRO DEV DIA</v>
      </c>
      <c r="F139" s="21" t="s">
        <v>388</v>
      </c>
      <c r="G139" s="19" t="s">
        <v>55</v>
      </c>
      <c r="H139" s="19" t="s">
        <v>96</v>
      </c>
      <c r="I139" s="21">
        <v>0</v>
      </c>
      <c r="J139" s="19" t="s">
        <v>55</v>
      </c>
      <c r="K139" s="19" t="s">
        <v>98</v>
      </c>
      <c r="L139" s="19" t="s">
        <v>55</v>
      </c>
      <c r="M139" s="19" t="s">
        <v>55</v>
      </c>
    </row>
    <row r="140" spans="1:13">
      <c r="A140" s="19" t="s">
        <v>48</v>
      </c>
      <c r="B140" s="19" t="s">
        <v>49</v>
      </c>
      <c r="C140" s="19" t="s">
        <v>50</v>
      </c>
      <c r="D140" s="20" t="s">
        <v>389</v>
      </c>
      <c r="E140" s="21" t="str">
        <f t="shared" si="2"/>
        <v>PRIORIDAD DEV</v>
      </c>
      <c r="F140" s="21" t="s">
        <v>390</v>
      </c>
      <c r="G140" s="19" t="s">
        <v>55</v>
      </c>
      <c r="H140" s="19" t="s">
        <v>96</v>
      </c>
      <c r="I140" s="21">
        <v>0</v>
      </c>
      <c r="J140" s="19" t="s">
        <v>55</v>
      </c>
      <c r="K140" s="19" t="s">
        <v>98</v>
      </c>
      <c r="L140" s="19" t="s">
        <v>55</v>
      </c>
      <c r="M140" s="19" t="s">
        <v>55</v>
      </c>
    </row>
    <row r="141" spans="1:13">
      <c r="A141" s="19" t="s">
        <v>48</v>
      </c>
      <c r="B141" s="19" t="s">
        <v>49</v>
      </c>
      <c r="C141" s="19" t="s">
        <v>50</v>
      </c>
      <c r="D141" s="20" t="s">
        <v>391</v>
      </c>
      <c r="E141" s="21" t="str">
        <f t="shared" si="2"/>
        <v>% PROPINA</v>
      </c>
      <c r="F141" s="21" t="s">
        <v>392</v>
      </c>
      <c r="G141" s="19" t="s">
        <v>55</v>
      </c>
      <c r="H141" s="19" t="s">
        <v>96</v>
      </c>
      <c r="I141" s="21">
        <v>0</v>
      </c>
      <c r="J141" s="19" t="s">
        <v>55</v>
      </c>
      <c r="K141" s="19" t="s">
        <v>98</v>
      </c>
      <c r="L141" s="19" t="s">
        <v>55</v>
      </c>
      <c r="M141" s="19" t="s">
        <v>55</v>
      </c>
    </row>
    <row r="142" spans="1:13">
      <c r="A142" s="19" t="s">
        <v>48</v>
      </c>
      <c r="B142" s="19" t="s">
        <v>49</v>
      </c>
      <c r="C142" s="19" t="s">
        <v>50</v>
      </c>
      <c r="D142" s="20" t="s">
        <v>393</v>
      </c>
      <c r="E142" s="21" t="str">
        <f t="shared" si="2"/>
        <v>CAMPAÑA</v>
      </c>
      <c r="F142" s="21" t="s">
        <v>394</v>
      </c>
      <c r="G142" s="19" t="s">
        <v>55</v>
      </c>
      <c r="H142" s="19" t="s">
        <v>96</v>
      </c>
      <c r="I142" s="21">
        <v>0</v>
      </c>
      <c r="J142" s="19" t="s">
        <v>55</v>
      </c>
      <c r="K142" s="19" t="s">
        <v>98</v>
      </c>
      <c r="L142" s="19" t="s">
        <v>55</v>
      </c>
      <c r="M142" s="19" t="s">
        <v>55</v>
      </c>
    </row>
    <row r="143" spans="1:13">
      <c r="A143" s="19" t="s">
        <v>48</v>
      </c>
      <c r="B143" s="19" t="s">
        <v>49</v>
      </c>
      <c r="C143" s="19" t="s">
        <v>50</v>
      </c>
      <c r="D143" s="20" t="s">
        <v>395</v>
      </c>
      <c r="E143" s="21" t="str">
        <f t="shared" si="2"/>
        <v>BIN</v>
      </c>
      <c r="F143" s="21" t="s">
        <v>396</v>
      </c>
      <c r="G143" s="19" t="s">
        <v>55</v>
      </c>
      <c r="H143" s="19" t="s">
        <v>96</v>
      </c>
      <c r="I143" s="21">
        <v>531755</v>
      </c>
      <c r="J143" s="19" t="s">
        <v>55</v>
      </c>
      <c r="K143" s="19" t="s">
        <v>98</v>
      </c>
      <c r="L143" s="19" t="s">
        <v>55</v>
      </c>
      <c r="M143" s="19" t="s">
        <v>55</v>
      </c>
    </row>
    <row r="144" spans="1:13" s="32" customFormat="1" hidden="1">
      <c r="A144" s="30" t="s">
        <v>48</v>
      </c>
      <c r="B144" s="30" t="s">
        <v>49</v>
      </c>
      <c r="C144" s="30" t="s">
        <v>50</v>
      </c>
      <c r="D144" s="28" t="s">
        <v>397</v>
      </c>
      <c r="E144" s="31" t="str">
        <f t="shared" si="2"/>
        <v>TARJETA</v>
      </c>
      <c r="F144" s="31" t="s">
        <v>116</v>
      </c>
      <c r="G144" s="30" t="s">
        <v>98</v>
      </c>
      <c r="H144" s="30" t="s">
        <v>96</v>
      </c>
      <c r="I144" s="31">
        <v>5317557499974840</v>
      </c>
      <c r="J144" s="30" t="s">
        <v>55</v>
      </c>
      <c r="K144" s="30" t="s">
        <v>98</v>
      </c>
      <c r="L144" s="30" t="s">
        <v>55</v>
      </c>
      <c r="M144" s="30" t="s">
        <v>55</v>
      </c>
    </row>
    <row r="145" spans="1:13">
      <c r="A145" s="19" t="s">
        <v>48</v>
      </c>
      <c r="B145" s="19" t="s">
        <v>49</v>
      </c>
      <c r="C145" s="19" t="s">
        <v>50</v>
      </c>
      <c r="D145" s="20" t="s">
        <v>398</v>
      </c>
      <c r="E145" s="21" t="str">
        <f t="shared" si="2"/>
        <v>TARJETA MASK</v>
      </c>
      <c r="F145" s="21" t="s">
        <v>399</v>
      </c>
      <c r="G145" s="19" t="s">
        <v>55</v>
      </c>
      <c r="H145" s="19" t="s">
        <v>96</v>
      </c>
      <c r="I145" s="21" t="s">
        <v>400</v>
      </c>
      <c r="J145" s="19" t="s">
        <v>55</v>
      </c>
      <c r="K145" s="19" t="s">
        <v>98</v>
      </c>
      <c r="L145" s="19" t="s">
        <v>55</v>
      </c>
      <c r="M145" s="19" t="s">
        <v>55</v>
      </c>
    </row>
    <row r="146" spans="1:13">
      <c r="A146" s="19" t="s">
        <v>48</v>
      </c>
      <c r="B146" s="19" t="s">
        <v>49</v>
      </c>
      <c r="C146" s="19" t="s">
        <v>50</v>
      </c>
      <c r="D146" s="20" t="s">
        <v>401</v>
      </c>
      <c r="E146" s="21" t="str">
        <f t="shared" si="2"/>
        <v>TARJETA REC</v>
      </c>
      <c r="F146" s="21" t="s">
        <v>402</v>
      </c>
      <c r="G146" s="19" t="s">
        <v>55</v>
      </c>
      <c r="H146" s="19" t="s">
        <v>96</v>
      </c>
      <c r="I146" s="21"/>
      <c r="J146" s="19" t="s">
        <v>55</v>
      </c>
      <c r="K146" s="19" t="s">
        <v>98</v>
      </c>
      <c r="L146" s="19" t="s">
        <v>55</v>
      </c>
      <c r="M146" s="19" t="s">
        <v>55</v>
      </c>
    </row>
    <row r="147" spans="1:13">
      <c r="A147" s="19" t="s">
        <v>48</v>
      </c>
      <c r="B147" s="19" t="s">
        <v>49</v>
      </c>
      <c r="C147" s="19" t="s">
        <v>50</v>
      </c>
      <c r="D147" s="20" t="s">
        <v>403</v>
      </c>
      <c r="E147" s="21" t="str">
        <f t="shared" si="2"/>
        <v>LONG TARJ</v>
      </c>
      <c r="F147" s="21" t="s">
        <v>404</v>
      </c>
      <c r="G147" s="19" t="s">
        <v>55</v>
      </c>
      <c r="H147" s="19" t="s">
        <v>96</v>
      </c>
      <c r="I147" s="21">
        <v>16</v>
      </c>
      <c r="J147" s="19" t="s">
        <v>55</v>
      </c>
      <c r="K147" s="19" t="s">
        <v>98</v>
      </c>
      <c r="L147" s="19" t="s">
        <v>55</v>
      </c>
      <c r="M147" s="19" t="s">
        <v>55</v>
      </c>
    </row>
    <row r="148" spans="1:13">
      <c r="A148" s="19" t="s">
        <v>48</v>
      </c>
      <c r="B148" s="19" t="s">
        <v>49</v>
      </c>
      <c r="C148" s="19" t="s">
        <v>50</v>
      </c>
      <c r="D148" s="20" t="s">
        <v>405</v>
      </c>
      <c r="E148" s="21" t="str">
        <f t="shared" si="2"/>
        <v>FACT ESTAB (D: DIARIO, M:MENSUAL)</v>
      </c>
      <c r="F148" s="21" t="s">
        <v>406</v>
      </c>
      <c r="G148" s="19" t="s">
        <v>55</v>
      </c>
      <c r="H148" s="19" t="s">
        <v>96</v>
      </c>
      <c r="I148" s="21" t="s">
        <v>247</v>
      </c>
      <c r="J148" s="19" t="s">
        <v>55</v>
      </c>
      <c r="K148" s="19" t="s">
        <v>98</v>
      </c>
      <c r="L148" s="19" t="s">
        <v>55</v>
      </c>
      <c r="M148" s="19" t="s">
        <v>55</v>
      </c>
    </row>
    <row r="149" spans="1:13">
      <c r="A149" s="19" t="s">
        <v>48</v>
      </c>
      <c r="B149" s="19" t="s">
        <v>49</v>
      </c>
      <c r="C149" s="19" t="s">
        <v>50</v>
      </c>
      <c r="D149" s="20" t="s">
        <v>407</v>
      </c>
      <c r="E149" s="21" t="str">
        <f t="shared" si="2"/>
        <v>OBSERVA</v>
      </c>
      <c r="F149" s="21" t="s">
        <v>408</v>
      </c>
      <c r="G149" s="19" t="s">
        <v>55</v>
      </c>
      <c r="H149" s="19" t="s">
        <v>96</v>
      </c>
      <c r="I149" s="21"/>
      <c r="J149" s="19" t="s">
        <v>55</v>
      </c>
      <c r="K149" s="19" t="s">
        <v>98</v>
      </c>
      <c r="L149" s="19" t="s">
        <v>55</v>
      </c>
      <c r="M149" s="19" t="s">
        <v>55</v>
      </c>
    </row>
    <row r="150" spans="1:13">
      <c r="A150" s="19" t="s">
        <v>48</v>
      </c>
      <c r="B150" s="19" t="s">
        <v>49</v>
      </c>
      <c r="C150" s="19" t="s">
        <v>50</v>
      </c>
      <c r="D150" s="20" t="s">
        <v>409</v>
      </c>
      <c r="E150" s="21" t="str">
        <f t="shared" si="2"/>
        <v>TIENDA</v>
      </c>
      <c r="F150" s="21" t="s">
        <v>169</v>
      </c>
      <c r="G150" s="19" t="s">
        <v>55</v>
      </c>
      <c r="H150" s="19" t="s">
        <v>96</v>
      </c>
      <c r="I150" s="21">
        <v>1000</v>
      </c>
      <c r="J150" s="19" t="s">
        <v>55</v>
      </c>
      <c r="K150" s="19" t="s">
        <v>98</v>
      </c>
      <c r="L150" s="19" t="s">
        <v>55</v>
      </c>
      <c r="M150" s="19" t="s">
        <v>55</v>
      </c>
    </row>
    <row r="151" spans="1:13">
      <c r="A151" s="19" t="s">
        <v>48</v>
      </c>
      <c r="B151" s="19" t="s">
        <v>49</v>
      </c>
      <c r="C151" s="19" t="s">
        <v>50</v>
      </c>
      <c r="D151" s="20" t="s">
        <v>410</v>
      </c>
      <c r="E151" s="21" t="str">
        <f t="shared" si="2"/>
        <v>FEC ABO PROCE</v>
      </c>
      <c r="F151" s="21" t="s">
        <v>411</v>
      </c>
      <c r="G151" s="19" t="s">
        <v>55</v>
      </c>
      <c r="H151" s="19" t="s">
        <v>96</v>
      </c>
      <c r="I151" s="21">
        <v>20240625</v>
      </c>
      <c r="J151" s="19" t="s">
        <v>55</v>
      </c>
      <c r="K151" s="19" t="s">
        <v>98</v>
      </c>
      <c r="L151" s="19" t="s">
        <v>55</v>
      </c>
      <c r="M151" s="19" t="s">
        <v>55</v>
      </c>
    </row>
    <row r="152" spans="1:13">
      <c r="A152" s="19" t="s">
        <v>48</v>
      </c>
      <c r="B152" s="19" t="s">
        <v>49</v>
      </c>
      <c r="C152" s="19" t="s">
        <v>50</v>
      </c>
      <c r="D152" s="20" t="s">
        <v>412</v>
      </c>
      <c r="E152" s="21" t="str">
        <f t="shared" si="2"/>
        <v>FEC COMPENSA</v>
      </c>
      <c r="F152" s="21" t="s">
        <v>413</v>
      </c>
      <c r="G152" s="19" t="s">
        <v>55</v>
      </c>
      <c r="H152" s="19" t="s">
        <v>96</v>
      </c>
      <c r="I152" s="21">
        <v>20240624</v>
      </c>
      <c r="J152" s="19" t="s">
        <v>55</v>
      </c>
      <c r="K152" s="19" t="s">
        <v>98</v>
      </c>
      <c r="L152" s="19" t="s">
        <v>55</v>
      </c>
      <c r="M152" s="19" t="s">
        <v>55</v>
      </c>
    </row>
    <row r="153" spans="1:13">
      <c r="A153" s="19" t="s">
        <v>48</v>
      </c>
      <c r="B153" s="19" t="s">
        <v>49</v>
      </c>
      <c r="C153" s="19" t="s">
        <v>50</v>
      </c>
      <c r="D153" s="20" t="s">
        <v>414</v>
      </c>
      <c r="E153" s="21" t="str">
        <f t="shared" si="2"/>
        <v>EMI IBA</v>
      </c>
      <c r="F153" s="21" t="s">
        <v>415</v>
      </c>
      <c r="G153" s="19" t="s">
        <v>55</v>
      </c>
      <c r="H153" s="19" t="s">
        <v>96</v>
      </c>
      <c r="I153" s="21">
        <v>0</v>
      </c>
      <c r="J153" s="19" t="s">
        <v>55</v>
      </c>
      <c r="K153" s="19" t="s">
        <v>98</v>
      </c>
      <c r="L153" s="19" t="s">
        <v>55</v>
      </c>
      <c r="M153" s="19" t="s">
        <v>55</v>
      </c>
    </row>
    <row r="154" spans="1:13">
      <c r="A154" s="19" t="s">
        <v>48</v>
      </c>
      <c r="B154" s="19" t="s">
        <v>49</v>
      </c>
      <c r="C154" s="19" t="s">
        <v>50</v>
      </c>
      <c r="D154" s="20" t="s">
        <v>416</v>
      </c>
      <c r="E154" s="21" t="str">
        <f t="shared" si="2"/>
        <v>PAG IBA</v>
      </c>
      <c r="F154" s="21" t="s">
        <v>417</v>
      </c>
      <c r="G154" s="19" t="s">
        <v>55</v>
      </c>
      <c r="H154" s="19" t="s">
        <v>96</v>
      </c>
      <c r="I154" s="21">
        <v>11</v>
      </c>
      <c r="J154" s="19" t="s">
        <v>55</v>
      </c>
      <c r="K154" s="19" t="s">
        <v>98</v>
      </c>
      <c r="L154" s="19" t="s">
        <v>55</v>
      </c>
      <c r="M154" s="19" t="s">
        <v>55</v>
      </c>
    </row>
    <row r="155" spans="1:13">
      <c r="A155" s="19" t="s">
        <v>48</v>
      </c>
      <c r="B155" s="19" t="s">
        <v>49</v>
      </c>
      <c r="C155" s="19" t="s">
        <v>50</v>
      </c>
      <c r="D155" s="20" t="s">
        <v>418</v>
      </c>
      <c r="E155" s="21" t="str">
        <f t="shared" si="2"/>
        <v>D22 PEM</v>
      </c>
      <c r="F155" s="21" t="s">
        <v>419</v>
      </c>
      <c r="G155" s="19" t="s">
        <v>55</v>
      </c>
      <c r="H155" s="19" t="s">
        <v>96</v>
      </c>
      <c r="I155" s="21">
        <v>71</v>
      </c>
      <c r="J155" s="19" t="s">
        <v>55</v>
      </c>
      <c r="K155" s="19" t="s">
        <v>98</v>
      </c>
      <c r="L155" s="19" t="s">
        <v>55</v>
      </c>
      <c r="M155" s="19" t="s">
        <v>55</v>
      </c>
    </row>
    <row r="156" spans="1:13">
      <c r="A156" s="19" t="s">
        <v>48</v>
      </c>
      <c r="B156" s="19" t="s">
        <v>49</v>
      </c>
      <c r="C156" s="19" t="s">
        <v>50</v>
      </c>
      <c r="D156" s="20" t="s">
        <v>420</v>
      </c>
      <c r="E156" s="21" t="str">
        <f t="shared" si="2"/>
        <v>D61 POS CODE</v>
      </c>
      <c r="F156" s="21" t="s">
        <v>421</v>
      </c>
      <c r="G156" s="19" t="s">
        <v>55</v>
      </c>
      <c r="H156" s="19" t="s">
        <v>96</v>
      </c>
      <c r="I156" s="21">
        <v>3</v>
      </c>
      <c r="J156" s="19" t="s">
        <v>55</v>
      </c>
      <c r="K156" s="19" t="s">
        <v>98</v>
      </c>
      <c r="L156" s="19" t="s">
        <v>55</v>
      </c>
      <c r="M156" s="19" t="s">
        <v>55</v>
      </c>
    </row>
    <row r="157" spans="1:13">
      <c r="A157" s="19" t="s">
        <v>48</v>
      </c>
      <c r="B157" s="19" t="s">
        <v>49</v>
      </c>
      <c r="C157" s="19" t="s">
        <v>50</v>
      </c>
      <c r="D157" s="20" t="s">
        <v>422</v>
      </c>
      <c r="E157" s="21" t="str">
        <f t="shared" si="2"/>
        <v>EMISOR SWT</v>
      </c>
      <c r="F157" s="21" t="s">
        <v>423</v>
      </c>
      <c r="G157" s="19" t="s">
        <v>55</v>
      </c>
      <c r="H157" s="19" t="s">
        <v>96</v>
      </c>
      <c r="I157" s="21">
        <v>0</v>
      </c>
      <c r="J157" s="19" t="s">
        <v>55</v>
      </c>
      <c r="K157" s="19" t="s">
        <v>98</v>
      </c>
      <c r="L157" s="19" t="s">
        <v>55</v>
      </c>
      <c r="M157" s="19" t="s">
        <v>55</v>
      </c>
    </row>
    <row r="158" spans="1:13">
      <c r="A158" s="19" t="s">
        <v>48</v>
      </c>
      <c r="B158" s="19" t="s">
        <v>49</v>
      </c>
      <c r="C158" s="19" t="s">
        <v>50</v>
      </c>
      <c r="D158" s="20" t="s">
        <v>424</v>
      </c>
      <c r="E158" s="21" t="str">
        <f t="shared" si="2"/>
        <v>ADQUIR SWT</v>
      </c>
      <c r="F158" s="21" t="s">
        <v>425</v>
      </c>
      <c r="G158" s="19" t="s">
        <v>55</v>
      </c>
      <c r="H158" s="19" t="s">
        <v>96</v>
      </c>
      <c r="I158" s="21">
        <v>7963</v>
      </c>
      <c r="J158" s="19" t="s">
        <v>55</v>
      </c>
      <c r="K158" s="19" t="s">
        <v>98</v>
      </c>
      <c r="L158" s="19" t="s">
        <v>55</v>
      </c>
      <c r="M158" s="19" t="s">
        <v>55</v>
      </c>
    </row>
    <row r="159" spans="1:13">
      <c r="A159" s="19" t="s">
        <v>48</v>
      </c>
      <c r="B159" s="19" t="s">
        <v>49</v>
      </c>
      <c r="C159" s="19" t="s">
        <v>50</v>
      </c>
      <c r="D159" s="20" t="s">
        <v>426</v>
      </c>
      <c r="E159" s="21" t="str">
        <f t="shared" si="2"/>
        <v>DE07 SWT</v>
      </c>
      <c r="F159" s="21" t="s">
        <v>427</v>
      </c>
      <c r="G159" s="19" t="s">
        <v>55</v>
      </c>
      <c r="H159" s="19" t="s">
        <v>96</v>
      </c>
      <c r="I159" s="21">
        <v>623012704</v>
      </c>
      <c r="J159" s="19" t="s">
        <v>55</v>
      </c>
      <c r="K159" s="19" t="s">
        <v>98</v>
      </c>
      <c r="L159" s="19" t="s">
        <v>55</v>
      </c>
      <c r="M159" s="19" t="s">
        <v>55</v>
      </c>
    </row>
    <row r="160" spans="1:13">
      <c r="A160" s="19" t="s">
        <v>48</v>
      </c>
      <c r="B160" s="19" t="s">
        <v>49</v>
      </c>
      <c r="C160" s="19" t="s">
        <v>50</v>
      </c>
      <c r="D160" s="20" t="s">
        <v>428</v>
      </c>
      <c r="E160" s="21" t="str">
        <f t="shared" si="2"/>
        <v>DE15 NETDATE</v>
      </c>
      <c r="F160" s="21" t="s">
        <v>429</v>
      </c>
      <c r="G160" s="19" t="s">
        <v>55</v>
      </c>
      <c r="H160" s="19" t="s">
        <v>96</v>
      </c>
      <c r="I160" s="21">
        <v>622</v>
      </c>
      <c r="J160" s="19" t="s">
        <v>55</v>
      </c>
      <c r="K160" s="19" t="s">
        <v>98</v>
      </c>
      <c r="L160" s="19" t="s">
        <v>55</v>
      </c>
      <c r="M160" s="19" t="s">
        <v>55</v>
      </c>
    </row>
    <row r="161" spans="1:13">
      <c r="A161" s="19" t="s">
        <v>48</v>
      </c>
      <c r="B161" s="19" t="s">
        <v>49</v>
      </c>
      <c r="C161" s="19" t="s">
        <v>50</v>
      </c>
      <c r="D161" s="20" t="s">
        <v>430</v>
      </c>
      <c r="E161" s="21" t="str">
        <f t="shared" si="2"/>
        <v>FLAT COMIS</v>
      </c>
      <c r="F161" s="21" t="s">
        <v>431</v>
      </c>
      <c r="G161" s="19" t="s">
        <v>55</v>
      </c>
      <c r="H161" s="19" t="s">
        <v>96</v>
      </c>
      <c r="I161" s="21">
        <v>0</v>
      </c>
      <c r="J161" s="19" t="s">
        <v>55</v>
      </c>
      <c r="K161" s="19" t="s">
        <v>98</v>
      </c>
      <c r="L161" s="19" t="s">
        <v>55</v>
      </c>
      <c r="M161" s="19" t="s">
        <v>55</v>
      </c>
    </row>
    <row r="162" spans="1:13">
      <c r="A162" s="19" t="s">
        <v>48</v>
      </c>
      <c r="B162" s="19" t="s">
        <v>49</v>
      </c>
      <c r="C162" s="19" t="s">
        <v>50</v>
      </c>
      <c r="D162" s="20" t="s">
        <v>432</v>
      </c>
      <c r="E162" s="21" t="str">
        <f t="shared" si="2"/>
        <v>FEC INTERC</v>
      </c>
      <c r="F162" s="21" t="s">
        <v>433</v>
      </c>
      <c r="G162" s="19" t="s">
        <v>55</v>
      </c>
      <c r="H162" s="19" t="s">
        <v>96</v>
      </c>
      <c r="I162" s="21">
        <v>0</v>
      </c>
      <c r="J162" s="19" t="s">
        <v>55</v>
      </c>
      <c r="K162" s="19" t="s">
        <v>98</v>
      </c>
      <c r="L162" s="19" t="s">
        <v>55</v>
      </c>
      <c r="M162" s="19" t="s">
        <v>55</v>
      </c>
    </row>
    <row r="163" spans="1:13">
      <c r="A163" s="19" t="s">
        <v>48</v>
      </c>
      <c r="B163" s="19" t="s">
        <v>49</v>
      </c>
      <c r="C163" s="19" t="s">
        <v>50</v>
      </c>
      <c r="D163" s="20" t="s">
        <v>434</v>
      </c>
      <c r="E163" s="21" t="str">
        <f t="shared" si="2"/>
        <v>IMP INTERC</v>
      </c>
      <c r="F163" s="21" t="s">
        <v>435</v>
      </c>
      <c r="G163" s="19" t="s">
        <v>55</v>
      </c>
      <c r="H163" s="19" t="s">
        <v>96</v>
      </c>
      <c r="I163" s="21">
        <v>0</v>
      </c>
      <c r="J163" s="19" t="s">
        <v>55</v>
      </c>
      <c r="K163" s="19" t="s">
        <v>98</v>
      </c>
      <c r="L163" s="19" t="s">
        <v>55</v>
      </c>
      <c r="M163" s="19" t="s">
        <v>55</v>
      </c>
    </row>
    <row r="164" spans="1:13">
      <c r="A164" s="19" t="s">
        <v>48</v>
      </c>
      <c r="B164" s="19" t="s">
        <v>49</v>
      </c>
      <c r="C164" s="19" t="s">
        <v>50</v>
      </c>
      <c r="D164" s="20" t="s">
        <v>436</v>
      </c>
      <c r="E164" s="21" t="str">
        <f t="shared" si="2"/>
        <v>ESQUEMA</v>
      </c>
      <c r="F164" s="21" t="s">
        <v>437</v>
      </c>
      <c r="G164" s="19" t="s">
        <v>55</v>
      </c>
      <c r="H164" s="19" t="s">
        <v>96</v>
      </c>
      <c r="I164" s="21">
        <v>0</v>
      </c>
      <c r="J164" s="19" t="s">
        <v>55</v>
      </c>
      <c r="K164" s="19" t="s">
        <v>98</v>
      </c>
      <c r="L164" s="19" t="s">
        <v>55</v>
      </c>
      <c r="M164" s="19" t="s">
        <v>55</v>
      </c>
    </row>
    <row r="165" spans="1:13">
      <c r="A165" s="19" t="s">
        <v>48</v>
      </c>
      <c r="B165" s="19" t="s">
        <v>49</v>
      </c>
      <c r="C165" s="19" t="s">
        <v>50</v>
      </c>
      <c r="D165" s="20" t="s">
        <v>438</v>
      </c>
      <c r="E165" s="21" t="str">
        <f t="shared" si="2"/>
        <v>TIPO COMISION (EM: ESCAL MCC, EE: ESTAB, ER: ESCAL RUC, CE: CAMP ESTAB, CR: CAMP RUC, FL: FLAT, PJ: PORCENTAJE)</v>
      </c>
      <c r="F165" s="21" t="s">
        <v>439</v>
      </c>
      <c r="G165" s="19" t="s">
        <v>55</v>
      </c>
      <c r="H165" s="19" t="s">
        <v>96</v>
      </c>
      <c r="I165" s="21" t="s">
        <v>440</v>
      </c>
      <c r="J165" s="19" t="s">
        <v>55</v>
      </c>
      <c r="K165" s="19" t="s">
        <v>98</v>
      </c>
      <c r="L165" s="19" t="s">
        <v>55</v>
      </c>
      <c r="M165" s="19" t="s">
        <v>55</v>
      </c>
    </row>
    <row r="166" spans="1:13">
      <c r="A166" s="19" t="s">
        <v>48</v>
      </c>
      <c r="B166" s="19" t="s">
        <v>49</v>
      </c>
      <c r="C166" s="19" t="s">
        <v>50</v>
      </c>
      <c r="D166" s="20" t="s">
        <v>441</v>
      </c>
      <c r="E166" s="21" t="str">
        <f t="shared" si="2"/>
        <v>NRO ID</v>
      </c>
      <c r="F166" s="21" t="s">
        <v>442</v>
      </c>
      <c r="G166" s="19" t="s">
        <v>55</v>
      </c>
      <c r="H166" s="19" t="s">
        <v>96</v>
      </c>
      <c r="I166" s="21">
        <v>623012704285846</v>
      </c>
      <c r="J166" s="19" t="s">
        <v>55</v>
      </c>
      <c r="K166" s="19" t="s">
        <v>98</v>
      </c>
      <c r="L166" s="19" t="s">
        <v>55</v>
      </c>
      <c r="M166" s="19" t="s">
        <v>55</v>
      </c>
    </row>
    <row r="167" spans="1:13">
      <c r="A167" s="19" t="s">
        <v>48</v>
      </c>
      <c r="B167" s="19" t="s">
        <v>49</v>
      </c>
      <c r="C167" s="19" t="s">
        <v>50</v>
      </c>
      <c r="D167" s="20" t="s">
        <v>443</v>
      </c>
      <c r="E167" s="21" t="str">
        <f t="shared" si="2"/>
        <v>DIST COMI EMI</v>
      </c>
      <c r="F167" s="21" t="s">
        <v>444</v>
      </c>
      <c r="G167" s="19" t="s">
        <v>55</v>
      </c>
      <c r="H167" s="19" t="s">
        <v>96</v>
      </c>
      <c r="I167" s="21">
        <v>0</v>
      </c>
      <c r="J167" s="19" t="s">
        <v>55</v>
      </c>
      <c r="K167" s="19" t="s">
        <v>98</v>
      </c>
      <c r="L167" s="19" t="s">
        <v>55</v>
      </c>
      <c r="M167" s="19" t="s">
        <v>55</v>
      </c>
    </row>
    <row r="168" spans="1:13">
      <c r="A168" s="19" t="s">
        <v>48</v>
      </c>
      <c r="B168" s="19" t="s">
        <v>49</v>
      </c>
      <c r="C168" s="19" t="s">
        <v>50</v>
      </c>
      <c r="D168" s="20" t="s">
        <v>445</v>
      </c>
      <c r="E168" s="21" t="str">
        <f t="shared" si="2"/>
        <v>IMPO DCC</v>
      </c>
      <c r="F168" s="21" t="s">
        <v>446</v>
      </c>
      <c r="G168" s="19" t="s">
        <v>55</v>
      </c>
      <c r="H168" s="19" t="s">
        <v>96</v>
      </c>
      <c r="I168" s="21">
        <v>0</v>
      </c>
      <c r="J168" s="19" t="s">
        <v>55</v>
      </c>
      <c r="K168" s="19" t="s">
        <v>98</v>
      </c>
      <c r="L168" s="19" t="s">
        <v>55</v>
      </c>
      <c r="M168" s="19" t="s">
        <v>55</v>
      </c>
    </row>
    <row r="169" spans="1:13">
      <c r="A169" s="19" t="s">
        <v>48</v>
      </c>
      <c r="B169" s="19" t="s">
        <v>49</v>
      </c>
      <c r="C169" s="19" t="s">
        <v>50</v>
      </c>
      <c r="D169" s="20" t="s">
        <v>447</v>
      </c>
      <c r="E169" s="21" t="str">
        <f t="shared" si="2"/>
        <v>MONE DCC</v>
      </c>
      <c r="F169" s="21" t="s">
        <v>448</v>
      </c>
      <c r="G169" s="19" t="s">
        <v>55</v>
      </c>
      <c r="H169" s="19" t="s">
        <v>96</v>
      </c>
      <c r="I169" s="21">
        <v>0</v>
      </c>
      <c r="J169" s="19" t="s">
        <v>55</v>
      </c>
      <c r="K169" s="19" t="s">
        <v>98</v>
      </c>
      <c r="L169" s="19" t="s">
        <v>55</v>
      </c>
      <c r="M169" s="19" t="s">
        <v>55</v>
      </c>
    </row>
    <row r="170" spans="1:13">
      <c r="A170" s="19" t="s">
        <v>48</v>
      </c>
      <c r="B170" s="19" t="s">
        <v>49</v>
      </c>
      <c r="C170" s="19" t="s">
        <v>50</v>
      </c>
      <c r="D170" s="20" t="s">
        <v>449</v>
      </c>
      <c r="E170" s="21" t="str">
        <f t="shared" si="2"/>
        <v>RATE MARGIN DCC</v>
      </c>
      <c r="F170" s="21" t="s">
        <v>450</v>
      </c>
      <c r="G170" s="19" t="s">
        <v>55</v>
      </c>
      <c r="H170" s="19" t="s">
        <v>96</v>
      </c>
      <c r="I170" s="21">
        <v>0</v>
      </c>
      <c r="J170" s="19" t="s">
        <v>55</v>
      </c>
      <c r="K170" s="19" t="s">
        <v>98</v>
      </c>
      <c r="L170" s="19" t="s">
        <v>55</v>
      </c>
      <c r="M170" s="19" t="s">
        <v>55</v>
      </c>
    </row>
    <row r="171" spans="1:13">
      <c r="A171" s="19" t="s">
        <v>48</v>
      </c>
      <c r="B171" s="19" t="s">
        <v>49</v>
      </c>
      <c r="C171" s="19" t="s">
        <v>50</v>
      </c>
      <c r="D171" s="20" t="s">
        <v>451</v>
      </c>
      <c r="E171" s="21" t="str">
        <f t="shared" si="2"/>
        <v>EXCHANGE RATE DCC</v>
      </c>
      <c r="F171" s="21" t="s">
        <v>452</v>
      </c>
      <c r="G171" s="19" t="s">
        <v>55</v>
      </c>
      <c r="H171" s="19" t="s">
        <v>96</v>
      </c>
      <c r="I171" s="21">
        <v>0</v>
      </c>
      <c r="J171" s="19" t="s">
        <v>55</v>
      </c>
      <c r="K171" s="19" t="s">
        <v>98</v>
      </c>
      <c r="L171" s="19" t="s">
        <v>55</v>
      </c>
      <c r="M171" s="19" t="s">
        <v>55</v>
      </c>
    </row>
    <row r="172" spans="1:13">
      <c r="A172" s="19" t="s">
        <v>48</v>
      </c>
      <c r="B172" s="19" t="s">
        <v>49</v>
      </c>
      <c r="C172" s="19" t="s">
        <v>50</v>
      </c>
      <c r="D172" s="20" t="s">
        <v>453</v>
      </c>
      <c r="E172" s="21" t="str">
        <f t="shared" si="2"/>
        <v>IMPO EQUIV DCC</v>
      </c>
      <c r="F172" s="21" t="s">
        <v>454</v>
      </c>
      <c r="G172" s="19" t="s">
        <v>55</v>
      </c>
      <c r="H172" s="19" t="s">
        <v>96</v>
      </c>
      <c r="I172" s="21">
        <v>0</v>
      </c>
      <c r="J172" s="19" t="s">
        <v>55</v>
      </c>
      <c r="K172" s="19" t="s">
        <v>98</v>
      </c>
      <c r="L172" s="19" t="s">
        <v>55</v>
      </c>
      <c r="M172" s="19" t="s">
        <v>55</v>
      </c>
    </row>
    <row r="173" spans="1:13">
      <c r="A173" s="19" t="s">
        <v>48</v>
      </c>
      <c r="B173" s="19" t="s">
        <v>49</v>
      </c>
      <c r="C173" s="19" t="s">
        <v>50</v>
      </c>
      <c r="D173" s="20" t="s">
        <v>455</v>
      </c>
      <c r="E173" s="21" t="str">
        <f t="shared" si="2"/>
        <v>PAY FACIL ID</v>
      </c>
      <c r="F173" s="21" t="s">
        <v>456</v>
      </c>
      <c r="G173" s="19" t="s">
        <v>55</v>
      </c>
      <c r="H173" s="19" t="s">
        <v>96</v>
      </c>
      <c r="I173" s="21">
        <v>0</v>
      </c>
      <c r="J173" s="19" t="s">
        <v>55</v>
      </c>
      <c r="K173" s="19" t="s">
        <v>98</v>
      </c>
      <c r="L173" s="19" t="s">
        <v>55</v>
      </c>
      <c r="M173" s="19" t="s">
        <v>55</v>
      </c>
    </row>
    <row r="174" spans="1:13">
      <c r="A174" s="19" t="s">
        <v>48</v>
      </c>
      <c r="B174" s="19" t="s">
        <v>49</v>
      </c>
      <c r="C174" s="19" t="s">
        <v>50</v>
      </c>
      <c r="D174" s="20" t="s">
        <v>457</v>
      </c>
      <c r="E174" s="21" t="str">
        <f t="shared" si="2"/>
        <v>COMI EMIS EXTR</v>
      </c>
      <c r="F174" s="21" t="s">
        <v>458</v>
      </c>
      <c r="G174" s="19" t="s">
        <v>55</v>
      </c>
      <c r="H174" s="19" t="s">
        <v>96</v>
      </c>
      <c r="I174" s="21">
        <v>0</v>
      </c>
      <c r="J174" s="19" t="s">
        <v>55</v>
      </c>
      <c r="K174" s="19" t="s">
        <v>98</v>
      </c>
      <c r="L174" s="19" t="s">
        <v>55</v>
      </c>
      <c r="M174" s="19" t="s">
        <v>55</v>
      </c>
    </row>
    <row r="175" spans="1:13">
      <c r="A175" s="19" t="s">
        <v>48</v>
      </c>
      <c r="B175" s="19" t="s">
        <v>49</v>
      </c>
      <c r="C175" s="19" t="s">
        <v>50</v>
      </c>
      <c r="D175" s="20" t="s">
        <v>459</v>
      </c>
      <c r="E175" s="21" t="str">
        <f t="shared" si="2"/>
        <v>SERV EMIS EXTR</v>
      </c>
      <c r="F175" s="21" t="s">
        <v>460</v>
      </c>
      <c r="G175" s="19" t="s">
        <v>55</v>
      </c>
      <c r="H175" s="19" t="s">
        <v>96</v>
      </c>
      <c r="I175" s="21">
        <v>0</v>
      </c>
      <c r="J175" s="19" t="s">
        <v>55</v>
      </c>
      <c r="K175" s="19" t="s">
        <v>98</v>
      </c>
      <c r="L175" s="19" t="s">
        <v>55</v>
      </c>
      <c r="M175" s="19" t="s">
        <v>55</v>
      </c>
    </row>
    <row r="176" spans="1:13">
      <c r="A176" s="19" t="s">
        <v>48</v>
      </c>
      <c r="B176" s="19" t="s">
        <v>49</v>
      </c>
      <c r="C176" s="19" t="s">
        <v>50</v>
      </c>
      <c r="D176" s="20" t="s">
        <v>461</v>
      </c>
      <c r="E176" s="21" t="str">
        <f t="shared" si="2"/>
        <v>IMPU.SERC EXTRA</v>
      </c>
      <c r="F176" s="21" t="s">
        <v>462</v>
      </c>
      <c r="G176" s="19" t="s">
        <v>55</v>
      </c>
      <c r="H176" s="19" t="s">
        <v>96</v>
      </c>
      <c r="I176" s="21">
        <v>0</v>
      </c>
      <c r="J176" s="19" t="s">
        <v>55</v>
      </c>
      <c r="K176" s="19" t="s">
        <v>98</v>
      </c>
      <c r="L176" s="19" t="s">
        <v>55</v>
      </c>
      <c r="M176" s="19" t="s">
        <v>55</v>
      </c>
    </row>
    <row r="177" spans="1:13">
      <c r="A177" s="19" t="s">
        <v>48</v>
      </c>
      <c r="B177" s="19" t="s">
        <v>49</v>
      </c>
      <c r="C177" s="19" t="s">
        <v>50</v>
      </c>
      <c r="D177" s="20" t="s">
        <v>463</v>
      </c>
      <c r="E177" s="21" t="str">
        <f t="shared" si="2"/>
        <v>FEXPI AAMM</v>
      </c>
      <c r="F177" s="21" t="s">
        <v>464</v>
      </c>
      <c r="G177" s="19" t="s">
        <v>55</v>
      </c>
      <c r="H177" s="19" t="s">
        <v>96</v>
      </c>
      <c r="I177" s="21"/>
      <c r="J177" s="19" t="s">
        <v>55</v>
      </c>
      <c r="K177" s="19" t="s">
        <v>98</v>
      </c>
      <c r="L177" s="19" t="s">
        <v>55</v>
      </c>
      <c r="M177" s="19" t="s">
        <v>55</v>
      </c>
    </row>
    <row r="178" spans="1:13">
      <c r="A178" s="19" t="s">
        <v>48</v>
      </c>
      <c r="B178" s="19" t="s">
        <v>49</v>
      </c>
      <c r="C178" s="19" t="s">
        <v>50</v>
      </c>
      <c r="D178" s="20" t="s">
        <v>465</v>
      </c>
      <c r="E178" s="21" t="str">
        <f t="shared" si="2"/>
        <v>STA.TXN D61.S7</v>
      </c>
      <c r="F178" s="21" t="s">
        <v>466</v>
      </c>
      <c r="G178" s="19" t="s">
        <v>55</v>
      </c>
      <c r="H178" s="19" t="s">
        <v>96</v>
      </c>
      <c r="I178" s="21">
        <v>0</v>
      </c>
      <c r="J178" s="19" t="s">
        <v>55</v>
      </c>
      <c r="K178" s="19" t="s">
        <v>98</v>
      </c>
      <c r="L178" s="19" t="s">
        <v>55</v>
      </c>
      <c r="M178" s="19" t="s">
        <v>55</v>
      </c>
    </row>
    <row r="179" spans="1:13">
      <c r="A179" s="19" t="s">
        <v>48</v>
      </c>
      <c r="B179" s="19" t="s">
        <v>49</v>
      </c>
      <c r="C179" s="19" t="s">
        <v>50</v>
      </c>
      <c r="D179" s="20" t="s">
        <v>467</v>
      </c>
      <c r="E179" s="21" t="str">
        <f t="shared" si="2"/>
        <v>AUT.F D48.S61.F5</v>
      </c>
      <c r="F179" s="21" t="s">
        <v>468</v>
      </c>
      <c r="G179" s="19" t="s">
        <v>55</v>
      </c>
      <c r="H179" s="19" t="s">
        <v>96</v>
      </c>
      <c r="I179" s="21">
        <v>1</v>
      </c>
      <c r="J179" s="19" t="s">
        <v>55</v>
      </c>
      <c r="K179" s="19" t="s">
        <v>98</v>
      </c>
      <c r="L179" s="19" t="s">
        <v>55</v>
      </c>
      <c r="M179" s="19" t="s">
        <v>55</v>
      </c>
    </row>
    <row r="180" spans="1:13">
      <c r="A180" s="19" t="s">
        <v>48</v>
      </c>
      <c r="B180" s="19" t="s">
        <v>49</v>
      </c>
      <c r="C180" s="19" t="s">
        <v>50</v>
      </c>
      <c r="D180" s="20" t="s">
        <v>469</v>
      </c>
      <c r="E180" s="21" t="str">
        <f t="shared" si="2"/>
        <v>TIPO OUTGO</v>
      </c>
      <c r="F180" s="21" t="s">
        <v>470</v>
      </c>
      <c r="G180" s="19" t="s">
        <v>55</v>
      </c>
      <c r="H180" s="19" t="s">
        <v>96</v>
      </c>
      <c r="I180" s="21" t="s">
        <v>471</v>
      </c>
      <c r="J180" s="19" t="s">
        <v>55</v>
      </c>
      <c r="K180" s="19" t="s">
        <v>98</v>
      </c>
      <c r="L180" s="19" t="s">
        <v>55</v>
      </c>
      <c r="M180" s="19" t="s">
        <v>55</v>
      </c>
    </row>
    <row r="181" spans="1:13">
      <c r="A181" s="19" t="s">
        <v>48</v>
      </c>
      <c r="B181" s="19" t="s">
        <v>49</v>
      </c>
      <c r="C181" s="19" t="s">
        <v>50</v>
      </c>
      <c r="D181" s="20" t="s">
        <v>472</v>
      </c>
      <c r="E181" s="21" t="str">
        <f t="shared" si="2"/>
        <v>FECHA LIQUI</v>
      </c>
      <c r="F181" s="21" t="s">
        <v>473</v>
      </c>
      <c r="G181" s="19" t="s">
        <v>55</v>
      </c>
      <c r="H181" s="19" t="s">
        <v>96</v>
      </c>
      <c r="I181" s="21">
        <v>0</v>
      </c>
      <c r="J181" s="19" t="s">
        <v>55</v>
      </c>
      <c r="K181" s="19" t="s">
        <v>98</v>
      </c>
      <c r="L181" s="19" t="s">
        <v>55</v>
      </c>
      <c r="M181" s="19" t="s">
        <v>55</v>
      </c>
    </row>
    <row r="182" spans="1:13">
      <c r="A182" s="19" t="s">
        <v>48</v>
      </c>
      <c r="B182" s="19" t="s">
        <v>49</v>
      </c>
      <c r="C182" s="19" t="s">
        <v>50</v>
      </c>
      <c r="D182" s="20" t="s">
        <v>474</v>
      </c>
      <c r="E182" s="21" t="str">
        <f t="shared" si="2"/>
        <v>IND WALLET</v>
      </c>
      <c r="F182" s="21" t="s">
        <v>475</v>
      </c>
      <c r="G182" s="19" t="s">
        <v>55</v>
      </c>
      <c r="H182" s="19" t="s">
        <v>96</v>
      </c>
      <c r="I182" s="21">
        <v>0</v>
      </c>
      <c r="J182" s="19" t="s">
        <v>55</v>
      </c>
      <c r="K182" s="19" t="s">
        <v>98</v>
      </c>
      <c r="L182" s="19" t="s">
        <v>55</v>
      </c>
      <c r="M182" s="19" t="s">
        <v>55</v>
      </c>
    </row>
    <row r="183" spans="1:13">
      <c r="A183" s="19" t="s">
        <v>48</v>
      </c>
      <c r="B183" s="19" t="s">
        <v>49</v>
      </c>
      <c r="C183" s="19" t="s">
        <v>50</v>
      </c>
      <c r="D183" s="20" t="s">
        <v>476</v>
      </c>
      <c r="E183" s="21" t="str">
        <f t="shared" si="2"/>
        <v>FACILITADOR</v>
      </c>
      <c r="F183" s="21" t="s">
        <v>477</v>
      </c>
      <c r="G183" s="19" t="s">
        <v>55</v>
      </c>
      <c r="H183" s="19" t="s">
        <v>96</v>
      </c>
      <c r="I183" s="21">
        <v>0</v>
      </c>
      <c r="J183" s="19" t="s">
        <v>55</v>
      </c>
      <c r="K183" s="19" t="s">
        <v>98</v>
      </c>
      <c r="L183" s="19" t="s">
        <v>55</v>
      </c>
      <c r="M183" s="19" t="s">
        <v>55</v>
      </c>
    </row>
    <row r="184" spans="1:13">
      <c r="A184" s="19" t="s">
        <v>48</v>
      </c>
      <c r="B184" s="19" t="s">
        <v>49</v>
      </c>
      <c r="C184" s="19" t="s">
        <v>50</v>
      </c>
      <c r="D184" s="20" t="s">
        <v>478</v>
      </c>
      <c r="E184" s="21" t="str">
        <f t="shared" si="2"/>
        <v>TIP FACILI</v>
      </c>
      <c r="F184" s="21" t="s">
        <v>479</v>
      </c>
      <c r="G184" s="19" t="s">
        <v>55</v>
      </c>
      <c r="H184" s="19" t="s">
        <v>96</v>
      </c>
      <c r="I184" s="21"/>
      <c r="J184" s="19" t="s">
        <v>55</v>
      </c>
      <c r="K184" s="19" t="s">
        <v>98</v>
      </c>
      <c r="L184" s="19" t="s">
        <v>55</v>
      </c>
      <c r="M184" s="19" t="s">
        <v>55</v>
      </c>
    </row>
    <row r="185" spans="1:13">
      <c r="A185" s="19" t="s">
        <v>48</v>
      </c>
      <c r="B185" s="19" t="s">
        <v>49</v>
      </c>
      <c r="C185" s="19" t="s">
        <v>50</v>
      </c>
      <c r="D185" s="20" t="s">
        <v>480</v>
      </c>
      <c r="E185" s="21" t="str">
        <f t="shared" si="2"/>
        <v>CAPT SWITCH</v>
      </c>
      <c r="F185" s="21" t="s">
        <v>481</v>
      </c>
      <c r="G185" s="19" t="s">
        <v>55</v>
      </c>
      <c r="H185" s="19" t="s">
        <v>96</v>
      </c>
      <c r="I185" s="21"/>
      <c r="J185" s="19" t="s">
        <v>55</v>
      </c>
      <c r="K185" s="19" t="s">
        <v>98</v>
      </c>
      <c r="L185" s="19" t="s">
        <v>55</v>
      </c>
      <c r="M185" s="19" t="s">
        <v>55</v>
      </c>
    </row>
    <row r="186" spans="1:13">
      <c r="A186" s="19" t="s">
        <v>48</v>
      </c>
      <c r="B186" s="19" t="s">
        <v>49</v>
      </c>
      <c r="C186" s="19" t="s">
        <v>50</v>
      </c>
      <c r="D186" s="20" t="s">
        <v>482</v>
      </c>
      <c r="E186" s="21" t="str">
        <f t="shared" si="2"/>
        <v>NOM COMERCIAL</v>
      </c>
      <c r="F186" s="21" t="s">
        <v>483</v>
      </c>
      <c r="G186" s="19" t="s">
        <v>55</v>
      </c>
      <c r="H186" s="19" t="s">
        <v>96</v>
      </c>
      <c r="I186" s="21" t="s">
        <v>484</v>
      </c>
      <c r="J186" s="19" t="s">
        <v>55</v>
      </c>
      <c r="K186" s="19" t="s">
        <v>98</v>
      </c>
      <c r="L186" s="19" t="s">
        <v>55</v>
      </c>
      <c r="M186" s="19" t="s">
        <v>55</v>
      </c>
    </row>
    <row r="187" spans="1:13">
      <c r="A187" s="19" t="s">
        <v>48</v>
      </c>
      <c r="B187" s="19" t="s">
        <v>49</v>
      </c>
      <c r="C187" s="19" t="s">
        <v>50</v>
      </c>
      <c r="D187" s="20" t="s">
        <v>485</v>
      </c>
      <c r="E187" s="21" t="str">
        <f t="shared" si="2"/>
        <v>AAV SECCODE</v>
      </c>
      <c r="F187" s="21" t="s">
        <v>486</v>
      </c>
      <c r="G187" s="19" t="s">
        <v>55</v>
      </c>
      <c r="H187" s="19" t="s">
        <v>96</v>
      </c>
      <c r="I187" s="21"/>
      <c r="J187" s="19" t="s">
        <v>55</v>
      </c>
      <c r="K187" s="19" t="s">
        <v>98</v>
      </c>
      <c r="L187" s="19" t="s">
        <v>55</v>
      </c>
      <c r="M187" s="19" t="s">
        <v>55</v>
      </c>
    </row>
    <row r="188" spans="1:13">
      <c r="A188" s="24" t="s">
        <v>48</v>
      </c>
      <c r="B188" s="19" t="s">
        <v>49</v>
      </c>
      <c r="C188" s="19" t="s">
        <v>50</v>
      </c>
      <c r="D188" s="20" t="s">
        <v>487</v>
      </c>
      <c r="E188" s="21" t="str">
        <f t="shared" si="2"/>
        <v>FECHA DE FOTO/DATOS CONFIGURADA EN EL ETL PARA LA EXTRACCIÓN DE DATOS, CORRESPONDE A APERTURAS DE COMERCIOS HASTA EL CIERRE DEL DÍA ANTERIOR</v>
      </c>
      <c r="F188" s="20" t="s">
        <v>488</v>
      </c>
      <c r="G188" s="24" t="s">
        <v>55</v>
      </c>
      <c r="H188" s="24" t="s">
        <v>489</v>
      </c>
      <c r="I188" s="25">
        <v>45841</v>
      </c>
      <c r="J188" s="24" t="s">
        <v>55</v>
      </c>
      <c r="K188" s="24" t="s">
        <v>55</v>
      </c>
      <c r="L188" s="24" t="s">
        <v>98</v>
      </c>
      <c r="M188" s="24" t="s">
        <v>55</v>
      </c>
    </row>
    <row r="189" spans="1:13">
      <c r="A189" s="19" t="s">
        <v>48</v>
      </c>
      <c r="B189" s="19" t="s">
        <v>49</v>
      </c>
      <c r="C189" s="19" t="s">
        <v>50</v>
      </c>
      <c r="D189" s="21" t="s">
        <v>490</v>
      </c>
      <c r="E189" s="21" t="str">
        <f t="shared" si="2"/>
        <v>DATO DE AUDITORÍA: DESCRIPCIÓN DEL APLICATIVO ORIGEN DE LOS DATOS.</v>
      </c>
      <c r="F189" s="21" t="s">
        <v>491</v>
      </c>
      <c r="G189" s="19" t="s">
        <v>55</v>
      </c>
      <c r="H189" s="19" t="s">
        <v>96</v>
      </c>
      <c r="I189" s="21" t="s">
        <v>492</v>
      </c>
      <c r="J189" s="19" t="s">
        <v>55</v>
      </c>
      <c r="K189" s="19" t="s">
        <v>55</v>
      </c>
      <c r="L189" s="19" t="s">
        <v>55</v>
      </c>
      <c r="M189" s="19" t="s">
        <v>55</v>
      </c>
    </row>
    <row r="190" spans="1:13">
      <c r="A190" s="19" t="s">
        <v>48</v>
      </c>
      <c r="B190" s="19" t="s">
        <v>49</v>
      </c>
      <c r="C190" s="19" t="s">
        <v>50</v>
      </c>
      <c r="D190" s="21" t="s">
        <v>493</v>
      </c>
      <c r="E190" s="21" t="str">
        <f t="shared" si="2"/>
        <v>FECHA Y HORA DE INSERCIÓN DEL REGISTRO EN EL MODELO</v>
      </c>
      <c r="F190" s="21" t="s">
        <v>494</v>
      </c>
      <c r="G190" s="19" t="s">
        <v>55</v>
      </c>
      <c r="H190" s="19" t="s">
        <v>495</v>
      </c>
      <c r="I190" s="21" t="s">
        <v>496</v>
      </c>
      <c r="J190" s="19" t="s">
        <v>55</v>
      </c>
      <c r="K190" s="19" t="s">
        <v>55</v>
      </c>
      <c r="L190" s="19" t="s">
        <v>55</v>
      </c>
      <c r="M190" s="19" t="s">
        <v>55</v>
      </c>
    </row>
    <row r="191" spans="1:13">
      <c r="A191" s="19" t="s">
        <v>48</v>
      </c>
      <c r="B191" s="19" t="s">
        <v>49</v>
      </c>
      <c r="C191" s="19" t="s">
        <v>50</v>
      </c>
      <c r="D191" s="21" t="s">
        <v>497</v>
      </c>
      <c r="E191" s="21" t="str">
        <f t="shared" si="2"/>
        <v>USUARIO QUE CREA EL REGISTRO EN LA BD</v>
      </c>
      <c r="F191" s="21" t="s">
        <v>498</v>
      </c>
      <c r="G191" s="19" t="s">
        <v>55</v>
      </c>
      <c r="H191" s="19" t="s">
        <v>96</v>
      </c>
      <c r="I191" s="21" t="s">
        <v>499</v>
      </c>
      <c r="J191" s="19" t="s">
        <v>55</v>
      </c>
      <c r="K191" s="19" t="s">
        <v>55</v>
      </c>
      <c r="L191" s="19" t="s">
        <v>55</v>
      </c>
      <c r="M191" s="19" t="s">
        <v>55</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37F5B-82F0-4E35-8B31-4D81E0C1D876}">
  <sheetPr codeName="Hoja3"/>
  <dimension ref="A1:M14"/>
  <sheetViews>
    <sheetView showGridLines="0" workbookViewId="0">
      <selection activeCell="D3" sqref="D3:F5"/>
    </sheetView>
  </sheetViews>
  <sheetFormatPr baseColWidth="10" defaultColWidth="11.453125" defaultRowHeight="14.5"/>
  <cols>
    <col min="1" max="4" width="29" style="18" customWidth="1"/>
    <col min="5" max="6" width="48.26953125" style="18" customWidth="1"/>
    <col min="7" max="8" width="29" style="18" customWidth="1"/>
    <col min="9" max="9" width="40.54296875" style="18" customWidth="1"/>
    <col min="10" max="13" width="29" style="18" customWidth="1"/>
    <col min="14" max="16384" width="11.453125" style="18"/>
  </cols>
  <sheetData>
    <row r="1" spans="1:13" ht="31">
      <c r="A1" s="26" t="s">
        <v>14</v>
      </c>
      <c r="B1" s="26" t="s">
        <v>15</v>
      </c>
      <c r="C1" s="26" t="s">
        <v>6</v>
      </c>
      <c r="D1" s="26" t="s">
        <v>7</v>
      </c>
      <c r="E1" s="26" t="s">
        <v>75</v>
      </c>
      <c r="F1" s="26" t="s">
        <v>76</v>
      </c>
      <c r="G1" s="26" t="s">
        <v>77</v>
      </c>
      <c r="H1" s="26" t="s">
        <v>78</v>
      </c>
      <c r="I1" s="26" t="s">
        <v>79</v>
      </c>
      <c r="J1" s="26" t="s">
        <v>80</v>
      </c>
      <c r="K1" s="26" t="s">
        <v>81</v>
      </c>
      <c r="L1" s="26" t="s">
        <v>82</v>
      </c>
      <c r="M1" s="26" t="s">
        <v>83</v>
      </c>
    </row>
    <row r="2" spans="1:13" ht="46.5">
      <c r="A2" s="27" t="s">
        <v>32</v>
      </c>
      <c r="B2" s="27" t="s">
        <v>33</v>
      </c>
      <c r="C2" s="27" t="s">
        <v>84</v>
      </c>
      <c r="D2" s="27" t="s">
        <v>85</v>
      </c>
      <c r="E2" s="27" t="s">
        <v>86</v>
      </c>
      <c r="F2" s="27" t="s">
        <v>87</v>
      </c>
      <c r="G2" s="27" t="s">
        <v>88</v>
      </c>
      <c r="H2" s="27" t="s">
        <v>89</v>
      </c>
      <c r="I2" s="27" t="s">
        <v>90</v>
      </c>
      <c r="J2" s="27" t="s">
        <v>91</v>
      </c>
      <c r="K2" s="27" t="s">
        <v>92</v>
      </c>
      <c r="L2" s="27" t="s">
        <v>93</v>
      </c>
      <c r="M2" s="27" t="s">
        <v>92</v>
      </c>
    </row>
    <row r="3" spans="1:13">
      <c r="A3" s="19" t="s">
        <v>48</v>
      </c>
      <c r="B3" s="19" t="s">
        <v>59</v>
      </c>
      <c r="C3" s="19" t="s">
        <v>60</v>
      </c>
      <c r="D3" s="20" t="s">
        <v>500</v>
      </c>
      <c r="E3" s="21" t="str">
        <f t="shared" ref="E3:E9" si="0">UPPER(F3)</f>
        <v>VALOR_ORIGINAL</v>
      </c>
      <c r="F3" s="20" t="s">
        <v>500</v>
      </c>
      <c r="G3" s="19" t="s">
        <v>55</v>
      </c>
      <c r="H3" s="19" t="s">
        <v>96</v>
      </c>
      <c r="I3" s="21">
        <v>7.4357043101001599E+22</v>
      </c>
      <c r="J3" s="19" t="s">
        <v>55</v>
      </c>
      <c r="K3" s="19" t="s">
        <v>98</v>
      </c>
      <c r="L3" s="19" t="s">
        <v>55</v>
      </c>
      <c r="M3" s="19" t="s">
        <v>55</v>
      </c>
    </row>
    <row r="4" spans="1:13">
      <c r="A4" s="19" t="s">
        <v>48</v>
      </c>
      <c r="B4" s="19" t="s">
        <v>59</v>
      </c>
      <c r="C4" s="19" t="s">
        <v>60</v>
      </c>
      <c r="D4" s="20" t="s">
        <v>501</v>
      </c>
      <c r="E4" s="21" t="str">
        <f t="shared" si="0"/>
        <v>MC_APROBADOR</v>
      </c>
      <c r="F4" s="20" t="s">
        <v>501</v>
      </c>
      <c r="G4" s="19" t="s">
        <v>55</v>
      </c>
      <c r="H4" s="19" t="s">
        <v>96</v>
      </c>
      <c r="I4" s="21" t="s">
        <v>502</v>
      </c>
      <c r="J4" s="19" t="s">
        <v>55</v>
      </c>
      <c r="K4" s="19" t="s">
        <v>98</v>
      </c>
      <c r="L4" s="19" t="s">
        <v>55</v>
      </c>
      <c r="M4" s="19" t="s">
        <v>55</v>
      </c>
    </row>
    <row r="5" spans="1:13">
      <c r="A5" s="19" t="s">
        <v>48</v>
      </c>
      <c r="B5" s="19" t="s">
        <v>59</v>
      </c>
      <c r="C5" s="19" t="s">
        <v>60</v>
      </c>
      <c r="D5" s="20" t="s">
        <v>503</v>
      </c>
      <c r="E5" s="21" t="str">
        <f t="shared" si="0"/>
        <v>VALOR_DESTINO</v>
      </c>
      <c r="F5" s="20" t="s">
        <v>503</v>
      </c>
      <c r="G5" s="19" t="s">
        <v>55</v>
      </c>
      <c r="H5" s="19" t="s">
        <v>96</v>
      </c>
      <c r="I5" s="21">
        <v>7.4357043102956598E+22</v>
      </c>
      <c r="J5" s="19" t="s">
        <v>55</v>
      </c>
      <c r="K5" s="19" t="s">
        <v>98</v>
      </c>
      <c r="L5" s="19" t="s">
        <v>55</v>
      </c>
      <c r="M5" s="19" t="s">
        <v>55</v>
      </c>
    </row>
    <row r="6" spans="1:13">
      <c r="A6" s="24" t="s">
        <v>48</v>
      </c>
      <c r="B6" s="19" t="s">
        <v>59</v>
      </c>
      <c r="C6" s="19" t="s">
        <v>60</v>
      </c>
      <c r="D6" s="20" t="s">
        <v>487</v>
      </c>
      <c r="E6" s="21" t="str">
        <f t="shared" si="0"/>
        <v>FECHA DE FOTO/DATOS CONFIGURADA EN EL ETL PARA LA EXTRACCIÓN DE DATOS, CORRESPONDE A APERTURAS DE COMERCIOS HASTA EL CIERRE DEL DÍA ANTERIOR</v>
      </c>
      <c r="F6" s="20" t="s">
        <v>488</v>
      </c>
      <c r="G6" s="24" t="s">
        <v>55</v>
      </c>
      <c r="H6" s="24" t="s">
        <v>489</v>
      </c>
      <c r="I6" s="25">
        <v>45841</v>
      </c>
      <c r="J6" s="24" t="s">
        <v>55</v>
      </c>
      <c r="K6" s="24" t="s">
        <v>55</v>
      </c>
      <c r="L6" s="24" t="s">
        <v>98</v>
      </c>
      <c r="M6" s="24" t="s">
        <v>55</v>
      </c>
    </row>
    <row r="7" spans="1:13">
      <c r="A7" s="19" t="s">
        <v>48</v>
      </c>
      <c r="B7" s="19" t="s">
        <v>59</v>
      </c>
      <c r="C7" s="19" t="s">
        <v>60</v>
      </c>
      <c r="D7" s="21" t="s">
        <v>490</v>
      </c>
      <c r="E7" s="21" t="str">
        <f t="shared" si="0"/>
        <v>DATO DE AUDITORÍA: DESCRIPCIÓN DEL APLICATIVO ORIGEN DE LOS DATOS.</v>
      </c>
      <c r="F7" s="21" t="s">
        <v>491</v>
      </c>
      <c r="G7" s="19" t="s">
        <v>55</v>
      </c>
      <c r="H7" s="19" t="s">
        <v>96</v>
      </c>
      <c r="I7" s="21" t="s">
        <v>492</v>
      </c>
      <c r="J7" s="19" t="s">
        <v>55</v>
      </c>
      <c r="K7" s="19" t="s">
        <v>55</v>
      </c>
      <c r="L7" s="19" t="s">
        <v>55</v>
      </c>
      <c r="M7" s="19" t="s">
        <v>55</v>
      </c>
    </row>
    <row r="8" spans="1:13">
      <c r="A8" s="19" t="s">
        <v>48</v>
      </c>
      <c r="B8" s="19" t="s">
        <v>59</v>
      </c>
      <c r="C8" s="19" t="s">
        <v>60</v>
      </c>
      <c r="D8" s="21" t="s">
        <v>493</v>
      </c>
      <c r="E8" s="21" t="str">
        <f t="shared" si="0"/>
        <v>FECHA Y HORA DE INSERCIÓN DEL REGISTRO EN EL MODELO</v>
      </c>
      <c r="F8" s="21" t="s">
        <v>494</v>
      </c>
      <c r="G8" s="19" t="s">
        <v>55</v>
      </c>
      <c r="H8" s="19" t="s">
        <v>495</v>
      </c>
      <c r="I8" s="21" t="s">
        <v>496</v>
      </c>
      <c r="J8" s="19" t="s">
        <v>55</v>
      </c>
      <c r="K8" s="19" t="s">
        <v>55</v>
      </c>
      <c r="L8" s="19" t="s">
        <v>55</v>
      </c>
      <c r="M8" s="19" t="s">
        <v>55</v>
      </c>
    </row>
    <row r="9" spans="1:13">
      <c r="A9" s="19" t="s">
        <v>48</v>
      </c>
      <c r="B9" s="19" t="s">
        <v>59</v>
      </c>
      <c r="C9" s="19" t="s">
        <v>60</v>
      </c>
      <c r="D9" s="21" t="s">
        <v>497</v>
      </c>
      <c r="E9" s="21" t="str">
        <f t="shared" si="0"/>
        <v>USUARIO QUE CREA EL REGISTRO EN LA BD</v>
      </c>
      <c r="F9" s="21" t="s">
        <v>498</v>
      </c>
      <c r="G9" s="19" t="s">
        <v>55</v>
      </c>
      <c r="H9" s="19" t="s">
        <v>96</v>
      </c>
      <c r="I9" s="21" t="s">
        <v>499</v>
      </c>
      <c r="J9" s="19" t="s">
        <v>55</v>
      </c>
      <c r="K9" s="19" t="s">
        <v>55</v>
      </c>
      <c r="L9" s="19" t="s">
        <v>55</v>
      </c>
      <c r="M9" s="19" t="s">
        <v>55</v>
      </c>
    </row>
    <row r="12" spans="1:13">
      <c r="I12"/>
    </row>
    <row r="13" spans="1:13">
      <c r="I13"/>
    </row>
    <row r="14" spans="1:13">
      <c r="I14"/>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BAC6B-E2B3-4B03-9B54-589682A2B22A}">
  <sheetPr codeName="Hoja4"/>
  <dimension ref="A1:M16"/>
  <sheetViews>
    <sheetView showGridLines="0" workbookViewId="0"/>
  </sheetViews>
  <sheetFormatPr baseColWidth="10" defaultColWidth="11.453125" defaultRowHeight="14.5"/>
  <cols>
    <col min="1" max="2" width="29" style="18" customWidth="1"/>
    <col min="3" max="3" width="36.7265625" style="18" customWidth="1"/>
    <col min="4" max="4" width="29" style="18" customWidth="1"/>
    <col min="5" max="6" width="48.26953125" style="18" customWidth="1"/>
    <col min="7" max="8" width="29" style="18" customWidth="1"/>
    <col min="9" max="9" width="40.54296875" style="18" customWidth="1"/>
    <col min="10" max="13" width="29" style="18" customWidth="1"/>
    <col min="14" max="16384" width="11.453125" style="18"/>
  </cols>
  <sheetData>
    <row r="1" spans="1:13" ht="31">
      <c r="A1" s="26" t="s">
        <v>14</v>
      </c>
      <c r="B1" s="26" t="s">
        <v>15</v>
      </c>
      <c r="C1" s="26" t="s">
        <v>6</v>
      </c>
      <c r="D1" s="26" t="s">
        <v>7</v>
      </c>
      <c r="E1" s="26" t="s">
        <v>75</v>
      </c>
      <c r="F1" s="26" t="s">
        <v>76</v>
      </c>
      <c r="G1" s="26" t="s">
        <v>77</v>
      </c>
      <c r="H1" s="26" t="s">
        <v>78</v>
      </c>
      <c r="I1" s="26" t="s">
        <v>79</v>
      </c>
      <c r="J1" s="26" t="s">
        <v>80</v>
      </c>
      <c r="K1" s="26" t="s">
        <v>81</v>
      </c>
      <c r="L1" s="26" t="s">
        <v>82</v>
      </c>
      <c r="M1" s="26" t="s">
        <v>83</v>
      </c>
    </row>
    <row r="2" spans="1:13" ht="46.5">
      <c r="A2" s="27" t="s">
        <v>32</v>
      </c>
      <c r="B2" s="27" t="s">
        <v>33</v>
      </c>
      <c r="C2" s="27" t="s">
        <v>84</v>
      </c>
      <c r="D2" s="27" t="s">
        <v>85</v>
      </c>
      <c r="E2" s="27" t="s">
        <v>86</v>
      </c>
      <c r="F2" s="27" t="s">
        <v>87</v>
      </c>
      <c r="G2" s="27" t="s">
        <v>88</v>
      </c>
      <c r="H2" s="27" t="s">
        <v>89</v>
      </c>
      <c r="I2" s="27" t="s">
        <v>90</v>
      </c>
      <c r="J2" s="27" t="s">
        <v>91</v>
      </c>
      <c r="K2" s="27" t="s">
        <v>92</v>
      </c>
      <c r="L2" s="27" t="s">
        <v>93</v>
      </c>
      <c r="M2" s="27" t="s">
        <v>92</v>
      </c>
    </row>
    <row r="3" spans="1:13">
      <c r="A3" s="19" t="s">
        <v>48</v>
      </c>
      <c r="B3" s="19" t="s">
        <v>59</v>
      </c>
      <c r="C3" s="19" t="s">
        <v>63</v>
      </c>
      <c r="D3" s="20" t="s">
        <v>500</v>
      </c>
      <c r="E3" s="21" t="str">
        <f t="shared" ref="E3:E9" si="0">UPPER(F3)</f>
        <v>VALOR_ORIGINAL</v>
      </c>
      <c r="F3" s="20" t="s">
        <v>500</v>
      </c>
      <c r="G3" s="19" t="s">
        <v>55</v>
      </c>
      <c r="H3" s="19" t="s">
        <v>96</v>
      </c>
      <c r="I3" s="21">
        <v>7.4357043102956598E+22</v>
      </c>
      <c r="J3" s="19" t="s">
        <v>55</v>
      </c>
      <c r="K3" s="19" t="s">
        <v>98</v>
      </c>
      <c r="L3" s="19" t="s">
        <v>55</v>
      </c>
      <c r="M3" s="19" t="s">
        <v>55</v>
      </c>
    </row>
    <row r="4" spans="1:13">
      <c r="A4" s="19" t="s">
        <v>48</v>
      </c>
      <c r="B4" s="19" t="s">
        <v>59</v>
      </c>
      <c r="C4" s="19" t="s">
        <v>63</v>
      </c>
      <c r="D4" s="20" t="s">
        <v>501</v>
      </c>
      <c r="E4" s="21" t="str">
        <f t="shared" si="0"/>
        <v>MC_APROBADOR</v>
      </c>
      <c r="F4" s="20" t="s">
        <v>501</v>
      </c>
      <c r="G4" s="19" t="s">
        <v>55</v>
      </c>
      <c r="H4" s="19" t="s">
        <v>96</v>
      </c>
      <c r="I4" s="21" t="s">
        <v>502</v>
      </c>
      <c r="J4" s="19" t="s">
        <v>55</v>
      </c>
      <c r="K4" s="19" t="s">
        <v>98</v>
      </c>
      <c r="L4" s="19" t="s">
        <v>55</v>
      </c>
      <c r="M4" s="19" t="s">
        <v>55</v>
      </c>
    </row>
    <row r="5" spans="1:13">
      <c r="A5" s="19" t="s">
        <v>48</v>
      </c>
      <c r="B5" s="19" t="s">
        <v>59</v>
      </c>
      <c r="C5" s="19" t="s">
        <v>63</v>
      </c>
      <c r="D5" s="20" t="s">
        <v>503</v>
      </c>
      <c r="E5" s="21" t="str">
        <f t="shared" si="0"/>
        <v>VALOR_DESTINO</v>
      </c>
      <c r="F5" s="20" t="s">
        <v>503</v>
      </c>
      <c r="G5" s="19" t="s">
        <v>55</v>
      </c>
      <c r="H5" s="19" t="s">
        <v>96</v>
      </c>
      <c r="I5" s="21">
        <v>7.4357043102956598E+22</v>
      </c>
      <c r="J5" s="19" t="s">
        <v>55</v>
      </c>
      <c r="K5" s="19" t="s">
        <v>98</v>
      </c>
      <c r="L5" s="19" t="s">
        <v>55</v>
      </c>
      <c r="M5" s="19" t="s">
        <v>55</v>
      </c>
    </row>
    <row r="6" spans="1:13">
      <c r="A6" s="24" t="s">
        <v>48</v>
      </c>
      <c r="B6" s="19" t="s">
        <v>59</v>
      </c>
      <c r="C6" s="19" t="s">
        <v>63</v>
      </c>
      <c r="D6" s="20" t="s">
        <v>487</v>
      </c>
      <c r="E6" s="21" t="str">
        <f t="shared" si="0"/>
        <v>FECHA DE FOTO/DATOS CONFIGURADA EN EL ETL PARA LA EXTRACCIÓN DE DATOS, CORRESPONDE A APERTURAS DE COMERCIOS HASTA EL CIERRE DEL DÍA ANTERIOR</v>
      </c>
      <c r="F6" s="20" t="s">
        <v>488</v>
      </c>
      <c r="G6" s="24" t="s">
        <v>55</v>
      </c>
      <c r="H6" s="24" t="s">
        <v>489</v>
      </c>
      <c r="I6" s="25">
        <v>45841</v>
      </c>
      <c r="J6" s="24" t="s">
        <v>55</v>
      </c>
      <c r="K6" s="24" t="s">
        <v>55</v>
      </c>
      <c r="L6" s="24" t="s">
        <v>98</v>
      </c>
      <c r="M6" s="24" t="s">
        <v>55</v>
      </c>
    </row>
    <row r="7" spans="1:13">
      <c r="A7" s="19" t="s">
        <v>48</v>
      </c>
      <c r="B7" s="19" t="s">
        <v>59</v>
      </c>
      <c r="C7" s="19" t="s">
        <v>63</v>
      </c>
      <c r="D7" s="21" t="s">
        <v>490</v>
      </c>
      <c r="E7" s="21" t="str">
        <f t="shared" si="0"/>
        <v>DATO DE AUDITORÍA: DESCRIPCIÓN DEL APLICATIVO ORIGEN DE LOS DATOS.</v>
      </c>
      <c r="F7" s="21" t="s">
        <v>491</v>
      </c>
      <c r="G7" s="19" t="s">
        <v>55</v>
      </c>
      <c r="H7" s="19" t="s">
        <v>96</v>
      </c>
      <c r="I7" s="21" t="s">
        <v>492</v>
      </c>
      <c r="J7" s="19" t="s">
        <v>55</v>
      </c>
      <c r="K7" s="19" t="s">
        <v>55</v>
      </c>
      <c r="L7" s="19" t="s">
        <v>55</v>
      </c>
      <c r="M7" s="19" t="s">
        <v>55</v>
      </c>
    </row>
    <row r="8" spans="1:13">
      <c r="A8" s="19" t="s">
        <v>48</v>
      </c>
      <c r="B8" s="19" t="s">
        <v>59</v>
      </c>
      <c r="C8" s="19" t="s">
        <v>63</v>
      </c>
      <c r="D8" s="21" t="s">
        <v>493</v>
      </c>
      <c r="E8" s="21" t="str">
        <f t="shared" si="0"/>
        <v>FECHA Y HORA DE INSERCIÓN DEL REGISTRO EN EL MODELO</v>
      </c>
      <c r="F8" s="21" t="s">
        <v>494</v>
      </c>
      <c r="G8" s="19" t="s">
        <v>55</v>
      </c>
      <c r="H8" s="19" t="s">
        <v>495</v>
      </c>
      <c r="I8" s="21" t="s">
        <v>496</v>
      </c>
      <c r="J8" s="19" t="s">
        <v>55</v>
      </c>
      <c r="K8" s="19" t="s">
        <v>55</v>
      </c>
      <c r="L8" s="19" t="s">
        <v>55</v>
      </c>
      <c r="M8" s="19" t="s">
        <v>55</v>
      </c>
    </row>
    <row r="9" spans="1:13">
      <c r="A9" s="19" t="s">
        <v>48</v>
      </c>
      <c r="B9" s="19" t="s">
        <v>59</v>
      </c>
      <c r="C9" s="19" t="s">
        <v>63</v>
      </c>
      <c r="D9" s="21" t="s">
        <v>497</v>
      </c>
      <c r="E9" s="21" t="str">
        <f t="shared" si="0"/>
        <v>USUARIO QUE CREA EL REGISTRO EN LA BD</v>
      </c>
      <c r="F9" s="21" t="s">
        <v>498</v>
      </c>
      <c r="G9" s="19" t="s">
        <v>55</v>
      </c>
      <c r="H9" s="19" t="s">
        <v>96</v>
      </c>
      <c r="I9" s="21" t="s">
        <v>499</v>
      </c>
      <c r="J9" s="19" t="s">
        <v>55</v>
      </c>
      <c r="K9" s="19" t="s">
        <v>55</v>
      </c>
      <c r="L9" s="19" t="s">
        <v>55</v>
      </c>
      <c r="M9" s="19" t="s">
        <v>55</v>
      </c>
    </row>
    <row r="12" spans="1:13">
      <c r="I12"/>
    </row>
    <row r="13" spans="1:13">
      <c r="D13"/>
      <c r="I13"/>
    </row>
    <row r="14" spans="1:13">
      <c r="D14"/>
      <c r="I14"/>
    </row>
    <row r="15" spans="1:13">
      <c r="D15"/>
    </row>
    <row r="16" spans="1:13">
      <c r="D1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15DA4-9132-40D8-95D3-88B4D91EAFBA}">
  <sheetPr codeName="Hoja7"/>
  <dimension ref="A1:M16"/>
  <sheetViews>
    <sheetView showGridLines="0" topLeftCell="B1" workbookViewId="0">
      <selection activeCell="D27" sqref="D27"/>
    </sheetView>
  </sheetViews>
  <sheetFormatPr baseColWidth="10" defaultColWidth="11.453125" defaultRowHeight="14.5"/>
  <cols>
    <col min="1" max="2" width="29" style="18" customWidth="1"/>
    <col min="3" max="3" width="36.7265625" style="18" customWidth="1"/>
    <col min="4" max="4" width="29" style="18" customWidth="1"/>
    <col min="5" max="6" width="48.26953125" style="18" customWidth="1"/>
    <col min="7" max="8" width="29" style="18" customWidth="1"/>
    <col min="9" max="9" width="40.54296875" style="18" customWidth="1"/>
    <col min="10" max="13" width="29" style="18" customWidth="1"/>
    <col min="14" max="16384" width="11.453125" style="18"/>
  </cols>
  <sheetData>
    <row r="1" spans="1:13" ht="31">
      <c r="A1" s="26" t="s">
        <v>14</v>
      </c>
      <c r="B1" s="26" t="s">
        <v>15</v>
      </c>
      <c r="C1" s="26" t="s">
        <v>6</v>
      </c>
      <c r="D1" s="26" t="s">
        <v>7</v>
      </c>
      <c r="E1" s="26" t="s">
        <v>75</v>
      </c>
      <c r="F1" s="26" t="s">
        <v>76</v>
      </c>
      <c r="G1" s="26" t="s">
        <v>77</v>
      </c>
      <c r="H1" s="26" t="s">
        <v>78</v>
      </c>
      <c r="I1" s="26" t="s">
        <v>79</v>
      </c>
      <c r="J1" s="26" t="s">
        <v>80</v>
      </c>
      <c r="K1" s="26" t="s">
        <v>81</v>
      </c>
      <c r="L1" s="26" t="s">
        <v>82</v>
      </c>
      <c r="M1" s="26" t="s">
        <v>83</v>
      </c>
    </row>
    <row r="2" spans="1:13" ht="46.5">
      <c r="A2" s="27" t="s">
        <v>32</v>
      </c>
      <c r="B2" s="27" t="s">
        <v>33</v>
      </c>
      <c r="C2" s="27" t="s">
        <v>84</v>
      </c>
      <c r="D2" s="27" t="s">
        <v>85</v>
      </c>
      <c r="E2" s="27" t="s">
        <v>86</v>
      </c>
      <c r="F2" s="27" t="s">
        <v>87</v>
      </c>
      <c r="G2" s="27" t="s">
        <v>88</v>
      </c>
      <c r="H2" s="27" t="s">
        <v>89</v>
      </c>
      <c r="I2" s="27" t="s">
        <v>90</v>
      </c>
      <c r="J2" s="27" t="s">
        <v>91</v>
      </c>
      <c r="K2" s="27" t="s">
        <v>92</v>
      </c>
      <c r="L2" s="27" t="s">
        <v>93</v>
      </c>
      <c r="M2" s="27" t="s">
        <v>92</v>
      </c>
    </row>
    <row r="3" spans="1:13">
      <c r="A3" s="19" t="s">
        <v>48</v>
      </c>
      <c r="B3" s="19" t="s">
        <v>59</v>
      </c>
      <c r="C3" s="19" t="s">
        <v>65</v>
      </c>
      <c r="D3" s="20" t="s">
        <v>500</v>
      </c>
      <c r="E3" s="21" t="str">
        <f t="shared" ref="E3:E9" si="0">UPPER(F3)</f>
        <v>VALOR_ORIGINAL</v>
      </c>
      <c r="F3" s="20" t="s">
        <v>500</v>
      </c>
      <c r="G3" s="19" t="s">
        <v>55</v>
      </c>
      <c r="H3" s="19" t="s">
        <v>96</v>
      </c>
      <c r="I3" s="21">
        <v>7.4357043102956598E+22</v>
      </c>
      <c r="J3" s="19" t="s">
        <v>55</v>
      </c>
      <c r="K3" s="19" t="s">
        <v>98</v>
      </c>
      <c r="L3" s="19" t="s">
        <v>55</v>
      </c>
      <c r="M3" s="19" t="s">
        <v>55</v>
      </c>
    </row>
    <row r="4" spans="1:13">
      <c r="A4" s="19" t="s">
        <v>48</v>
      </c>
      <c r="B4" s="19" t="s">
        <v>59</v>
      </c>
      <c r="C4" s="19" t="s">
        <v>65</v>
      </c>
      <c r="D4" s="20" t="s">
        <v>501</v>
      </c>
      <c r="E4" s="21" t="str">
        <f t="shared" si="0"/>
        <v>MC_APROBADOR</v>
      </c>
      <c r="F4" s="20" t="s">
        <v>501</v>
      </c>
      <c r="G4" s="19" t="s">
        <v>55</v>
      </c>
      <c r="H4" s="19" t="s">
        <v>96</v>
      </c>
      <c r="I4" s="21" t="s">
        <v>502</v>
      </c>
      <c r="J4" s="19" t="s">
        <v>55</v>
      </c>
      <c r="K4" s="19" t="s">
        <v>98</v>
      </c>
      <c r="L4" s="19" t="s">
        <v>55</v>
      </c>
      <c r="M4" s="19" t="s">
        <v>55</v>
      </c>
    </row>
    <row r="5" spans="1:13">
      <c r="A5" s="19" t="s">
        <v>48</v>
      </c>
      <c r="B5" s="19" t="s">
        <v>59</v>
      </c>
      <c r="C5" s="19" t="s">
        <v>65</v>
      </c>
      <c r="D5" s="20" t="s">
        <v>503</v>
      </c>
      <c r="E5" s="21" t="str">
        <f t="shared" si="0"/>
        <v>VALOR_DESTINO</v>
      </c>
      <c r="F5" s="20" t="s">
        <v>503</v>
      </c>
      <c r="G5" s="19" t="s">
        <v>55</v>
      </c>
      <c r="H5" s="19" t="s">
        <v>96</v>
      </c>
      <c r="I5" s="21">
        <v>7.4357043102956598E+22</v>
      </c>
      <c r="J5" s="19" t="s">
        <v>55</v>
      </c>
      <c r="K5" s="19" t="s">
        <v>98</v>
      </c>
      <c r="L5" s="19" t="s">
        <v>55</v>
      </c>
      <c r="M5" s="19" t="s">
        <v>55</v>
      </c>
    </row>
    <row r="6" spans="1:13">
      <c r="A6" s="24" t="s">
        <v>48</v>
      </c>
      <c r="B6" s="19" t="s">
        <v>59</v>
      </c>
      <c r="C6" s="19" t="s">
        <v>65</v>
      </c>
      <c r="D6" s="20" t="s">
        <v>487</v>
      </c>
      <c r="E6" s="21" t="str">
        <f t="shared" si="0"/>
        <v>FECHA DE FOTO/DATOS CONFIGURADA EN EL ETL PARA LA EXTRACCIÓN DE DATOS, CORRESPONDE A APERTURAS DE COMERCIOS HASTA EL CIERRE DEL DÍA ANTERIOR</v>
      </c>
      <c r="F6" s="20" t="s">
        <v>488</v>
      </c>
      <c r="G6" s="24" t="s">
        <v>55</v>
      </c>
      <c r="H6" s="24" t="s">
        <v>489</v>
      </c>
      <c r="I6" s="25">
        <v>45841</v>
      </c>
      <c r="J6" s="24" t="s">
        <v>55</v>
      </c>
      <c r="K6" s="24" t="s">
        <v>55</v>
      </c>
      <c r="L6" s="24" t="s">
        <v>98</v>
      </c>
      <c r="M6" s="24" t="s">
        <v>55</v>
      </c>
    </row>
    <row r="7" spans="1:13">
      <c r="A7" s="19" t="s">
        <v>48</v>
      </c>
      <c r="B7" s="19" t="s">
        <v>59</v>
      </c>
      <c r="C7" s="19" t="s">
        <v>65</v>
      </c>
      <c r="D7" s="21" t="s">
        <v>490</v>
      </c>
      <c r="E7" s="21" t="str">
        <f t="shared" si="0"/>
        <v>DATO DE AUDITORÍA: DESCRIPCIÓN DEL APLICATIVO ORIGEN DE LOS DATOS.</v>
      </c>
      <c r="F7" s="21" t="s">
        <v>491</v>
      </c>
      <c r="G7" s="19" t="s">
        <v>55</v>
      </c>
      <c r="H7" s="19" t="s">
        <v>96</v>
      </c>
      <c r="I7" s="21" t="s">
        <v>492</v>
      </c>
      <c r="J7" s="19" t="s">
        <v>55</v>
      </c>
      <c r="K7" s="19" t="s">
        <v>55</v>
      </c>
      <c r="L7" s="19" t="s">
        <v>55</v>
      </c>
      <c r="M7" s="19" t="s">
        <v>55</v>
      </c>
    </row>
    <row r="8" spans="1:13">
      <c r="A8" s="19" t="s">
        <v>48</v>
      </c>
      <c r="B8" s="19" t="s">
        <v>59</v>
      </c>
      <c r="C8" s="19" t="s">
        <v>65</v>
      </c>
      <c r="D8" s="21" t="s">
        <v>493</v>
      </c>
      <c r="E8" s="21" t="str">
        <f t="shared" si="0"/>
        <v>FECHA Y HORA DE INSERCIÓN DEL REGISTRO EN EL MODELO</v>
      </c>
      <c r="F8" s="21" t="s">
        <v>494</v>
      </c>
      <c r="G8" s="19" t="s">
        <v>55</v>
      </c>
      <c r="H8" s="19" t="s">
        <v>495</v>
      </c>
      <c r="I8" s="21" t="s">
        <v>496</v>
      </c>
      <c r="J8" s="19" t="s">
        <v>55</v>
      </c>
      <c r="K8" s="19" t="s">
        <v>55</v>
      </c>
      <c r="L8" s="19" t="s">
        <v>55</v>
      </c>
      <c r="M8" s="19" t="s">
        <v>55</v>
      </c>
    </row>
    <row r="9" spans="1:13">
      <c r="A9" s="19" t="s">
        <v>48</v>
      </c>
      <c r="B9" s="19" t="s">
        <v>59</v>
      </c>
      <c r="C9" s="19" t="s">
        <v>65</v>
      </c>
      <c r="D9" s="21" t="s">
        <v>497</v>
      </c>
      <c r="E9" s="21" t="str">
        <f t="shared" si="0"/>
        <v>USUARIO QUE CREA EL REGISTRO EN LA BD</v>
      </c>
      <c r="F9" s="21" t="s">
        <v>498</v>
      </c>
      <c r="G9" s="19" t="s">
        <v>55</v>
      </c>
      <c r="H9" s="19" t="s">
        <v>96</v>
      </c>
      <c r="I9" s="21" t="s">
        <v>499</v>
      </c>
      <c r="J9" s="19" t="s">
        <v>55</v>
      </c>
      <c r="K9" s="19" t="s">
        <v>55</v>
      </c>
      <c r="L9" s="19" t="s">
        <v>55</v>
      </c>
      <c r="M9" s="19" t="s">
        <v>55</v>
      </c>
    </row>
    <row r="12" spans="1:13">
      <c r="I12"/>
    </row>
    <row r="13" spans="1:13">
      <c r="D13"/>
      <c r="I13"/>
    </row>
    <row r="14" spans="1:13">
      <c r="D14"/>
      <c r="I14"/>
    </row>
    <row r="15" spans="1:13">
      <c r="D15"/>
    </row>
    <row r="16" spans="1:13">
      <c r="D1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DC2A4-D6C3-45EE-B746-B4EFC1B9A58A}">
  <sheetPr codeName="Hoja5"/>
  <dimension ref="A1:M16"/>
  <sheetViews>
    <sheetView showGridLines="0" workbookViewId="0">
      <selection activeCell="B3" sqref="B3:D8"/>
    </sheetView>
  </sheetViews>
  <sheetFormatPr baseColWidth="10" defaultColWidth="11.453125" defaultRowHeight="14.5"/>
  <cols>
    <col min="1" max="4" width="29" style="18" customWidth="1"/>
    <col min="5" max="6" width="48.26953125" style="18" customWidth="1"/>
    <col min="7" max="8" width="29" style="18" customWidth="1"/>
    <col min="9" max="9" width="40.54296875" style="18" customWidth="1"/>
    <col min="10" max="13" width="29" style="18" customWidth="1"/>
    <col min="14" max="16384" width="11.453125" style="18"/>
  </cols>
  <sheetData>
    <row r="1" spans="1:13" ht="31">
      <c r="A1" s="26" t="s">
        <v>14</v>
      </c>
      <c r="B1" s="26" t="s">
        <v>15</v>
      </c>
      <c r="C1" s="26" t="s">
        <v>6</v>
      </c>
      <c r="D1" s="26" t="s">
        <v>7</v>
      </c>
      <c r="E1" s="26" t="s">
        <v>75</v>
      </c>
      <c r="F1" s="26" t="s">
        <v>76</v>
      </c>
      <c r="G1" s="26" t="s">
        <v>77</v>
      </c>
      <c r="H1" s="26" t="s">
        <v>78</v>
      </c>
      <c r="I1" s="26" t="s">
        <v>79</v>
      </c>
      <c r="J1" s="26" t="s">
        <v>80</v>
      </c>
      <c r="K1" s="26" t="s">
        <v>81</v>
      </c>
      <c r="L1" s="26" t="s">
        <v>82</v>
      </c>
      <c r="M1" s="26" t="s">
        <v>83</v>
      </c>
    </row>
    <row r="2" spans="1:13" ht="46.5">
      <c r="A2" s="27" t="s">
        <v>32</v>
      </c>
      <c r="B2" s="27" t="s">
        <v>33</v>
      </c>
      <c r="C2" s="27" t="s">
        <v>84</v>
      </c>
      <c r="D2" s="27" t="s">
        <v>85</v>
      </c>
      <c r="E2" s="27" t="s">
        <v>86</v>
      </c>
      <c r="F2" s="27" t="s">
        <v>87</v>
      </c>
      <c r="G2" s="27" t="s">
        <v>88</v>
      </c>
      <c r="H2" s="27" t="s">
        <v>89</v>
      </c>
      <c r="I2" s="27" t="s">
        <v>90</v>
      </c>
      <c r="J2" s="27" t="s">
        <v>91</v>
      </c>
      <c r="K2" s="27" t="s">
        <v>92</v>
      </c>
      <c r="L2" s="27" t="s">
        <v>93</v>
      </c>
      <c r="M2" s="27" t="s">
        <v>92</v>
      </c>
    </row>
    <row r="3" spans="1:13">
      <c r="A3" s="19" t="s">
        <v>48</v>
      </c>
      <c r="B3" s="19" t="s">
        <v>59</v>
      </c>
      <c r="C3" s="19" t="s">
        <v>66</v>
      </c>
      <c r="D3" s="7" t="s">
        <v>504</v>
      </c>
      <c r="E3" s="21" t="str">
        <f t="shared" ref="E3:E8" si="0">UPPER(F3)</f>
        <v>ARD_ARN87_034</v>
      </c>
      <c r="F3" s="7" t="s">
        <v>504</v>
      </c>
      <c r="G3" s="19" t="s">
        <v>55</v>
      </c>
      <c r="H3" s="19" t="s">
        <v>96</v>
      </c>
      <c r="I3" s="21">
        <v>7.4357043101001599E+22</v>
      </c>
      <c r="J3" s="19" t="s">
        <v>55</v>
      </c>
      <c r="K3" s="19" t="s">
        <v>98</v>
      </c>
      <c r="L3" s="19" t="s">
        <v>55</v>
      </c>
      <c r="M3" s="19" t="s">
        <v>55</v>
      </c>
    </row>
    <row r="4" spans="1:13">
      <c r="A4" s="19" t="s">
        <v>48</v>
      </c>
      <c r="B4" s="19" t="s">
        <v>59</v>
      </c>
      <c r="C4" s="19" t="s">
        <v>66</v>
      </c>
      <c r="D4" s="20" t="s">
        <v>505</v>
      </c>
      <c r="E4" s="21" t="str">
        <f t="shared" si="0"/>
        <v>ENTRYMODE</v>
      </c>
      <c r="F4" s="20" t="s">
        <v>505</v>
      </c>
      <c r="G4" s="19" t="s">
        <v>55</v>
      </c>
      <c r="H4" s="19" t="s">
        <v>96</v>
      </c>
      <c r="I4" s="21" t="s">
        <v>506</v>
      </c>
      <c r="J4" s="19" t="s">
        <v>55</v>
      </c>
      <c r="K4" s="19" t="s">
        <v>98</v>
      </c>
      <c r="L4" s="19" t="s">
        <v>55</v>
      </c>
      <c r="M4" s="19" t="s">
        <v>55</v>
      </c>
    </row>
    <row r="5" spans="1:13">
      <c r="A5" s="24" t="s">
        <v>48</v>
      </c>
      <c r="B5" s="19" t="s">
        <v>59</v>
      </c>
      <c r="C5" s="19" t="s">
        <v>66</v>
      </c>
      <c r="D5" s="20" t="s">
        <v>487</v>
      </c>
      <c r="E5" s="21" t="str">
        <f t="shared" si="0"/>
        <v>FECHA DE FOTO/DATOS CONFIGURADA EN EL ETL PARA LA EXTRACCIÓN DE DATOS, CORRESPONDE A APERTURAS DE COMERCIOS HASTA EL CIERRE DEL DÍA ANTERIOR</v>
      </c>
      <c r="F5" s="20" t="s">
        <v>488</v>
      </c>
      <c r="G5" s="24" t="s">
        <v>55</v>
      </c>
      <c r="H5" s="24" t="s">
        <v>489</v>
      </c>
      <c r="I5" s="25">
        <v>45841</v>
      </c>
      <c r="J5" s="24" t="s">
        <v>55</v>
      </c>
      <c r="K5" s="24" t="s">
        <v>55</v>
      </c>
      <c r="L5" s="24" t="s">
        <v>98</v>
      </c>
      <c r="M5" s="24" t="s">
        <v>55</v>
      </c>
    </row>
    <row r="6" spans="1:13">
      <c r="A6" s="19" t="s">
        <v>48</v>
      </c>
      <c r="B6" s="19" t="s">
        <v>59</v>
      </c>
      <c r="C6" s="19" t="s">
        <v>66</v>
      </c>
      <c r="D6" s="21" t="s">
        <v>490</v>
      </c>
      <c r="E6" s="21" t="str">
        <f t="shared" si="0"/>
        <v>DATO DE AUDITORÍA: DESCRIPCIÓN DEL APLICATIVO ORIGEN DE LOS DATOS.</v>
      </c>
      <c r="F6" s="21" t="s">
        <v>491</v>
      </c>
      <c r="G6" s="19" t="s">
        <v>55</v>
      </c>
      <c r="H6" s="19" t="s">
        <v>96</v>
      </c>
      <c r="I6" s="21" t="s">
        <v>492</v>
      </c>
      <c r="J6" s="19" t="s">
        <v>55</v>
      </c>
      <c r="K6" s="19" t="s">
        <v>55</v>
      </c>
      <c r="L6" s="19" t="s">
        <v>55</v>
      </c>
      <c r="M6" s="19" t="s">
        <v>55</v>
      </c>
    </row>
    <row r="7" spans="1:13">
      <c r="A7" s="19" t="s">
        <v>48</v>
      </c>
      <c r="B7" s="19" t="s">
        <v>59</v>
      </c>
      <c r="C7" s="19" t="s">
        <v>66</v>
      </c>
      <c r="D7" s="21" t="s">
        <v>493</v>
      </c>
      <c r="E7" s="21" t="str">
        <f t="shared" si="0"/>
        <v>FECHA Y HORA DE INSERCIÓN DEL REGISTRO EN EL MODELO</v>
      </c>
      <c r="F7" s="21" t="s">
        <v>494</v>
      </c>
      <c r="G7" s="19" t="s">
        <v>55</v>
      </c>
      <c r="H7" s="19" t="s">
        <v>495</v>
      </c>
      <c r="I7" s="21" t="s">
        <v>496</v>
      </c>
      <c r="J7" s="19" t="s">
        <v>55</v>
      </c>
      <c r="K7" s="19" t="s">
        <v>55</v>
      </c>
      <c r="L7" s="19" t="s">
        <v>55</v>
      </c>
      <c r="M7" s="19" t="s">
        <v>55</v>
      </c>
    </row>
    <row r="8" spans="1:13">
      <c r="A8" s="19" t="s">
        <v>48</v>
      </c>
      <c r="B8" s="19" t="s">
        <v>59</v>
      </c>
      <c r="C8" s="19" t="s">
        <v>66</v>
      </c>
      <c r="D8" s="21" t="s">
        <v>497</v>
      </c>
      <c r="E8" s="21" t="str">
        <f t="shared" si="0"/>
        <v>USUARIO QUE CREA EL REGISTRO EN LA BD</v>
      </c>
      <c r="F8" s="21" t="s">
        <v>498</v>
      </c>
      <c r="G8" s="19" t="s">
        <v>55</v>
      </c>
      <c r="H8" s="19" t="s">
        <v>96</v>
      </c>
      <c r="I8" s="21" t="s">
        <v>499</v>
      </c>
      <c r="J8" s="19" t="s">
        <v>55</v>
      </c>
      <c r="K8" s="19" t="s">
        <v>55</v>
      </c>
      <c r="L8" s="19" t="s">
        <v>55</v>
      </c>
      <c r="M8" s="19" t="s">
        <v>55</v>
      </c>
    </row>
    <row r="11" spans="1:13">
      <c r="I11"/>
    </row>
    <row r="12" spans="1:13">
      <c r="D12"/>
      <c r="I12"/>
    </row>
    <row r="13" spans="1:13">
      <c r="D13"/>
      <c r="I13"/>
    </row>
    <row r="14" spans="1:13">
      <c r="D14"/>
    </row>
    <row r="15" spans="1:13">
      <c r="D15"/>
    </row>
    <row r="16" spans="1:13">
      <c r="D1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96BEA-2F01-487F-A073-0E08DE163127}">
  <sheetPr codeName="Hoja6"/>
  <dimension ref="A1:M16"/>
  <sheetViews>
    <sheetView showGridLines="0" tabSelected="1" workbookViewId="0">
      <selection activeCell="D19" sqref="D19"/>
    </sheetView>
  </sheetViews>
  <sheetFormatPr baseColWidth="10" defaultColWidth="11.453125" defaultRowHeight="14.5"/>
  <cols>
    <col min="1" max="4" width="29" style="18" customWidth="1"/>
    <col min="5" max="6" width="48.26953125" style="18" customWidth="1"/>
    <col min="7" max="8" width="29" style="18" customWidth="1"/>
    <col min="9" max="9" width="40.54296875" style="18" customWidth="1"/>
    <col min="10" max="13" width="29" style="18" customWidth="1"/>
    <col min="14" max="16384" width="11.453125" style="18"/>
  </cols>
  <sheetData>
    <row r="1" spans="1:13" ht="31">
      <c r="A1" s="26" t="s">
        <v>14</v>
      </c>
      <c r="B1" s="26" t="s">
        <v>15</v>
      </c>
      <c r="C1" s="26" t="s">
        <v>6</v>
      </c>
      <c r="D1" s="26" t="s">
        <v>7</v>
      </c>
      <c r="E1" s="26" t="s">
        <v>75</v>
      </c>
      <c r="F1" s="26" t="s">
        <v>76</v>
      </c>
      <c r="G1" s="26" t="s">
        <v>77</v>
      </c>
      <c r="H1" s="26" t="s">
        <v>78</v>
      </c>
      <c r="I1" s="26" t="s">
        <v>79</v>
      </c>
      <c r="J1" s="26" t="s">
        <v>80</v>
      </c>
      <c r="K1" s="26" t="s">
        <v>81</v>
      </c>
      <c r="L1" s="26" t="s">
        <v>82</v>
      </c>
      <c r="M1" s="26" t="s">
        <v>83</v>
      </c>
    </row>
    <row r="2" spans="1:13" ht="46.5">
      <c r="A2" s="27" t="s">
        <v>32</v>
      </c>
      <c r="B2" s="27" t="s">
        <v>33</v>
      </c>
      <c r="C2" s="27" t="s">
        <v>84</v>
      </c>
      <c r="D2" s="27" t="s">
        <v>85</v>
      </c>
      <c r="E2" s="27" t="s">
        <v>86</v>
      </c>
      <c r="F2" s="27" t="s">
        <v>87</v>
      </c>
      <c r="G2" s="27" t="s">
        <v>88</v>
      </c>
      <c r="H2" s="27" t="s">
        <v>89</v>
      </c>
      <c r="I2" s="27" t="s">
        <v>90</v>
      </c>
      <c r="J2" s="27" t="s">
        <v>91</v>
      </c>
      <c r="K2" s="27" t="s">
        <v>92</v>
      </c>
      <c r="L2" s="27" t="s">
        <v>93</v>
      </c>
      <c r="M2" s="27" t="s">
        <v>92</v>
      </c>
    </row>
    <row r="3" spans="1:13">
      <c r="A3" s="19" t="s">
        <v>48</v>
      </c>
      <c r="B3" s="19" t="s">
        <v>59</v>
      </c>
      <c r="C3" s="19" t="s">
        <v>68</v>
      </c>
      <c r="D3" s="7" t="s">
        <v>507</v>
      </c>
      <c r="E3" s="21" t="str">
        <f t="shared" ref="E3:E8" si="0">UPPER(F3)</f>
        <v>ARD_ARNFUENTE</v>
      </c>
      <c r="F3" s="7" t="s">
        <v>507</v>
      </c>
      <c r="G3" s="19" t="s">
        <v>55</v>
      </c>
      <c r="H3" s="19" t="s">
        <v>96</v>
      </c>
      <c r="I3" s="21">
        <v>7.4357043101001599E+22</v>
      </c>
      <c r="J3" s="19" t="s">
        <v>55</v>
      </c>
      <c r="K3" s="19" t="s">
        <v>98</v>
      </c>
      <c r="L3" s="19" t="s">
        <v>55</v>
      </c>
      <c r="M3" s="19" t="s">
        <v>55</v>
      </c>
    </row>
    <row r="4" spans="1:13">
      <c r="A4" s="19" t="s">
        <v>48</v>
      </c>
      <c r="B4" s="19" t="s">
        <v>59</v>
      </c>
      <c r="C4" s="19" t="s">
        <v>68</v>
      </c>
      <c r="D4" s="20" t="s">
        <v>505</v>
      </c>
      <c r="E4" s="21" t="str">
        <f t="shared" si="0"/>
        <v>ENTRYMODE</v>
      </c>
      <c r="F4" s="20" t="s">
        <v>505</v>
      </c>
      <c r="G4" s="19" t="s">
        <v>55</v>
      </c>
      <c r="H4" s="19" t="s">
        <v>96</v>
      </c>
      <c r="I4" s="21" t="s">
        <v>506</v>
      </c>
      <c r="J4" s="19" t="s">
        <v>55</v>
      </c>
      <c r="K4" s="19" t="s">
        <v>98</v>
      </c>
      <c r="L4" s="19" t="s">
        <v>55</v>
      </c>
      <c r="M4" s="19" t="s">
        <v>55</v>
      </c>
    </row>
    <row r="5" spans="1:13">
      <c r="A5" s="24" t="s">
        <v>48</v>
      </c>
      <c r="B5" s="19" t="s">
        <v>59</v>
      </c>
      <c r="C5" s="19" t="s">
        <v>68</v>
      </c>
      <c r="D5" s="20" t="s">
        <v>487</v>
      </c>
      <c r="E5" s="21" t="str">
        <f t="shared" si="0"/>
        <v>FECHA DE FOTO/DATOS CONFIGURADA EN EL ETL PARA LA EXTRACCIÓN DE DATOS, CORRESPONDE A APERTURAS DE COMERCIOS HASTA EL CIERRE DEL DÍA ANTERIOR</v>
      </c>
      <c r="F5" s="20" t="s">
        <v>488</v>
      </c>
      <c r="G5" s="24" t="s">
        <v>55</v>
      </c>
      <c r="H5" s="24" t="s">
        <v>489</v>
      </c>
      <c r="I5" s="25">
        <v>45841</v>
      </c>
      <c r="J5" s="24" t="s">
        <v>55</v>
      </c>
      <c r="K5" s="24" t="s">
        <v>55</v>
      </c>
      <c r="L5" s="24" t="s">
        <v>98</v>
      </c>
      <c r="M5" s="24" t="s">
        <v>55</v>
      </c>
    </row>
    <row r="6" spans="1:13">
      <c r="A6" s="19" t="s">
        <v>48</v>
      </c>
      <c r="B6" s="19" t="s">
        <v>59</v>
      </c>
      <c r="C6" s="19" t="s">
        <v>68</v>
      </c>
      <c r="D6" s="21" t="s">
        <v>490</v>
      </c>
      <c r="E6" s="21" t="str">
        <f t="shared" si="0"/>
        <v>DATO DE AUDITORÍA: DESCRIPCIÓN DEL APLICATIVO ORIGEN DE LOS DATOS.</v>
      </c>
      <c r="F6" s="21" t="s">
        <v>491</v>
      </c>
      <c r="G6" s="19" t="s">
        <v>55</v>
      </c>
      <c r="H6" s="19" t="s">
        <v>96</v>
      </c>
      <c r="I6" s="21" t="s">
        <v>492</v>
      </c>
      <c r="J6" s="19" t="s">
        <v>55</v>
      </c>
      <c r="K6" s="19" t="s">
        <v>55</v>
      </c>
      <c r="L6" s="19" t="s">
        <v>55</v>
      </c>
      <c r="M6" s="19" t="s">
        <v>55</v>
      </c>
    </row>
    <row r="7" spans="1:13">
      <c r="A7" s="19" t="s">
        <v>48</v>
      </c>
      <c r="B7" s="19" t="s">
        <v>59</v>
      </c>
      <c r="C7" s="19" t="s">
        <v>68</v>
      </c>
      <c r="D7" s="21" t="s">
        <v>493</v>
      </c>
      <c r="E7" s="21" t="str">
        <f t="shared" si="0"/>
        <v>FECHA Y HORA DE INSERCIÓN DEL REGISTRO EN EL MODELO</v>
      </c>
      <c r="F7" s="21" t="s">
        <v>494</v>
      </c>
      <c r="G7" s="19" t="s">
        <v>55</v>
      </c>
      <c r="H7" s="19" t="s">
        <v>495</v>
      </c>
      <c r="I7" s="21" t="s">
        <v>496</v>
      </c>
      <c r="J7" s="19" t="s">
        <v>55</v>
      </c>
      <c r="K7" s="19" t="s">
        <v>55</v>
      </c>
      <c r="L7" s="19" t="s">
        <v>55</v>
      </c>
      <c r="M7" s="19" t="s">
        <v>55</v>
      </c>
    </row>
    <row r="8" spans="1:13">
      <c r="A8" s="19" t="s">
        <v>48</v>
      </c>
      <c r="B8" s="19" t="s">
        <v>59</v>
      </c>
      <c r="C8" s="19" t="s">
        <v>68</v>
      </c>
      <c r="D8" s="21" t="s">
        <v>497</v>
      </c>
      <c r="E8" s="21" t="str">
        <f t="shared" si="0"/>
        <v>USUARIO QUE CREA EL REGISTRO EN LA BD</v>
      </c>
      <c r="F8" s="21" t="s">
        <v>498</v>
      </c>
      <c r="G8" s="19" t="s">
        <v>55</v>
      </c>
      <c r="H8" s="19" t="s">
        <v>96</v>
      </c>
      <c r="I8" s="21" t="s">
        <v>499</v>
      </c>
      <c r="J8" s="19" t="s">
        <v>55</v>
      </c>
      <c r="K8" s="19" t="s">
        <v>55</v>
      </c>
      <c r="L8" s="19" t="s">
        <v>55</v>
      </c>
      <c r="M8" s="19" t="s">
        <v>55</v>
      </c>
    </row>
    <row r="11" spans="1:13">
      <c r="I11"/>
    </row>
    <row r="12" spans="1:13">
      <c r="D12"/>
      <c r="I12"/>
    </row>
    <row r="13" spans="1:13">
      <c r="D13"/>
      <c r="I13"/>
    </row>
    <row r="14" spans="1:13">
      <c r="D14"/>
    </row>
    <row r="15" spans="1:13">
      <c r="D15"/>
    </row>
    <row r="16" spans="1:13">
      <c r="D16"/>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2.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3.xml><?xml version="1.0" encoding="utf-8"?>
<ds:datastoreItem xmlns:ds="http://schemas.openxmlformats.org/officeDocument/2006/customXml" ds:itemID="{CE9FF8DA-3826-48F1-989B-420BD203939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Datos Sensibles</vt:lpstr>
      <vt:lpstr>Estructuras del Modelo</vt:lpstr>
      <vt:lpstr>mcfs005al</vt:lpstr>
      <vt:lpstr>ard_arn</vt:lpstr>
      <vt:lpstr>arn_ard_fuente_ard_arn_87_034</vt:lpstr>
      <vt:lpstr>arn_ard_fuente_ard_arnfuente</vt:lpstr>
      <vt:lpstr>entrymode_ard_arn87_03</vt:lpstr>
      <vt:lpstr>entrymode_ard_arnfuente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Juan Sara</cp:lastModifiedBy>
  <cp:revision/>
  <dcterms:created xsi:type="dcterms:W3CDTF">2015-06-05T18:19:34Z</dcterms:created>
  <dcterms:modified xsi:type="dcterms:W3CDTF">2026-06-12T20:43:07Z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