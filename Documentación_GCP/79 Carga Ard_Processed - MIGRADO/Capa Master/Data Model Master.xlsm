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DD97A8EA-9A9A-E61F-A557-7D5A7D7259CE}"/>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79 Carga Ard_Processed - MIGRADO/Capa Master/"/>
    </mc:Choice>
  </mc:AlternateContent>
  <xr:revisionPtr revIDLastSave="314" documentId="8_{1DCF88E8-8811-44D0-8773-D3AB89B02E57}" xr6:coauthVersionLast="47" xr6:coauthVersionMax="47" xr10:uidLastSave="{82842AF9-9D77-4B57-8D8F-DDE12A80623F}"/>
  <bookViews>
    <workbookView xWindow="-110" yWindow="-110" windowWidth="19420" windowHeight="11500" activeTab="2" xr2:uid="{00000000-000D-0000-FFFF-FFFF00000000}"/>
  </bookViews>
  <sheets>
    <sheet name="Datos Sensibles" sheetId="4" r:id="rId1"/>
    <sheet name="Estructuras del Modelo" sheetId="1" r:id="rId2"/>
    <sheet name="m_ard_as400" sheetId="2" r:id="rId3"/>
  </sheets>
  <definedNames>
    <definedName name="_xleta.AND"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 i="2" l="1"/>
  <c r="E24" i="2"/>
  <c r="E6" i="2" l="1"/>
  <c r="E7" i="2"/>
  <c r="E8" i="2"/>
  <c r="E9" i="2"/>
  <c r="E10" i="2"/>
  <c r="E11" i="2"/>
  <c r="E12" i="2"/>
  <c r="E13" i="2"/>
  <c r="E14" i="2"/>
  <c r="E15" i="2"/>
  <c r="E16" i="2"/>
  <c r="E17" i="2"/>
  <c r="E18" i="2"/>
  <c r="E19" i="2"/>
  <c r="E20" i="2"/>
  <c r="E21" i="2"/>
  <c r="E22" i="2"/>
  <c r="E23" i="2"/>
  <c r="E3" i="2"/>
  <c r="E25" i="2"/>
  <c r="E26" i="2"/>
  <c r="E27" i="2"/>
  <c r="E4" i="2"/>
</calcChain>
</file>

<file path=xl/sharedStrings.xml><?xml version="1.0" encoding="utf-8"?>
<sst xmlns="http://schemas.openxmlformats.org/spreadsheetml/2006/main" count="380" uniqueCount="149">
  <si>
    <t>Organization</t>
  </si>
  <si>
    <t>Business Domain</t>
  </si>
  <si>
    <t>Business Sub Domain</t>
  </si>
  <si>
    <t>Technical Domain</t>
  </si>
  <si>
    <t>Technical Sub Domain</t>
  </si>
  <si>
    <t>Project</t>
  </si>
  <si>
    <t>Dataset</t>
  </si>
  <si>
    <t>Table</t>
  </si>
  <si>
    <t>Description</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</si>
  <si>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</si>
  <si>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</si>
  <si>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</si>
  <si>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</si>
  <si>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</si>
  <si>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</si>
  <si>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</si>
  <si>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</si>
  <si>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</si>
  <si>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</si>
  <si>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</si>
  <si>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</si>
  <si>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</si>
  <si>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</si>
  <si>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</si>
  <si>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</si>
  <si>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</si>
  <si>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</si>
  <si>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</si>
  <si>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</si>
  <si>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</si>
  <si>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</si>
  <si>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</si>
  <si>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</si>
  <si>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</si>
  <si>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</si>
  <si>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</si>
  <si>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</si>
  <si>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</si>
  <si>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</si>
  <si>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prd-izipay-data-storage-pv</t>
  </si>
  <si>
    <t>Última foto</t>
  </si>
  <si>
    <t>Diario</t>
  </si>
  <si>
    <t>N</t>
  </si>
  <si>
    <t>prod</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</si>
  <si>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</si>
  <si>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</si>
  <si>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</si>
  <si>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</si>
  <si>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</si>
  <si>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Column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</si>
  <si>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</si>
  <si>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</si>
  <si>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</si>
  <si>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</si>
  <si>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</si>
  <si>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</si>
  <si>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</si>
  <si>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</si>
  <si>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</si>
  <si>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</si>
  <si>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</si>
  <si>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</si>
  <si>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</si>
  <si>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</si>
  <si>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</si>
  <si>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</si>
  <si>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</si>
  <si>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</si>
  <si>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</si>
  <si>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</si>
  <si>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DATE</t>
  </si>
  <si>
    <t>Y</t>
  </si>
  <si>
    <t>STRING</t>
  </si>
  <si>
    <t>record_source</t>
  </si>
  <si>
    <t>Dato de Auditoría: Descripción del aplicativo origen de los datos.</t>
  </si>
  <si>
    <t>as400</t>
  </si>
  <si>
    <t>load_date</t>
  </si>
  <si>
    <t>creation_user</t>
  </si>
  <si>
    <t>Usuario que crea el registro en la BD</t>
  </si>
  <si>
    <t>prd-data-operation-migration@prd-izipay-data-operation.iam.gserviceaccount.com</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</si>
  <si>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</si>
  <si>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</si>
  <si>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</si>
  <si>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</si>
  <si>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</si>
  <si>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</si>
  <si>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mc2103@izipay.pe</t>
  </si>
  <si>
    <t>Zona (Raw, Master, BI)</t>
  </si>
  <si>
    <t>DATETIME</t>
  </si>
  <si>
    <t>2025-07-04T03:07:39.145385</t>
  </si>
  <si>
    <t>master_risk</t>
  </si>
  <si>
    <t>Riesgos</t>
  </si>
  <si>
    <t>Contracargo</t>
  </si>
  <si>
    <t>Master</t>
  </si>
  <si>
    <t>cod_autorizacion</t>
  </si>
  <si>
    <t>cod_comercio</t>
  </si>
  <si>
    <t>tipo_canal</t>
  </si>
  <si>
    <t>fecha_transaccion</t>
  </si>
  <si>
    <t>cod_moneda</t>
  </si>
  <si>
    <t xml:space="preserve">cod_tipo_transaccion  </t>
  </si>
  <si>
    <t>nom_comercio</t>
  </si>
  <si>
    <t>arn_original</t>
  </si>
  <si>
    <t>arn_devolucion</t>
  </si>
  <si>
    <t>Fecha que indica cuando se procesó la transacción para que entre al proceso de liquidación (transacción confirmada)</t>
  </si>
  <si>
    <t xml:space="preserve">Código de autorización asignado por el emisor para validar la transacción. </t>
  </si>
  <si>
    <t>Código identificador del comercio donde se procesó la transacción.</t>
  </si>
  <si>
    <t>Indicador de comercio electrónico (ECI – Electronic Commerce Indicator) que clasifica el tipo de canal digital utilizado.</t>
  </si>
  <si>
    <t>Fecha en la que se realizó la venta o consumo (en formato AAAAMMDD).</t>
  </si>
  <si>
    <t>Código numérico de la moneda usada en la transacción (e.g., 604 = Soles).</t>
  </si>
  <si>
    <t>Código que identifica el tipo de transacción realizada(E.G., 076, 034,876).</t>
  </si>
  <si>
    <t>Nombre del comercio asociado a la transacción.</t>
  </si>
  <si>
    <t>ARN (Acquirer Reference Number) original, número único de seguimiento de la transacción.</t>
  </si>
  <si>
    <t>Número de comprobante o ticket generado en el punto de venta.</t>
  </si>
  <si>
    <t>Número ARN asociado a una retención o a una devolución.</t>
  </si>
  <si>
    <t>Código o número de terminal POS donde se procesó la transacción.</t>
  </si>
  <si>
    <t>Método de ingreso de la tarjeta (manual, chip, contactless, e-commerce, etc.).</t>
  </si>
  <si>
    <t>Referencia adicional asociada a la transacción (puede ser un número de pedido, código externo, etc.).</t>
  </si>
  <si>
    <t>Monto total de la transacción realizada.</t>
  </si>
  <si>
    <t>Código de usuario aprobador.</t>
  </si>
  <si>
    <t>Fecha y hora en la que la transacción fue autorizada.</t>
  </si>
  <si>
    <t>Hora específica en la que se emitió la autorización.</t>
  </si>
  <si>
    <t>Fecha y hora de inserción del registro en el modelo.</t>
  </si>
  <si>
    <t>cod_terminal</t>
  </si>
  <si>
    <t>voucher</t>
  </si>
  <si>
    <t>metodo_ingreso</t>
  </si>
  <si>
    <t>referencia</t>
  </si>
  <si>
    <t>mto_venta</t>
  </si>
  <si>
    <t>cod_usuario_aprobador</t>
  </si>
  <si>
    <t>fecha_autorizacion</t>
  </si>
  <si>
    <t>hora_autorizacion</t>
  </si>
  <si>
    <t>fecha_hora_autorizacion</t>
  </si>
  <si>
    <t>Fecha en la que la transacción fue autorizada.</t>
  </si>
  <si>
    <t>EC</t>
  </si>
  <si>
    <t xml:space="preserve">EBN*AMZ VIDEO                 </t>
  </si>
  <si>
    <t xml:space="preserve">   </t>
  </si>
  <si>
    <t xml:space="preserve">PV000000  </t>
  </si>
  <si>
    <t xml:space="preserve">E-COMMERCE                                        </t>
  </si>
  <si>
    <t xml:space="preserve">          </t>
  </si>
  <si>
    <t>2025-09-22T17:35:23</t>
  </si>
  <si>
    <t>cod_respuesta_ecommerce</t>
  </si>
  <si>
    <t>Código de respuesta de una transacción que pasó por el canal e-commerce.</t>
  </si>
  <si>
    <t>Tabla que contiene la informacion de transacciones que entraron al proceso de liquidación y que fueron reportadas por un contracargo. Es un equivalente al repore de ARD generado por el AS400</t>
  </si>
  <si>
    <t>Operaciones</t>
  </si>
  <si>
    <t>m_ard_as400</t>
  </si>
  <si>
    <t>FLOAT64</t>
  </si>
  <si>
    <t>tarjeta_enmascarada</t>
  </si>
  <si>
    <t>Numero de tarjeta (enmascarada) con el que se realizo la transaccion</t>
  </si>
  <si>
    <t>bin</t>
  </si>
  <si>
    <t>Primeros 9 digitos de la tarjeta con la que se realizo la transaccion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</si>
</sst>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2"/>
      <name val="Calibri"/>
      <family val="2"/>
      <scheme val="minor"/>
    </font>
    <font>
      <sz val="11"/>
      <name val="Calibri"/>
      <family val="2"/>
      <scheme val="minor"/>
    </font>
    <font>
      <sz val="12"/>
      <color theme="0"/>
      <name val="Calibri"/>
      <family val="2"/>
      <scheme val="minor"/>
    </font>
    <font>
      <sz val="11"/>
      <color theme="1"/>
      <name val="Calibri"/>
      <family val="2"/>
    </font>
  </fonts>
  <fills count="5">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s>
  <cellStyleXfs count="2">
    <xf numFmtId="0" fontId="0" fillId="0" borderId="0"/>
    <xf numFmtId="0" fontId="5" fillId="0" borderId="0" applyNumberFormat="0" applyFill="0" applyBorder="0" applyAlignment="0" applyProtection="0"/>
  </cellStyleXfs>
  <cellXfs count="31">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6" fillId="0" borderId="0" xfId="0" applyFont="1" applyAlignment="1">
      <alignment vertical="center"/>
    </xf>
    <xf numFmtId="0" fontId="0" fillId="0" borderId="2" xfId="0" applyBorder="1" applyAlignment="1">
      <alignment wrapText="1"/>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10" fillId="0" borderId="0" xfId="0" applyFont="1"/>
    <xf numFmtId="0" fontId="10" fillId="0" borderId="1" xfId="0" applyFont="1" applyBorder="1" applyAlignment="1">
      <alignment horizontal="center" vertical="center"/>
    </xf>
    <xf numFmtId="0" fontId="10" fillId="0" borderId="1" xfId="0" applyFont="1" applyBorder="1"/>
    <xf numFmtId="0" fontId="10" fillId="0" borderId="1" xfId="0" applyFont="1" applyBorder="1" applyAlignment="1">
      <alignment vertical="center"/>
    </xf>
    <xf numFmtId="0" fontId="10" fillId="0" borderId="1" xfId="0" applyFont="1" applyBorder="1" applyAlignment="1">
      <alignment horizontal="center"/>
    </xf>
    <xf numFmtId="14" fontId="10" fillId="0" borderId="1" xfId="0" applyNumberFormat="1" applyFont="1" applyBorder="1"/>
    <xf numFmtId="0" fontId="11" fillId="2"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5" fillId="0" borderId="1" xfId="1" applyBorder="1" applyAlignment="1">
      <alignment horizontal="center" wrapText="1"/>
    </xf>
    <xf numFmtId="0" fontId="12" fillId="0" borderId="1" xfId="0" applyFont="1" applyBorder="1" applyAlignment="1">
      <alignment horizontal="left" vertical="center" wrapText="1"/>
    </xf>
    <xf numFmtId="0" fontId="12" fillId="4" borderId="1" xfId="0" applyFont="1" applyFill="1" applyBorder="1" applyAlignment="1">
      <alignment horizontal="left" vertical="center" wrapText="1"/>
    </xf>
    <xf numFmtId="14" fontId="0" fillId="0" borderId="1" xfId="0" applyNumberFormat="1" applyBorder="1"/>
    <xf numFmtId="21" fontId="0" fillId="0" borderId="1" xfId="0" applyNumberFormat="1" applyBorder="1"/>
    <xf numFmtId="0" fontId="7"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c2103@izipay.p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sheetPr codeName="Hoja3"/>
  <dimension ref="A1:G7"/>
  <sheetViews>
    <sheetView showGridLines="0" workbookViewId="0">
      <selection activeCell="B37" sqref="B37"/>
    </sheetView>
  </sheetViews>
  <sheetFormatPr baseColWidth="10" defaultRowHeight="14.5"/>
  <cols>
    <col min="1" max="1" width="20.453125" customWidth="1"/>
    <col min="2" max="7" width="23.36328125" customWidth="1"/>
  </cols>
  <sheetData>
    <row r="1" spans="1:7">
      <c r="A1" s="1"/>
      <c r="B1" s="1"/>
      <c r="C1" s="1"/>
      <c r="D1" s="1"/>
      <c r="E1" s="1"/>
      <c r="F1" s="1"/>
      <c r="G1" s="1"/>
    </row>
    <row r="2" spans="1:7" ht="29.5">
      <c r="A2" s="8" t="s">
        <v>80</v>
      </c>
      <c r="B2" s="1"/>
      <c r="C2" s="1"/>
      <c r="D2" s="1"/>
      <c r="E2" s="1"/>
      <c r="F2" s="1"/>
      <c r="G2" s="1"/>
    </row>
    <row r="3" spans="1:7">
      <c r="A3" s="30" t="s">
        <v>81</v>
      </c>
      <c r="B3" s="30"/>
      <c r="C3" s="30"/>
      <c r="D3" s="30"/>
      <c r="E3" s="30"/>
      <c r="F3" s="30"/>
      <c r="G3" s="30"/>
    </row>
    <row r="4" spans="1:7" ht="15" thickBot="1">
      <c r="A4" s="9"/>
      <c r="B4" s="9"/>
      <c r="C4" s="9"/>
      <c r="D4" s="9"/>
      <c r="E4" s="9"/>
      <c r="F4" s="9"/>
      <c r="G4" s="9"/>
    </row>
    <row r="5" spans="1:7" ht="15" thickBot="1">
      <c r="A5" s="10" t="s">
        <v>82</v>
      </c>
      <c r="B5" s="11" t="s">
        <v>83</v>
      </c>
      <c r="C5" s="11" t="s">
        <v>84</v>
      </c>
      <c r="D5" s="11" t="s">
        <v>85</v>
      </c>
      <c r="E5" s="11" t="s">
        <v>7</v>
      </c>
      <c r="F5" s="11" t="s">
        <v>49</v>
      </c>
      <c r="G5" s="11" t="s">
        <v>8</v>
      </c>
    </row>
    <row r="6" spans="1:7">
      <c r="A6" s="1"/>
      <c r="B6" s="1"/>
      <c r="C6" s="1"/>
      <c r="D6" s="1"/>
      <c r="E6" s="1"/>
      <c r="F6" s="1"/>
      <c r="G6" s="1"/>
    </row>
    <row r="7" spans="1:7">
      <c r="A7" s="1"/>
      <c r="B7" s="1"/>
      <c r="C7" s="1"/>
      <c r="D7" s="1"/>
      <c r="E7" s="1"/>
      <c r="F7" s="1"/>
      <c r="G7"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topLeftCell="D1" workbookViewId="0">
      <selection activeCell="F26" sqref="F26"/>
    </sheetView>
  </sheetViews>
  <sheetFormatPr baseColWidth="10" defaultColWidth="9.08984375" defaultRowHeight="14.5"/>
  <cols>
    <col min="1" max="8" width="33.36328125" customWidth="1"/>
    <col min="9" max="9" width="52.90625" customWidth="1"/>
    <col min="10" max="20" width="33.36328125" customWidth="1"/>
  </cols>
  <sheetData>
    <row r="1" spans="1:20">
      <c r="A1" s="12" t="s">
        <v>0</v>
      </c>
      <c r="B1" s="12" t="s">
        <v>1</v>
      </c>
      <c r="C1" s="12" t="s">
        <v>2</v>
      </c>
      <c r="D1" s="12" t="s">
        <v>3</v>
      </c>
      <c r="E1" s="12" t="s">
        <v>4</v>
      </c>
      <c r="F1" s="13" t="s">
        <v>5</v>
      </c>
      <c r="G1" s="12" t="s">
        <v>6</v>
      </c>
      <c r="H1" s="12" t="s">
        <v>7</v>
      </c>
      <c r="I1" s="12" t="s">
        <v>8</v>
      </c>
      <c r="J1" s="12" t="s">
        <v>9</v>
      </c>
      <c r="K1" s="12" t="s">
        <v>10</v>
      </c>
      <c r="L1" s="12" t="s">
        <v>11</v>
      </c>
      <c r="M1" s="12" t="s">
        <v>12</v>
      </c>
      <c r="N1" s="12" t="s">
        <v>13</v>
      </c>
      <c r="O1" s="12" t="s">
        <v>14</v>
      </c>
      <c r="P1" s="12" t="s">
        <v>15</v>
      </c>
      <c r="Q1" s="12" t="s">
        <v>16</v>
      </c>
      <c r="R1" s="12" t="s">
        <v>17</v>
      </c>
      <c r="S1" s="12" t="s">
        <v>18</v>
      </c>
      <c r="T1" s="12" t="s">
        <v>19</v>
      </c>
    </row>
    <row r="2" spans="1:20" ht="42">
      <c r="A2" s="14" t="s">
        <v>20</v>
      </c>
      <c r="B2" s="14" t="s">
        <v>21</v>
      </c>
      <c r="C2" s="14" t="s">
        <v>22</v>
      </c>
      <c r="D2" s="14" t="s">
        <v>23</v>
      </c>
      <c r="E2" s="14" t="s">
        <v>24</v>
      </c>
      <c r="F2" s="14" t="s">
        <v>25</v>
      </c>
      <c r="G2" s="14" t="s">
        <v>26</v>
      </c>
      <c r="H2" s="14" t="s">
        <v>27</v>
      </c>
      <c r="I2" s="14" t="s">
        <v>28</v>
      </c>
      <c r="J2" s="15" t="s">
        <v>29</v>
      </c>
      <c r="K2" s="15" t="s">
        <v>30</v>
      </c>
      <c r="L2" s="16"/>
      <c r="M2" s="14" t="s">
        <v>31</v>
      </c>
      <c r="N2" s="14" t="s">
        <v>32</v>
      </c>
      <c r="O2" s="14" t="s">
        <v>33</v>
      </c>
      <c r="P2" s="14" t="s">
        <v>87</v>
      </c>
      <c r="Q2" s="14" t="s">
        <v>34</v>
      </c>
      <c r="R2" s="14" t="s">
        <v>35</v>
      </c>
      <c r="S2" s="14" t="s">
        <v>36</v>
      </c>
      <c r="T2" s="14" t="s">
        <v>37</v>
      </c>
    </row>
    <row r="3" spans="1:20">
      <c r="A3" s="5" t="s">
        <v>38</v>
      </c>
      <c r="B3" s="5" t="s">
        <v>91</v>
      </c>
      <c r="C3" s="5" t="s">
        <v>92</v>
      </c>
      <c r="D3" s="5" t="s">
        <v>91</v>
      </c>
      <c r="E3" s="5" t="s">
        <v>92</v>
      </c>
      <c r="F3" s="5" t="s">
        <v>39</v>
      </c>
      <c r="G3" s="5" t="s">
        <v>90</v>
      </c>
      <c r="H3" s="6" t="s">
        <v>143</v>
      </c>
      <c r="I3" s="7" t="s">
        <v>141</v>
      </c>
      <c r="J3" s="5" t="s">
        <v>40</v>
      </c>
      <c r="K3" s="5" t="s">
        <v>41</v>
      </c>
      <c r="L3" s="5"/>
      <c r="M3" s="25" t="s">
        <v>86</v>
      </c>
      <c r="N3" s="5" t="s">
        <v>42</v>
      </c>
      <c r="O3" s="5" t="s">
        <v>43</v>
      </c>
      <c r="P3" s="5" t="s">
        <v>93</v>
      </c>
      <c r="Q3" s="5" t="s">
        <v>142</v>
      </c>
      <c r="R3" s="5"/>
      <c r="S3" s="5"/>
      <c r="T3" s="5"/>
    </row>
    <row r="4" spans="1:20">
      <c r="A4" s="1"/>
      <c r="B4" s="1"/>
      <c r="C4" s="1"/>
      <c r="D4" s="1"/>
      <c r="E4" s="1"/>
      <c r="F4" s="1"/>
      <c r="G4" s="1"/>
      <c r="H4" s="1"/>
      <c r="I4" s="1"/>
      <c r="J4" s="1"/>
      <c r="K4" s="1"/>
      <c r="L4" s="1"/>
      <c r="M4" s="1"/>
      <c r="N4" s="1"/>
      <c r="O4" s="1"/>
      <c r="P4" s="1"/>
      <c r="Q4" s="1"/>
      <c r="R4" s="1"/>
      <c r="S4" s="1"/>
      <c r="T4" s="1"/>
    </row>
    <row r="5" spans="1:20">
      <c r="A5" s="2" t="s">
        <v>44</v>
      </c>
      <c r="B5" s="1"/>
      <c r="C5" s="1"/>
      <c r="D5" s="1"/>
      <c r="E5" s="1"/>
      <c r="F5" s="1"/>
      <c r="G5" s="1"/>
      <c r="H5" s="1"/>
      <c r="I5" s="1"/>
      <c r="J5" s="1"/>
      <c r="K5" s="1"/>
      <c r="L5" s="1"/>
      <c r="M5" s="1"/>
      <c r="N5" s="1"/>
      <c r="O5" s="1"/>
      <c r="P5" s="1"/>
      <c r="Q5" s="1"/>
      <c r="R5" s="1"/>
      <c r="S5" s="1"/>
      <c r="T5" s="1"/>
    </row>
    <row r="6" spans="1:20">
      <c r="A6" s="3" t="s">
        <v>45</v>
      </c>
      <c r="B6" s="1"/>
      <c r="C6" s="1"/>
      <c r="D6" s="4"/>
      <c r="E6" s="4"/>
      <c r="F6" s="4"/>
      <c r="G6" s="4"/>
      <c r="H6" s="1"/>
      <c r="I6" s="1"/>
      <c r="J6" s="1"/>
      <c r="K6" s="1"/>
      <c r="L6" s="1"/>
      <c r="M6" s="1"/>
      <c r="N6" s="1"/>
      <c r="O6" s="1"/>
      <c r="P6" s="1"/>
      <c r="Q6" s="1"/>
      <c r="R6" s="1"/>
      <c r="S6" s="1"/>
      <c r="T6" s="1"/>
    </row>
    <row r="7" spans="1:20">
      <c r="A7" s="3" t="s">
        <v>46</v>
      </c>
      <c r="B7" s="1"/>
      <c r="C7" s="1"/>
      <c r="D7" s="4"/>
      <c r="E7" s="4"/>
      <c r="F7" s="4"/>
      <c r="G7" s="4"/>
      <c r="H7" s="1"/>
      <c r="I7" s="1"/>
      <c r="J7" s="1"/>
      <c r="K7" s="1"/>
      <c r="L7" s="1"/>
      <c r="M7" s="1"/>
      <c r="N7" s="1"/>
      <c r="O7" s="1"/>
      <c r="P7" s="1"/>
      <c r="Q7" s="1"/>
      <c r="R7" s="1"/>
      <c r="S7" s="1"/>
      <c r="T7" s="1"/>
    </row>
    <row r="8" spans="1:20">
      <c r="A8" s="3" t="s">
        <v>47</v>
      </c>
      <c r="B8" s="1"/>
      <c r="C8" s="1"/>
      <c r="D8" s="1"/>
      <c r="E8" s="1"/>
      <c r="F8" s="1"/>
      <c r="G8" s="1"/>
      <c r="H8" s="1"/>
      <c r="I8" s="1"/>
      <c r="J8" s="1"/>
      <c r="K8" s="1"/>
      <c r="L8" s="1"/>
      <c r="M8" s="1"/>
      <c r="N8" s="1"/>
      <c r="O8" s="1"/>
      <c r="P8" s="1"/>
      <c r="Q8" s="1"/>
      <c r="R8" s="1"/>
      <c r="S8" s="1"/>
      <c r="T8" s="1"/>
    </row>
    <row r="9" spans="1:20">
      <c r="A9" s="3" t="s">
        <v>48</v>
      </c>
      <c r="B9" s="1"/>
      <c r="C9" s="1"/>
      <c r="D9" s="1"/>
      <c r="E9" s="1"/>
      <c r="F9" s="1"/>
      <c r="G9" s="1"/>
      <c r="H9" s="1"/>
      <c r="I9" s="1"/>
      <c r="J9" s="1"/>
      <c r="K9" s="1"/>
      <c r="L9" s="1"/>
      <c r="M9" s="1"/>
      <c r="N9" s="1"/>
      <c r="O9" s="1"/>
      <c r="P9" s="1"/>
      <c r="Q9" s="1"/>
      <c r="R9" s="1"/>
      <c r="S9" s="1"/>
      <c r="T9" s="1"/>
    </row>
    <row r="10" spans="1:20">
      <c r="A10" s="1"/>
      <c r="B10" s="1"/>
      <c r="C10" s="1"/>
      <c r="D10" s="1"/>
      <c r="E10" s="1"/>
      <c r="F10" s="1"/>
      <c r="H10" s="1"/>
      <c r="I10" s="1"/>
      <c r="J10" s="1"/>
      <c r="K10" s="1"/>
      <c r="L10" s="1"/>
      <c r="M10" s="1"/>
      <c r="N10" s="1"/>
      <c r="O10" s="1"/>
      <c r="P10" s="1"/>
      <c r="Q10" s="1"/>
      <c r="R10" s="1"/>
      <c r="S10" s="1"/>
      <c r="T10" s="1"/>
    </row>
  </sheetData>
  <hyperlinks>
    <hyperlink ref="H3" location="m_ard_as400!A1" display="m_ard_as400" xr:uid="{A6374EA3-1A1E-4AB1-9FFF-253F6ABA8252}"/>
    <hyperlink ref="M3" r:id="rId1" xr:uid="{9D3A84C5-732C-4F15-8E76-BBE4FEEAF915}"/>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27"/>
  <sheetViews>
    <sheetView showGridLines="0" tabSelected="1" topLeftCell="B1" workbookViewId="0">
      <selection activeCell="F6" sqref="F6"/>
    </sheetView>
  </sheetViews>
  <sheetFormatPr baseColWidth="10" defaultColWidth="11.453125" defaultRowHeight="14.5"/>
  <cols>
    <col min="1" max="4" width="29" style="17" customWidth="1"/>
    <col min="5" max="5" width="48.36328125" style="17" customWidth="1"/>
    <col min="6" max="6" width="66.36328125" style="17" customWidth="1"/>
    <col min="7" max="8" width="29" style="17" customWidth="1"/>
    <col min="9" max="9" width="40.54296875" style="17" customWidth="1"/>
    <col min="10" max="13" width="29" style="17" customWidth="1"/>
    <col min="14" max="16384" width="11.453125" style="17"/>
  </cols>
  <sheetData>
    <row r="1" spans="1:13" ht="31">
      <c r="A1" s="23" t="s">
        <v>5</v>
      </c>
      <c r="B1" s="23" t="s">
        <v>6</v>
      </c>
      <c r="C1" s="23" t="s">
        <v>7</v>
      </c>
      <c r="D1" s="23" t="s">
        <v>49</v>
      </c>
      <c r="E1" s="23" t="s">
        <v>50</v>
      </c>
      <c r="F1" s="23" t="s">
        <v>51</v>
      </c>
      <c r="G1" s="23" t="s">
        <v>52</v>
      </c>
      <c r="H1" s="23" t="s">
        <v>53</v>
      </c>
      <c r="I1" s="23" t="s">
        <v>54</v>
      </c>
      <c r="J1" s="23" t="s">
        <v>55</v>
      </c>
      <c r="K1" s="23" t="s">
        <v>56</v>
      </c>
      <c r="L1" s="23" t="s">
        <v>57</v>
      </c>
      <c r="M1" s="23" t="s">
        <v>58</v>
      </c>
    </row>
    <row r="2" spans="1:13" ht="46.5">
      <c r="A2" s="24" t="s">
        <v>25</v>
      </c>
      <c r="B2" s="24" t="s">
        <v>26</v>
      </c>
      <c r="C2" s="24" t="s">
        <v>59</v>
      </c>
      <c r="D2" s="24" t="s">
        <v>60</v>
      </c>
      <c r="E2" s="24" t="s">
        <v>61</v>
      </c>
      <c r="F2" s="24" t="s">
        <v>62</v>
      </c>
      <c r="G2" s="24" t="s">
        <v>63</v>
      </c>
      <c r="H2" s="24" t="s">
        <v>64</v>
      </c>
      <c r="I2" s="24" t="s">
        <v>65</v>
      </c>
      <c r="J2" s="24" t="s">
        <v>66</v>
      </c>
      <c r="K2" s="24" t="s">
        <v>67</v>
      </c>
      <c r="L2" s="24" t="s">
        <v>68</v>
      </c>
      <c r="M2" s="24" t="s">
        <v>67</v>
      </c>
    </row>
    <row r="3" spans="1:13">
      <c r="A3" s="21" t="s">
        <v>39</v>
      </c>
      <c r="B3" s="18" t="s">
        <v>90</v>
      </c>
      <c r="C3" s="18" t="s">
        <v>143</v>
      </c>
      <c r="D3" s="19" t="s">
        <v>69</v>
      </c>
      <c r="E3" s="20" t="str">
        <f>UPPER(F3)</f>
        <v>FECHA QUE INDICA CUANDO SE PROCESÓ LA TRANSACCIÓN PARA QUE ENTRE AL PROCESO DE LIQUIDACIÓN (TRANSACCIÓN CONFIRMADA)</v>
      </c>
      <c r="F3" s="19" t="s">
        <v>103</v>
      </c>
      <c r="G3" s="21" t="s">
        <v>42</v>
      </c>
      <c r="H3" s="21" t="s">
        <v>70</v>
      </c>
      <c r="I3" s="22">
        <v>45841</v>
      </c>
      <c r="J3" s="21" t="s">
        <v>42</v>
      </c>
      <c r="K3" s="21" t="s">
        <v>42</v>
      </c>
      <c r="L3" s="21" t="s">
        <v>71</v>
      </c>
      <c r="M3" s="21" t="s">
        <v>42</v>
      </c>
    </row>
    <row r="4" spans="1:13">
      <c r="A4" s="18" t="s">
        <v>39</v>
      </c>
      <c r="B4" s="18" t="s">
        <v>90</v>
      </c>
      <c r="C4" s="18" t="s">
        <v>143</v>
      </c>
      <c r="D4" s="27" t="s">
        <v>145</v>
      </c>
      <c r="E4" s="20" t="str">
        <f>UPPER(F4)</f>
        <v>NUMERO DE TARJETA (ENMASCARADA) CON EL QUE SE REALIZO LA TRANSACCION</v>
      </c>
      <c r="F4" s="20" t="s">
        <v>146</v>
      </c>
      <c r="G4" s="18" t="s">
        <v>71</v>
      </c>
      <c r="H4" s="18" t="s">
        <v>72</v>
      </c>
      <c r="I4" s="7">
        <v>4213550184614470</v>
      </c>
      <c r="J4" s="18" t="s">
        <v>42</v>
      </c>
      <c r="K4" s="18" t="s">
        <v>71</v>
      </c>
      <c r="L4" s="18" t="s">
        <v>42</v>
      </c>
      <c r="M4" s="18" t="s">
        <v>42</v>
      </c>
    </row>
    <row r="5" spans="1:13">
      <c r="A5" s="18" t="s">
        <v>39</v>
      </c>
      <c r="B5" s="18" t="s">
        <v>90</v>
      </c>
      <c r="C5" s="18" t="s">
        <v>143</v>
      </c>
      <c r="D5" s="27" t="s">
        <v>147</v>
      </c>
      <c r="E5" s="20" t="str">
        <f>UPPER(F5)</f>
        <v>PRIMEROS 9 DIGITOS DE LA TARJETA CON LA QUE SE REALIZO LA TRANSACCION</v>
      </c>
      <c r="F5" s="20" t="s">
        <v>148</v>
      </c>
      <c r="G5" s="18" t="s">
        <v>71</v>
      </c>
      <c r="H5" s="18" t="s">
        <v>72</v>
      </c>
      <c r="I5" s="7">
        <v>4213550184614470</v>
      </c>
      <c r="J5" s="18" t="s">
        <v>42</v>
      </c>
      <c r="K5" s="18" t="s">
        <v>71</v>
      </c>
      <c r="L5" s="18" t="s">
        <v>42</v>
      </c>
      <c r="M5" s="18" t="s">
        <v>42</v>
      </c>
    </row>
    <row r="6" spans="1:13">
      <c r="A6" s="18" t="s">
        <v>39</v>
      </c>
      <c r="B6" s="18" t="s">
        <v>90</v>
      </c>
      <c r="C6" s="18" t="s">
        <v>143</v>
      </c>
      <c r="D6" s="26" t="s">
        <v>94</v>
      </c>
      <c r="E6" s="20" t="str">
        <f t="shared" ref="E6:E23" si="0">UPPER(F6)</f>
        <v xml:space="preserve">CÓDIGO DE AUTORIZACIÓN ASIGNADO POR EL EMISOR PARA VALIDAR LA TRANSACCIÓN. </v>
      </c>
      <c r="F6" s="20" t="s">
        <v>104</v>
      </c>
      <c r="G6" s="18" t="s">
        <v>42</v>
      </c>
      <c r="H6" s="18" t="s">
        <v>72</v>
      </c>
      <c r="I6" s="7">
        <v>768035</v>
      </c>
      <c r="J6" s="18" t="s">
        <v>42</v>
      </c>
      <c r="K6" s="18" t="s">
        <v>71</v>
      </c>
      <c r="L6" s="18" t="s">
        <v>42</v>
      </c>
      <c r="M6" s="18" t="s">
        <v>42</v>
      </c>
    </row>
    <row r="7" spans="1:13">
      <c r="A7" s="18" t="s">
        <v>39</v>
      </c>
      <c r="B7" s="18" t="s">
        <v>90</v>
      </c>
      <c r="C7" s="18" t="s">
        <v>143</v>
      </c>
      <c r="D7" s="26" t="s">
        <v>95</v>
      </c>
      <c r="E7" s="20" t="str">
        <f t="shared" si="0"/>
        <v>CÓDIGO IDENTIFICADOR DEL COMERCIO DONDE SE PROCESÓ LA TRANSACCIÓN.</v>
      </c>
      <c r="F7" s="20" t="s">
        <v>105</v>
      </c>
      <c r="G7" s="18" t="s">
        <v>42</v>
      </c>
      <c r="H7" s="18" t="s">
        <v>72</v>
      </c>
      <c r="I7" s="7">
        <v>4032285</v>
      </c>
      <c r="J7" s="18" t="s">
        <v>42</v>
      </c>
      <c r="K7" s="18" t="s">
        <v>71</v>
      </c>
      <c r="L7" s="18" t="s">
        <v>42</v>
      </c>
      <c r="M7" s="18" t="s">
        <v>42</v>
      </c>
    </row>
    <row r="8" spans="1:13">
      <c r="A8" s="18" t="s">
        <v>39</v>
      </c>
      <c r="B8" s="18" t="s">
        <v>90</v>
      </c>
      <c r="C8" s="18" t="s">
        <v>143</v>
      </c>
      <c r="D8" s="26" t="s">
        <v>96</v>
      </c>
      <c r="E8" s="20" t="str">
        <f t="shared" si="0"/>
        <v>INDICADOR DE COMERCIO ELECTRÓNICO (ECI – ELECTRONIC COMMERCE INDICATOR) QUE CLASIFICA EL TIPO DE CANAL DIGITAL UTILIZADO.</v>
      </c>
      <c r="F8" s="20" t="s">
        <v>106</v>
      </c>
      <c r="G8" s="18" t="s">
        <v>42</v>
      </c>
      <c r="H8" s="18" t="s">
        <v>72</v>
      </c>
      <c r="I8" s="7" t="s">
        <v>132</v>
      </c>
      <c r="J8" s="18" t="s">
        <v>42</v>
      </c>
      <c r="K8" s="18" t="s">
        <v>71</v>
      </c>
      <c r="L8" s="18" t="s">
        <v>42</v>
      </c>
      <c r="M8" s="18" t="s">
        <v>71</v>
      </c>
    </row>
    <row r="9" spans="1:13">
      <c r="A9" s="18" t="s">
        <v>39</v>
      </c>
      <c r="B9" s="18" t="s">
        <v>90</v>
      </c>
      <c r="C9" s="18" t="s">
        <v>143</v>
      </c>
      <c r="D9" s="26" t="s">
        <v>97</v>
      </c>
      <c r="E9" s="20" t="str">
        <f t="shared" si="0"/>
        <v>FECHA EN LA QUE SE REALIZÓ LA VENTA O CONSUMO (EN FORMATO AAAAMMDD).</v>
      </c>
      <c r="F9" s="20" t="s">
        <v>107</v>
      </c>
      <c r="G9" s="18" t="s">
        <v>42</v>
      </c>
      <c r="H9" s="18" t="s">
        <v>70</v>
      </c>
      <c r="I9" s="28">
        <v>45922</v>
      </c>
      <c r="J9" s="18" t="s">
        <v>42</v>
      </c>
      <c r="K9" s="18" t="s">
        <v>71</v>
      </c>
      <c r="L9" s="18" t="s">
        <v>42</v>
      </c>
      <c r="M9" s="18" t="s">
        <v>42</v>
      </c>
    </row>
    <row r="10" spans="1:13">
      <c r="A10" s="18" t="s">
        <v>39</v>
      </c>
      <c r="B10" s="18" t="s">
        <v>90</v>
      </c>
      <c r="C10" s="18" t="s">
        <v>143</v>
      </c>
      <c r="D10" s="26" t="s">
        <v>98</v>
      </c>
      <c r="E10" s="20" t="str">
        <f t="shared" si="0"/>
        <v>CÓDIGO NUMÉRICO DE LA MONEDA USADA EN LA TRANSACCIÓN (E.G., 604 = SOLES).</v>
      </c>
      <c r="F10" s="20" t="s">
        <v>108</v>
      </c>
      <c r="G10" s="18" t="s">
        <v>42</v>
      </c>
      <c r="H10" s="18" t="s">
        <v>72</v>
      </c>
      <c r="I10" s="7">
        <v>604</v>
      </c>
      <c r="J10" s="18" t="s">
        <v>42</v>
      </c>
      <c r="K10" s="18" t="s">
        <v>71</v>
      </c>
      <c r="L10" s="18" t="s">
        <v>42</v>
      </c>
      <c r="M10" s="18" t="s">
        <v>71</v>
      </c>
    </row>
    <row r="11" spans="1:13">
      <c r="A11" s="18" t="s">
        <v>39</v>
      </c>
      <c r="B11" s="18" t="s">
        <v>90</v>
      </c>
      <c r="C11" s="18" t="s">
        <v>143</v>
      </c>
      <c r="D11" s="26" t="s">
        <v>99</v>
      </c>
      <c r="E11" s="20" t="str">
        <f t="shared" si="0"/>
        <v>CÓDIGO QUE IDENTIFICA EL TIPO DE TRANSACCIÓN REALIZADA(E.G., 076, 034,876).</v>
      </c>
      <c r="F11" s="20" t="s">
        <v>109</v>
      </c>
      <c r="G11" s="18" t="s">
        <v>42</v>
      </c>
      <c r="H11" s="18" t="s">
        <v>72</v>
      </c>
      <c r="I11" s="7">
        <v>76</v>
      </c>
      <c r="J11" s="18" t="s">
        <v>42</v>
      </c>
      <c r="K11" s="18" t="s">
        <v>71</v>
      </c>
      <c r="L11" s="18" t="s">
        <v>42</v>
      </c>
      <c r="M11" s="18" t="s">
        <v>71</v>
      </c>
    </row>
    <row r="12" spans="1:13">
      <c r="A12" s="18" t="s">
        <v>39</v>
      </c>
      <c r="B12" s="18" t="s">
        <v>90</v>
      </c>
      <c r="C12" s="18" t="s">
        <v>143</v>
      </c>
      <c r="D12" s="27" t="s">
        <v>100</v>
      </c>
      <c r="E12" s="20" t="str">
        <f t="shared" si="0"/>
        <v>NOMBRE DEL COMERCIO ASOCIADO A LA TRANSACCIÓN.</v>
      </c>
      <c r="F12" s="20" t="s">
        <v>110</v>
      </c>
      <c r="G12" s="18" t="s">
        <v>71</v>
      </c>
      <c r="H12" s="18" t="s">
        <v>72</v>
      </c>
      <c r="I12" s="7" t="s">
        <v>133</v>
      </c>
      <c r="J12" s="18" t="s">
        <v>42</v>
      </c>
      <c r="K12" s="18" t="s">
        <v>71</v>
      </c>
      <c r="L12" s="18" t="s">
        <v>42</v>
      </c>
      <c r="M12" s="18" t="s">
        <v>42</v>
      </c>
    </row>
    <row r="13" spans="1:13">
      <c r="A13" s="18" t="s">
        <v>39</v>
      </c>
      <c r="B13" s="18" t="s">
        <v>90</v>
      </c>
      <c r="C13" s="18" t="s">
        <v>143</v>
      </c>
      <c r="D13" s="26" t="s">
        <v>101</v>
      </c>
      <c r="E13" s="20" t="str">
        <f t="shared" si="0"/>
        <v>ARN (ACQUIRER REFERENCE NUMBER) ORIGINAL, NÚMERO ÚNICO DE SEGUIMIENTO DE LA TRANSACCIÓN.</v>
      </c>
      <c r="F13" s="20" t="s">
        <v>111</v>
      </c>
      <c r="G13" s="18" t="s">
        <v>42</v>
      </c>
      <c r="H13" s="18" t="s">
        <v>72</v>
      </c>
      <c r="I13" s="7"/>
      <c r="J13" s="18" t="s">
        <v>42</v>
      </c>
      <c r="K13" s="18" t="s">
        <v>71</v>
      </c>
      <c r="L13" s="18" t="s">
        <v>42</v>
      </c>
      <c r="M13" s="18" t="s">
        <v>42</v>
      </c>
    </row>
    <row r="14" spans="1:13">
      <c r="A14" s="18" t="s">
        <v>39</v>
      </c>
      <c r="B14" s="18" t="s">
        <v>90</v>
      </c>
      <c r="C14" s="18" t="s">
        <v>143</v>
      </c>
      <c r="D14" s="26" t="s">
        <v>102</v>
      </c>
      <c r="E14" s="20" t="str">
        <f t="shared" si="0"/>
        <v>NÚMERO ARN ASOCIADO A UNA RETENCIÓN O A UNA DEVOLUCIÓN.</v>
      </c>
      <c r="F14" s="20" t="s">
        <v>113</v>
      </c>
      <c r="G14" s="18" t="s">
        <v>42</v>
      </c>
      <c r="H14" s="18" t="s">
        <v>72</v>
      </c>
      <c r="I14" s="7">
        <v>7.4357045293005301E+22</v>
      </c>
      <c r="J14" s="18" t="s">
        <v>42</v>
      </c>
      <c r="K14" s="18" t="s">
        <v>71</v>
      </c>
      <c r="L14" s="18" t="s">
        <v>42</v>
      </c>
      <c r="M14" s="18" t="s">
        <v>42</v>
      </c>
    </row>
    <row r="15" spans="1:13">
      <c r="A15" s="18" t="s">
        <v>39</v>
      </c>
      <c r="B15" s="18" t="s">
        <v>90</v>
      </c>
      <c r="C15" s="18" t="s">
        <v>143</v>
      </c>
      <c r="D15" s="26" t="s">
        <v>123</v>
      </c>
      <c r="E15" s="20" t="str">
        <f t="shared" si="0"/>
        <v>NÚMERO DE COMPROBANTE O TICKET GENERADO EN EL PUNTO DE VENTA.</v>
      </c>
      <c r="F15" s="20" t="s">
        <v>112</v>
      </c>
      <c r="G15" s="18" t="s">
        <v>42</v>
      </c>
      <c r="H15" s="18" t="s">
        <v>72</v>
      </c>
      <c r="I15" s="7">
        <v>2639586</v>
      </c>
      <c r="J15" s="18" t="s">
        <v>42</v>
      </c>
      <c r="K15" s="18" t="s">
        <v>71</v>
      </c>
      <c r="L15" s="18" t="s">
        <v>42</v>
      </c>
      <c r="M15" s="18" t="s">
        <v>42</v>
      </c>
    </row>
    <row r="16" spans="1:13">
      <c r="A16" s="18" t="s">
        <v>39</v>
      </c>
      <c r="B16" s="18" t="s">
        <v>90</v>
      </c>
      <c r="C16" s="18" t="s">
        <v>143</v>
      </c>
      <c r="D16" s="26" t="s">
        <v>139</v>
      </c>
      <c r="E16" s="20" t="str">
        <f t="shared" si="0"/>
        <v>CÓDIGO DE RESPUESTA DE UNA TRANSACCIÓN QUE PASÓ POR EL CANAL E-COMMERCE.</v>
      </c>
      <c r="F16" s="20" t="s">
        <v>140</v>
      </c>
      <c r="G16" s="18" t="s">
        <v>42</v>
      </c>
      <c r="H16" s="18" t="s">
        <v>72</v>
      </c>
      <c r="I16" s="7" t="s">
        <v>134</v>
      </c>
      <c r="J16" s="18" t="s">
        <v>42</v>
      </c>
      <c r="K16" s="18" t="s">
        <v>71</v>
      </c>
      <c r="L16" s="18" t="s">
        <v>42</v>
      </c>
      <c r="M16" s="18" t="s">
        <v>42</v>
      </c>
    </row>
    <row r="17" spans="1:13">
      <c r="A17" s="18" t="s">
        <v>39</v>
      </c>
      <c r="B17" s="18" t="s">
        <v>90</v>
      </c>
      <c r="C17" s="18" t="s">
        <v>143</v>
      </c>
      <c r="D17" s="26" t="s">
        <v>122</v>
      </c>
      <c r="E17" s="20" t="str">
        <f t="shared" si="0"/>
        <v>CÓDIGO O NÚMERO DE TERMINAL POS DONDE SE PROCESÓ LA TRANSACCIÓN.</v>
      </c>
      <c r="F17" s="20" t="s">
        <v>114</v>
      </c>
      <c r="G17" s="18" t="s">
        <v>42</v>
      </c>
      <c r="H17" s="18" t="s">
        <v>72</v>
      </c>
      <c r="I17" s="7" t="s">
        <v>135</v>
      </c>
      <c r="J17" s="18" t="s">
        <v>42</v>
      </c>
      <c r="K17" s="18" t="s">
        <v>71</v>
      </c>
      <c r="L17" s="18" t="s">
        <v>42</v>
      </c>
      <c r="M17" s="18" t="s">
        <v>42</v>
      </c>
    </row>
    <row r="18" spans="1:13">
      <c r="A18" s="18" t="s">
        <v>39</v>
      </c>
      <c r="B18" s="18" t="s">
        <v>90</v>
      </c>
      <c r="C18" s="18" t="s">
        <v>143</v>
      </c>
      <c r="D18" s="26" t="s">
        <v>124</v>
      </c>
      <c r="E18" s="20" t="str">
        <f t="shared" si="0"/>
        <v>MÉTODO DE INGRESO DE LA TARJETA (MANUAL, CHIP, CONTACTLESS, E-COMMERCE, ETC.).</v>
      </c>
      <c r="F18" s="20" t="s">
        <v>115</v>
      </c>
      <c r="G18" s="18" t="s">
        <v>42</v>
      </c>
      <c r="H18" s="18" t="s">
        <v>72</v>
      </c>
      <c r="I18" s="7" t="s">
        <v>136</v>
      </c>
      <c r="J18" s="18" t="s">
        <v>42</v>
      </c>
      <c r="K18" s="18" t="s">
        <v>71</v>
      </c>
      <c r="L18" s="18" t="s">
        <v>42</v>
      </c>
      <c r="M18" s="18" t="s">
        <v>71</v>
      </c>
    </row>
    <row r="19" spans="1:13">
      <c r="A19" s="18" t="s">
        <v>39</v>
      </c>
      <c r="B19" s="18" t="s">
        <v>90</v>
      </c>
      <c r="C19" s="18" t="s">
        <v>143</v>
      </c>
      <c r="D19" s="26" t="s">
        <v>125</v>
      </c>
      <c r="E19" s="20" t="str">
        <f t="shared" si="0"/>
        <v>REFERENCIA ADICIONAL ASOCIADA A LA TRANSACCIÓN (PUEDE SER UN NÚMERO DE PEDIDO, CÓDIGO EXTERNO, ETC.).</v>
      </c>
      <c r="F19" s="20" t="s">
        <v>116</v>
      </c>
      <c r="G19" s="18" t="s">
        <v>42</v>
      </c>
      <c r="H19" s="18" t="s">
        <v>72</v>
      </c>
      <c r="I19" s="7">
        <v>133246546863</v>
      </c>
      <c r="J19" s="18" t="s">
        <v>42</v>
      </c>
      <c r="K19" s="18" t="s">
        <v>71</v>
      </c>
      <c r="L19" s="18" t="s">
        <v>42</v>
      </c>
      <c r="M19" s="18" t="s">
        <v>42</v>
      </c>
    </row>
    <row r="20" spans="1:13">
      <c r="A20" s="18" t="s">
        <v>39</v>
      </c>
      <c r="B20" s="18" t="s">
        <v>90</v>
      </c>
      <c r="C20" s="18" t="s">
        <v>143</v>
      </c>
      <c r="D20" s="26" t="s">
        <v>126</v>
      </c>
      <c r="E20" s="20" t="str">
        <f t="shared" si="0"/>
        <v>MONTO TOTAL DE LA TRANSACCIÓN REALIZADA.</v>
      </c>
      <c r="F20" s="20" t="s">
        <v>117</v>
      </c>
      <c r="G20" s="18" t="s">
        <v>42</v>
      </c>
      <c r="H20" s="18" t="s">
        <v>144</v>
      </c>
      <c r="I20" s="7">
        <v>25.9</v>
      </c>
      <c r="J20" s="18" t="s">
        <v>42</v>
      </c>
      <c r="K20" s="18" t="s">
        <v>71</v>
      </c>
      <c r="L20" s="18" t="s">
        <v>42</v>
      </c>
      <c r="M20" s="18" t="s">
        <v>42</v>
      </c>
    </row>
    <row r="21" spans="1:13">
      <c r="A21" s="18" t="s">
        <v>39</v>
      </c>
      <c r="B21" s="18" t="s">
        <v>90</v>
      </c>
      <c r="C21" s="18" t="s">
        <v>143</v>
      </c>
      <c r="D21" s="26" t="s">
        <v>127</v>
      </c>
      <c r="E21" s="20" t="str">
        <f t="shared" si="0"/>
        <v>CÓDIGO DE USUARIO APROBADOR.</v>
      </c>
      <c r="F21" s="20" t="s">
        <v>118</v>
      </c>
      <c r="G21" s="18" t="s">
        <v>42</v>
      </c>
      <c r="H21" s="18" t="s">
        <v>72</v>
      </c>
      <c r="I21" s="7" t="s">
        <v>137</v>
      </c>
      <c r="J21" s="18" t="s">
        <v>42</v>
      </c>
      <c r="K21" s="18" t="s">
        <v>71</v>
      </c>
      <c r="L21" s="18" t="s">
        <v>42</v>
      </c>
      <c r="M21" s="18" t="s">
        <v>42</v>
      </c>
    </row>
    <row r="22" spans="1:13">
      <c r="A22" s="18" t="s">
        <v>39</v>
      </c>
      <c r="B22" s="18" t="s">
        <v>90</v>
      </c>
      <c r="C22" s="18" t="s">
        <v>143</v>
      </c>
      <c r="D22" s="26" t="s">
        <v>128</v>
      </c>
      <c r="E22" s="20" t="str">
        <f t="shared" si="0"/>
        <v>FECHA EN LA QUE LA TRANSACCIÓN FUE AUTORIZADA.</v>
      </c>
      <c r="F22" s="20" t="s">
        <v>131</v>
      </c>
      <c r="G22" s="18" t="s">
        <v>42</v>
      </c>
      <c r="H22" s="18" t="s">
        <v>70</v>
      </c>
      <c r="I22" s="28">
        <v>45922</v>
      </c>
      <c r="J22" s="18" t="s">
        <v>42</v>
      </c>
      <c r="K22" s="18" t="s">
        <v>71</v>
      </c>
      <c r="L22" s="18" t="s">
        <v>42</v>
      </c>
      <c r="M22" s="18" t="s">
        <v>42</v>
      </c>
    </row>
    <row r="23" spans="1:13">
      <c r="A23" s="18" t="s">
        <v>39</v>
      </c>
      <c r="B23" s="18" t="s">
        <v>90</v>
      </c>
      <c r="C23" s="18" t="s">
        <v>143</v>
      </c>
      <c r="D23" s="26" t="s">
        <v>129</v>
      </c>
      <c r="E23" s="20" t="str">
        <f t="shared" si="0"/>
        <v>HORA ESPECÍFICA EN LA QUE SE EMITIÓ LA AUTORIZACIÓN.</v>
      </c>
      <c r="F23" s="20" t="s">
        <v>120</v>
      </c>
      <c r="G23" s="18" t="s">
        <v>42</v>
      </c>
      <c r="H23" s="18" t="s">
        <v>72</v>
      </c>
      <c r="I23" s="29">
        <v>0.73290509259259262</v>
      </c>
      <c r="J23" s="18" t="s">
        <v>42</v>
      </c>
      <c r="K23" s="18" t="s">
        <v>71</v>
      </c>
      <c r="L23" s="18" t="s">
        <v>42</v>
      </c>
      <c r="M23" s="18" t="s">
        <v>42</v>
      </c>
    </row>
    <row r="24" spans="1:13">
      <c r="A24" s="18" t="s">
        <v>39</v>
      </c>
      <c r="B24" s="18" t="s">
        <v>90</v>
      </c>
      <c r="C24" s="18" t="s">
        <v>143</v>
      </c>
      <c r="D24" s="26" t="s">
        <v>130</v>
      </c>
      <c r="E24" s="20" t="str">
        <f t="shared" ref="E24" si="1">UPPER(F24)</f>
        <v>FECHA Y HORA EN LA QUE LA TRANSACCIÓN FUE AUTORIZADA.</v>
      </c>
      <c r="F24" s="20" t="s">
        <v>119</v>
      </c>
      <c r="G24" s="18" t="s">
        <v>42</v>
      </c>
      <c r="H24" s="18" t="s">
        <v>88</v>
      </c>
      <c r="I24" s="7" t="s">
        <v>138</v>
      </c>
      <c r="J24" s="18" t="s">
        <v>42</v>
      </c>
      <c r="K24" s="18" t="s">
        <v>71</v>
      </c>
      <c r="L24" s="18" t="s">
        <v>42</v>
      </c>
      <c r="M24" s="18" t="s">
        <v>42</v>
      </c>
    </row>
    <row r="25" spans="1:13">
      <c r="A25" s="18" t="s">
        <v>39</v>
      </c>
      <c r="B25" s="18" t="s">
        <v>90</v>
      </c>
      <c r="C25" s="18" t="s">
        <v>143</v>
      </c>
      <c r="D25" s="20" t="s">
        <v>73</v>
      </c>
      <c r="E25" s="20" t="str">
        <f t="shared" ref="E25:E27" si="2">UPPER(F25)</f>
        <v>DATO DE AUDITORÍA: DESCRIPCIÓN DEL APLICATIVO ORIGEN DE LOS DATOS.</v>
      </c>
      <c r="F25" s="20" t="s">
        <v>74</v>
      </c>
      <c r="G25" s="18" t="s">
        <v>42</v>
      </c>
      <c r="H25" s="18" t="s">
        <v>72</v>
      </c>
      <c r="I25" s="20" t="s">
        <v>75</v>
      </c>
      <c r="J25" s="18" t="s">
        <v>42</v>
      </c>
      <c r="K25" s="18" t="s">
        <v>42</v>
      </c>
      <c r="L25" s="18" t="s">
        <v>42</v>
      </c>
      <c r="M25" s="18" t="s">
        <v>42</v>
      </c>
    </row>
    <row r="26" spans="1:13">
      <c r="A26" s="18" t="s">
        <v>39</v>
      </c>
      <c r="B26" s="18" t="s">
        <v>90</v>
      </c>
      <c r="C26" s="18" t="s">
        <v>143</v>
      </c>
      <c r="D26" s="20" t="s">
        <v>76</v>
      </c>
      <c r="E26" s="20" t="str">
        <f t="shared" si="2"/>
        <v>FECHA Y HORA DE INSERCIÓN DEL REGISTRO EN EL MODELO.</v>
      </c>
      <c r="F26" s="20" t="s">
        <v>121</v>
      </c>
      <c r="G26" s="18" t="s">
        <v>42</v>
      </c>
      <c r="H26" s="18" t="s">
        <v>88</v>
      </c>
      <c r="I26" s="20" t="s">
        <v>89</v>
      </c>
      <c r="J26" s="18" t="s">
        <v>42</v>
      </c>
      <c r="K26" s="18" t="s">
        <v>42</v>
      </c>
      <c r="L26" s="18" t="s">
        <v>42</v>
      </c>
      <c r="M26" s="18" t="s">
        <v>42</v>
      </c>
    </row>
    <row r="27" spans="1:13">
      <c r="A27" s="18" t="s">
        <v>39</v>
      </c>
      <c r="B27" s="18" t="s">
        <v>90</v>
      </c>
      <c r="C27" s="18" t="s">
        <v>143</v>
      </c>
      <c r="D27" s="20" t="s">
        <v>77</v>
      </c>
      <c r="E27" s="20" t="str">
        <f t="shared" si="2"/>
        <v>USUARIO QUE CREA EL REGISTRO EN LA BD</v>
      </c>
      <c r="F27" s="20" t="s">
        <v>78</v>
      </c>
      <c r="G27" s="18" t="s">
        <v>42</v>
      </c>
      <c r="H27" s="18" t="s">
        <v>72</v>
      </c>
      <c r="I27" s="20" t="s">
        <v>79</v>
      </c>
      <c r="J27" s="18" t="s">
        <v>42</v>
      </c>
      <c r="K27" s="18" t="s">
        <v>42</v>
      </c>
      <c r="L27" s="18" t="s">
        <v>42</v>
      </c>
      <c r="M27" s="18" t="s">
        <v>42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2.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3.xml><?xml version="1.0" encoding="utf-8"?>
<ds:datastoreItem xmlns:ds="http://schemas.openxmlformats.org/officeDocument/2006/customXml" ds:itemID="{64076291-FF06-4835-ACF7-B53052F6724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Datos Sensibles</vt:lpstr>
      <vt:lpstr>Estructuras del Modelo</vt:lpstr>
      <vt:lpstr>m_ard_as400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Angello Bravo</dc:creator>
  <cp:lastModifiedBy>Juan Sara</cp:lastModifiedBy>
  <dcterms:created xsi:type="dcterms:W3CDTF">2015-06-05T18:19:34Z</dcterms:created>
  <dcterms:modified xsi:type="dcterms:W3CDTF">2026-06-12T20:49:24Z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