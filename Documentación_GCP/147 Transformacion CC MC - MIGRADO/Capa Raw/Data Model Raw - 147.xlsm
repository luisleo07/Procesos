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147 Transformacion CC MC - MIGRADO/Capa Raw/"/>
    </mc:Choice>
  </mc:AlternateContent>
  <xr:revisionPtr revIDLastSave="139" documentId="8_{1DCF88E8-8811-44D0-8773-D3AB89B02E57}" xr6:coauthVersionLast="47" xr6:coauthVersionMax="47" xr10:uidLastSave="{C6CFC87C-BA1F-4219-B594-CEB9A249603D}"/>
  <bookViews>
    <workbookView xWindow="-108" yWindow="-108" windowWidth="23256" windowHeight="12456" activeTab="2" xr2:uid="{00000000-000D-0000-FFFF-FFFF00000000}"/>
  </bookViews>
  <sheets>
    <sheet name="Estructuras del Modelo" sheetId="1" r:id="rId1"/>
    <sheet name="Datos Sensibles" sheetId="4" r:id="rId2"/>
    <sheet name="miscelaneos" sheetId="2" r:id="rId3"/>
  </sheets>
  <functionGroups builtInGroupCount="19"/>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2" l="1"/>
  <c r="E32" i="2"/>
  <c r="E31" i="2"/>
  <c r="E30" i="2"/>
  <c r="E29" i="2"/>
  <c r="E28" i="2"/>
  <c r="E27" i="2"/>
  <c r="E26" i="2"/>
  <c r="E25" i="2"/>
  <c r="E24" i="2"/>
  <c r="E23" i="2"/>
  <c r="E22" i="2"/>
  <c r="E21" i="2"/>
  <c r="E20" i="2"/>
  <c r="E19" i="2"/>
  <c r="E18" i="2"/>
  <c r="E4" i="2"/>
  <c r="E5" i="2"/>
  <c r="E6" i="2"/>
  <c r="E7" i="2"/>
  <c r="E8" i="2"/>
  <c r="E9" i="2"/>
  <c r="E11" i="2"/>
  <c r="E12" i="2"/>
  <c r="E13" i="2"/>
  <c r="E14" i="2"/>
  <c r="E15" i="2"/>
  <c r="E16" i="2"/>
  <c r="E17" i="2"/>
  <c r="E3" i="2"/>
</calcChain>
</file>

<file path=xl/sharedStrings.xml><?xml version="1.0" encoding="utf-8"?>
<sst xmlns="http://schemas.openxmlformats.org/spreadsheetml/2006/main" count="433" uniqueCount="158">
  <si>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</si>
  <si>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</si>
  <si>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</si>
  <si>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</si>
  <si>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</si>
  <si>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</si>
  <si>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</si>
  <si>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</si>
  <si>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</si>
  <si>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</si>
  <si>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</si>
  <si>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</si>
  <si>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</si>
  <si>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</si>
  <si>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</si>
  <si>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</si>
  <si>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</si>
  <si>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</si>
  <si>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</si>
  <si>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</si>
  <si>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</si>
  <si>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</si>
  <si>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</si>
  <si>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</si>
  <si>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</si>
  <si>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</si>
  <si>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</si>
  <si>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</si>
  <si>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</si>
  <si>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</si>
  <si>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</si>
  <si>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</si>
  <si>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</si>
  <si>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</si>
  <si>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</si>
  <si>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</si>
  <si>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</si>
  <si>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</si>
  <si>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</si>
  <si>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</si>
  <si>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</si>
  <si>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Contracargo</t>
  </si>
  <si>
    <t>prd-izipay-data-storage-pv</t>
  </si>
  <si>
    <t>raw_dataentry_operaciones</t>
  </si>
  <si>
    <t>miscelaneos</t>
  </si>
  <si>
    <t>Tabla que contiene contracargos miscelaneos cargados externamente</t>
  </si>
  <si>
    <t>Única Carga</t>
  </si>
  <si>
    <t>mc2103@izipay.pe</t>
  </si>
  <si>
    <t>N</t>
  </si>
  <si>
    <t>prod</t>
  </si>
  <si>
    <t>Raw</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</si>
  <si>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</si>
  <si>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</si>
  <si>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</si>
  <si>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</si>
  <si>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</si>
  <si>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</si>
  <si>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</si>
  <si>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</si>
  <si>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</si>
  <si>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</si>
  <si>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</si>
  <si>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</si>
  <si>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</si>
  <si>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</si>
  <si>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</si>
  <si>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</si>
  <si>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</si>
  <si>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</si>
  <si>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</si>
  <si>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</si>
  <si>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</si>
  <si>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</si>
  <si>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</si>
  <si>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</si>
  <si>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</si>
  <si>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Y/N</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</si>
  <si>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</si>
  <si>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</si>
  <si>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</si>
  <si>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</si>
  <si>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</si>
  <si>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cambio</t>
  </si>
  <si>
    <t>Indica si es intercambio es Local (L) o Internacional (I)</t>
  </si>
  <si>
    <t>STRING</t>
  </si>
  <si>
    <t>I</t>
  </si>
  <si>
    <t>Y</t>
  </si>
  <si>
    <t>bin</t>
  </si>
  <si>
    <t>ingreso</t>
  </si>
  <si>
    <t>Fecha de ingreso del contracargo</t>
  </si>
  <si>
    <t>envio</t>
  </si>
  <si>
    <t>Codigo ICA del emisor</t>
  </si>
  <si>
    <t>recibe</t>
  </si>
  <si>
    <t>Codigo ICA del adquirente (Izipay = 007963)</t>
  </si>
  <si>
    <t>mti</t>
  </si>
  <si>
    <t>MTI codigo interno</t>
  </si>
  <si>
    <t>fun</t>
  </si>
  <si>
    <t>Codigo Fun indica la etapa del contracargo</t>
  </si>
  <si>
    <t>tipo</t>
  </si>
  <si>
    <t>Tipo contracargo</t>
  </si>
  <si>
    <t>mone</t>
  </si>
  <si>
    <t>Codigo de la moneda del contracargo</t>
  </si>
  <si>
    <t>importe</t>
  </si>
  <si>
    <t>Importe del contracargo</t>
  </si>
  <si>
    <t>autori</t>
  </si>
  <si>
    <t>Codigo de autorizacion de la transaccion</t>
  </si>
  <si>
    <t>acqrefdata</t>
  </si>
  <si>
    <t>ARD de la transaccion</t>
  </si>
  <si>
    <t>cod_estab</t>
  </si>
  <si>
    <t>Codigo del comercio</t>
  </si>
  <si>
    <t>nombre</t>
  </si>
  <si>
    <t>Nombre del comercio</t>
  </si>
  <si>
    <t>nro_control</t>
  </si>
  <si>
    <t>Número de control del contracargo</t>
  </si>
  <si>
    <t>razon</t>
  </si>
  <si>
    <t>Codigo de razon, indica el motivo del contracargo</t>
  </si>
  <si>
    <t>1021040 7606</t>
  </si>
  <si>
    <t>term</t>
  </si>
  <si>
    <t>Codigo de terminal</t>
  </si>
  <si>
    <t>adqu</t>
  </si>
  <si>
    <t>País del adquirente</t>
  </si>
  <si>
    <t>emis</t>
  </si>
  <si>
    <t>País del emisor</t>
  </si>
  <si>
    <t>ESP</t>
  </si>
  <si>
    <t>mensaje</t>
  </si>
  <si>
    <t>Mensaje del contracargo</t>
  </si>
  <si>
    <t>INVALID FEE COLLECTION ON 12/31</t>
  </si>
  <si>
    <t>fraureporteusuario</t>
  </si>
  <si>
    <t>Codigo del reporte de usuario</t>
  </si>
  <si>
    <t>GCMS</t>
  </si>
  <si>
    <t>sit</t>
  </si>
  <si>
    <t>Situación del contracargo</t>
  </si>
  <si>
    <t>D</t>
  </si>
  <si>
    <t>situa</t>
  </si>
  <si>
    <t>Fecha de aceptación, caso contrario 0</t>
  </si>
  <si>
    <t>gestor</t>
  </si>
  <si>
    <t>Codigo MC del usuario gestor</t>
  </si>
  <si>
    <t>MC0077</t>
  </si>
  <si>
    <t>obserregularizaciones</t>
  </si>
  <si>
    <t>Observacion en caso de regularizaciones</t>
  </si>
  <si>
    <t>POR TIPO DE CAMBIO ENTRE CBK Y DEV</t>
  </si>
  <si>
    <t>process_date</t>
  </si>
  <si>
    <t>Fecha de foto/datos configurada en el ETL para la extracción de datos, corresponde a aperturas de comercios hasta el cierre del día anterior</t>
  </si>
  <si>
    <t>DATE</t>
  </si>
  <si>
    <t>record_source</t>
  </si>
  <si>
    <t>Dato de Auditoría: Descripción del aplicativo origen de los datos.</t>
  </si>
  <si>
    <t>as400</t>
  </si>
  <si>
    <t>load_date</t>
  </si>
  <si>
    <t>Fecha y hora de inserción del registro en el modelo</t>
  </si>
  <si>
    <t>DATETIME</t>
  </si>
  <si>
    <t>2025-07-04T03:07:39.145385</t>
  </si>
  <si>
    <t>creation_user</t>
  </si>
  <si>
    <t>Usuario que crea el registro en la BD</t>
  </si>
  <si>
    <t>prd-data-operation-migration@prd-izipay-data-operation.iam.gserviceaccount.com</t>
  </si>
  <si>
    <t>tarjeta</t>
  </si>
  <si>
    <t>545875******6589</t>
  </si>
  <si>
    <t>Tarjeta enmascarada</t>
  </si>
  <si>
    <t>Bin de la tarjeta enmascarada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</si>
</sst>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sz val="11"/>
      <color theme="1"/>
      <name val="Calibri"/>
      <family val="2"/>
    </font>
  </fonts>
  <fills count="5">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5" fillId="0" borderId="0" applyNumberFormat="0" applyFill="0" applyBorder="0" applyAlignment="0" applyProtection="0"/>
  </cellStyleXfs>
  <cellXfs count="29">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4" fontId="0" fillId="0" borderId="1" xfId="0" applyNumberFormat="1" applyBorder="1" applyAlignment="1">
      <alignment vertical="center"/>
    </xf>
    <xf numFmtId="11" fontId="0" fillId="0" borderId="1" xfId="0" applyNumberFormat="1" applyBorder="1" applyAlignment="1">
      <alignment vertical="center"/>
    </xf>
    <xf numFmtId="0" fontId="14" fillId="0" borderId="2" xfId="0" applyFont="1" applyBorder="1" applyAlignment="1">
      <alignment horizontal="center" vertical="center" wrapText="1"/>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workbookViewId="0">
      <selection activeCell="I3" sqref="I3"/>
    </sheetView>
  </sheetViews>
  <sheetFormatPr baseColWidth="10" defaultColWidth="9.109375" defaultRowHeight="14.4"/>
  <cols>
    <col min="1" max="8" width="33.33203125" customWidth="1"/>
    <col min="9" max="9" width="45.21875" customWidth="1"/>
    <col min="10" max="20" width="33.33203125" customWidth="1"/>
  </cols>
  <sheetData>
    <row r="1" spans="1:20">
      <c r="A1" s="14" t="s">
        <v>0</v>
      </c>
      <c r="B1" s="14" t="s">
        <v>1</v>
      </c>
      <c r="C1" s="14" t="s">
        <v>2</v>
      </c>
      <c r="D1" s="14" t="s">
        <v>3</v>
      </c>
      <c r="E1" s="14" t="s">
        <v>4</v>
      </c>
      <c r="F1" s="15" t="s">
        <v>5</v>
      </c>
      <c r="G1" s="14" t="s">
        <v>6</v>
      </c>
      <c r="H1" s="14" t="s">
        <v>7</v>
      </c>
      <c r="I1" s="14" t="s">
        <v>8</v>
      </c>
      <c r="J1" s="14" t="s">
        <v>9</v>
      </c>
      <c r="K1" s="14" t="s">
        <v>10</v>
      </c>
      <c r="L1" s="14" t="s">
        <v>11</v>
      </c>
      <c r="M1" s="14" t="s">
        <v>12</v>
      </c>
      <c r="N1" s="14" t="s">
        <v>13</v>
      </c>
      <c r="O1" s="14" t="s">
        <v>14</v>
      </c>
      <c r="P1" s="14" t="s">
        <v>15</v>
      </c>
      <c r="Q1" s="14" t="s">
        <v>16</v>
      </c>
      <c r="R1" s="14" t="s">
        <v>17</v>
      </c>
      <c r="S1" s="14" t="s">
        <v>18</v>
      </c>
      <c r="T1" s="14" t="s">
        <v>19</v>
      </c>
    </row>
    <row r="2" spans="1:20" ht="41.4">
      <c r="A2" s="16" t="s">
        <v>20</v>
      </c>
      <c r="B2" s="16" t="s">
        <v>21</v>
      </c>
      <c r="C2" s="16" t="s">
        <v>22</v>
      </c>
      <c r="D2" s="16" t="s">
        <v>23</v>
      </c>
      <c r="E2" s="16" t="s">
        <v>24</v>
      </c>
      <c r="F2" s="16" t="s">
        <v>25</v>
      </c>
      <c r="G2" s="16" t="s">
        <v>26</v>
      </c>
      <c r="H2" s="16" t="s">
        <v>27</v>
      </c>
      <c r="I2" s="16" t="s">
        <v>28</v>
      </c>
      <c r="J2" s="17" t="s">
        <v>29</v>
      </c>
      <c r="K2" s="17" t="s">
        <v>30</v>
      </c>
      <c r="L2" s="18"/>
      <c r="M2" s="16" t="s">
        <v>31</v>
      </c>
      <c r="N2" s="16" t="s">
        <v>32</v>
      </c>
      <c r="O2" s="16" t="s">
        <v>33</v>
      </c>
      <c r="P2" s="16" t="s">
        <v>34</v>
      </c>
      <c r="Q2" s="16" t="s">
        <v>35</v>
      </c>
      <c r="R2" s="16" t="s">
        <v>36</v>
      </c>
      <c r="S2" s="16" t="s">
        <v>37</v>
      </c>
      <c r="T2" s="16" t="s">
        <v>38</v>
      </c>
    </row>
    <row r="3" spans="1:20">
      <c r="A3" s="5" t="s">
        <v>39</v>
      </c>
      <c r="B3" s="5" t="s">
        <v>40</v>
      </c>
      <c r="C3" s="5" t="s">
        <v>41</v>
      </c>
      <c r="D3" s="5" t="s">
        <v>40</v>
      </c>
      <c r="E3" s="5" t="s">
        <v>41</v>
      </c>
      <c r="F3" s="5" t="s">
        <v>42</v>
      </c>
      <c r="G3" s="5" t="s">
        <v>43</v>
      </c>
      <c r="H3" s="6" t="s">
        <v>44</v>
      </c>
      <c r="I3" s="7" t="s">
        <v>45</v>
      </c>
      <c r="J3" s="27" t="s">
        <v>46</v>
      </c>
      <c r="K3" s="27" t="s">
        <v>46</v>
      </c>
      <c r="L3" s="8"/>
      <c r="M3" s="6" t="s">
        <v>47</v>
      </c>
      <c r="N3" s="5" t="s">
        <v>48</v>
      </c>
      <c r="O3" s="5" t="s">
        <v>49</v>
      </c>
      <c r="P3" s="5" t="s">
        <v>50</v>
      </c>
      <c r="Q3" s="5" t="s">
        <v>40</v>
      </c>
      <c r="R3" s="5"/>
      <c r="S3" s="5"/>
      <c r="T3" s="5"/>
    </row>
    <row r="4" spans="1:20">
      <c r="A4" s="1"/>
      <c r="B4" s="1"/>
      <c r="C4" s="1"/>
      <c r="D4" s="1"/>
      <c r="E4" s="1"/>
      <c r="F4" s="1"/>
      <c r="G4" s="1"/>
      <c r="H4" s="1"/>
      <c r="I4" s="1"/>
      <c r="J4" s="1"/>
      <c r="K4" s="1"/>
      <c r="L4" s="1"/>
      <c r="M4" s="1"/>
      <c r="N4" s="1"/>
      <c r="O4" s="1"/>
      <c r="P4" s="1"/>
      <c r="Q4" s="1"/>
      <c r="R4" s="1"/>
      <c r="S4" s="1"/>
      <c r="T4" s="1"/>
    </row>
    <row r="5" spans="1:20">
      <c r="A5" s="2" t="s">
        <v>51</v>
      </c>
      <c r="B5" s="1"/>
      <c r="C5" s="1"/>
      <c r="D5" s="1"/>
      <c r="E5" s="1"/>
      <c r="F5" s="1"/>
      <c r="G5" s="1"/>
      <c r="H5" s="1"/>
      <c r="I5" s="1"/>
      <c r="J5" s="1"/>
      <c r="K5" s="1"/>
      <c r="L5" s="1"/>
      <c r="M5" s="1"/>
      <c r="N5" s="1"/>
      <c r="O5" s="1"/>
      <c r="P5" s="1"/>
      <c r="Q5" s="1"/>
      <c r="R5" s="1"/>
      <c r="S5" s="1"/>
      <c r="T5" s="1"/>
    </row>
    <row r="6" spans="1:20">
      <c r="A6" s="3" t="s">
        <v>52</v>
      </c>
      <c r="B6" s="1"/>
      <c r="C6" s="1"/>
      <c r="D6" s="4"/>
      <c r="E6" s="4"/>
      <c r="F6" s="4"/>
      <c r="G6" s="4"/>
      <c r="H6" s="1"/>
      <c r="I6" s="1"/>
      <c r="J6" s="1"/>
      <c r="K6" s="1"/>
      <c r="L6" s="1"/>
      <c r="M6" s="1"/>
      <c r="N6" s="1"/>
      <c r="O6" s="1"/>
      <c r="P6" s="1"/>
      <c r="Q6" s="1"/>
      <c r="R6" s="1"/>
      <c r="S6" s="1"/>
      <c r="T6" s="1"/>
    </row>
    <row r="7" spans="1:20">
      <c r="A7" s="3" t="s">
        <v>53</v>
      </c>
      <c r="B7" s="1"/>
      <c r="C7" s="1"/>
      <c r="D7" s="4"/>
      <c r="E7" s="4"/>
      <c r="F7" s="4"/>
      <c r="G7" s="4"/>
      <c r="H7" s="1"/>
      <c r="I7" s="1"/>
      <c r="J7" s="1"/>
      <c r="K7" s="1"/>
      <c r="L7" s="1"/>
      <c r="M7" s="1"/>
      <c r="N7" s="1"/>
      <c r="O7" s="1"/>
      <c r="P7" s="1"/>
      <c r="Q7" s="1"/>
      <c r="R7" s="1"/>
      <c r="S7" s="1"/>
      <c r="T7" s="1"/>
    </row>
    <row r="8" spans="1:20">
      <c r="A8" s="3" t="s">
        <v>54</v>
      </c>
      <c r="B8" s="1"/>
      <c r="C8" s="1"/>
      <c r="D8" s="1"/>
      <c r="E8" s="1"/>
      <c r="F8" s="1"/>
      <c r="G8" s="1"/>
      <c r="H8" s="1"/>
      <c r="I8" s="1"/>
      <c r="J8" s="1"/>
      <c r="K8" s="1"/>
      <c r="L8" s="1"/>
      <c r="M8" s="1"/>
      <c r="N8" s="1"/>
      <c r="O8" s="1"/>
      <c r="P8" s="1"/>
      <c r="Q8" s="1"/>
      <c r="R8" s="1"/>
      <c r="S8" s="1"/>
      <c r="T8" s="1"/>
    </row>
    <row r="9" spans="1:20">
      <c r="A9" s="3" t="s">
        <v>55</v>
      </c>
      <c r="B9" s="1"/>
      <c r="C9" s="1"/>
      <c r="D9" s="1"/>
      <c r="E9" s="1"/>
      <c r="F9" s="1"/>
      <c r="G9" s="1"/>
      <c r="H9" s="1"/>
      <c r="I9" s="1"/>
      <c r="J9" s="1"/>
      <c r="K9" s="1"/>
      <c r="L9" s="1"/>
      <c r="M9" s="1"/>
      <c r="N9" s="1"/>
      <c r="O9" s="1"/>
      <c r="P9" s="1"/>
      <c r="Q9" s="1"/>
      <c r="R9" s="1"/>
      <c r="S9" s="1"/>
      <c r="T9" s="1"/>
    </row>
    <row r="10" spans="1:20">
      <c r="A10" s="1"/>
      <c r="B10" s="1"/>
      <c r="C10" s="1"/>
      <c r="D10" s="1"/>
      <c r="E10" s="1"/>
      <c r="F10" s="1"/>
      <c r="G10" s="1"/>
      <c r="H10" s="1"/>
      <c r="I10" s="1"/>
      <c r="J10" s="1"/>
      <c r="K10" s="1"/>
      <c r="L10" s="1"/>
      <c r="M10" s="1"/>
      <c r="N10" s="1"/>
      <c r="O10" s="1"/>
      <c r="P10" s="1"/>
      <c r="Q10" s="1"/>
      <c r="R10" s="1"/>
      <c r="S10" s="1"/>
      <c r="T10" s="1"/>
    </row>
  </sheetData>
  <hyperlinks>
    <hyperlink ref="H3" location="miscelaneos!A1" display="miscelaneos" xr:uid="{0DB9A7A6-B614-41D9-8932-0970FDE8FB75}"/>
    <hyperlink ref="M3" r:id="rId1" xr:uid="{F16AE767-9CB3-4FC0-9EAA-85E695DE261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9"/>
  <sheetViews>
    <sheetView showGridLines="0" workbookViewId="0">
      <selection activeCell="C20" sqref="C20"/>
    </sheetView>
  </sheetViews>
  <sheetFormatPr baseColWidth="10" defaultColWidth="11.44140625" defaultRowHeight="14.4"/>
  <cols>
    <col min="1" max="1" width="7.33203125" customWidth="1"/>
    <col min="2" max="5" width="23.33203125" customWidth="1"/>
    <col min="6" max="6" width="27.88671875" customWidth="1"/>
    <col min="7" max="7" width="23.33203125" customWidth="1"/>
  </cols>
  <sheetData>
    <row r="1" spans="1:7">
      <c r="A1" s="1"/>
      <c r="B1" s="1"/>
      <c r="C1" s="1"/>
      <c r="D1" s="1"/>
      <c r="E1" s="1"/>
      <c r="F1" s="1"/>
      <c r="G1" s="1"/>
    </row>
    <row r="2" spans="1:7" ht="29.4">
      <c r="A2" s="9" t="s">
        <v>56</v>
      </c>
      <c r="B2" s="1"/>
      <c r="C2" s="1"/>
      <c r="D2" s="1"/>
      <c r="E2" s="1"/>
      <c r="F2" s="1"/>
      <c r="G2" s="1"/>
    </row>
    <row r="3" spans="1:7" s="1" customFormat="1" ht="66" customHeight="1">
      <c r="A3" s="28" t="s">
        <v>57</v>
      </c>
      <c r="B3" s="28"/>
      <c r="C3" s="28"/>
      <c r="D3" s="28"/>
      <c r="E3" s="28"/>
      <c r="F3" s="28"/>
      <c r="G3" s="28"/>
    </row>
    <row r="4" spans="1:7">
      <c r="A4" s="1"/>
      <c r="B4" s="1"/>
      <c r="C4" s="1"/>
      <c r="D4" s="1"/>
      <c r="E4" s="1"/>
      <c r="F4" s="1"/>
      <c r="G4" s="1"/>
    </row>
    <row r="5" spans="1:7">
      <c r="A5" s="10" t="s">
        <v>58</v>
      </c>
      <c r="B5" s="10" t="s">
        <v>59</v>
      </c>
      <c r="C5" s="10" t="s">
        <v>60</v>
      </c>
      <c r="D5" s="10" t="s">
        <v>61</v>
      </c>
      <c r="E5" s="10" t="s">
        <v>7</v>
      </c>
      <c r="F5" s="10" t="s">
        <v>62</v>
      </c>
      <c r="G5" s="10" t="s">
        <v>8</v>
      </c>
    </row>
    <row r="6" spans="1:7">
      <c r="A6" s="11"/>
      <c r="B6" s="8"/>
      <c r="C6" s="8"/>
      <c r="D6" s="8"/>
      <c r="E6" s="8"/>
      <c r="F6" s="12"/>
      <c r="G6" s="13"/>
    </row>
    <row r="7" spans="1:7">
      <c r="A7" s="11"/>
      <c r="B7" s="8"/>
      <c r="C7" s="8"/>
      <c r="D7" s="8"/>
      <c r="E7" s="8"/>
      <c r="F7" s="12"/>
      <c r="G7" s="13"/>
    </row>
    <row r="8" spans="1:7">
      <c r="A8" s="1"/>
      <c r="B8" s="1"/>
      <c r="C8" s="1"/>
      <c r="D8" s="1"/>
      <c r="E8" s="1"/>
      <c r="F8" s="1"/>
      <c r="G8" s="1"/>
    </row>
    <row r="9" spans="1:7">
      <c r="A9" s="1"/>
      <c r="B9" s="1"/>
      <c r="C9" s="1"/>
      <c r="D9" s="1"/>
      <c r="E9" s="1"/>
      <c r="F9" s="1"/>
      <c r="G9" s="1"/>
    </row>
  </sheetData>
  <mergeCells count="1">
    <mergeCell ref="A3:G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32"/>
  <sheetViews>
    <sheetView showGridLines="0" tabSelected="1" topLeftCell="C1" workbookViewId="0">
      <selection activeCell="E4" sqref="E4"/>
    </sheetView>
  </sheetViews>
  <sheetFormatPr baseColWidth="10" defaultColWidth="11.44140625" defaultRowHeight="14.4"/>
  <cols>
    <col min="1" max="4" width="29" customWidth="1"/>
    <col min="5" max="5" width="48.33203125" customWidth="1"/>
    <col min="6" max="6" width="57.44140625" customWidth="1"/>
    <col min="7" max="7" width="18.6640625" customWidth="1"/>
    <col min="8" max="8" width="29" customWidth="1"/>
    <col min="9" max="9" width="40.5546875" customWidth="1"/>
    <col min="10" max="13" width="29" customWidth="1"/>
  </cols>
  <sheetData>
    <row r="1" spans="1:13" ht="31.2">
      <c r="A1" s="19" t="s">
        <v>5</v>
      </c>
      <c r="B1" s="20" t="s">
        <v>6</v>
      </c>
      <c r="C1" s="20" t="s">
        <v>7</v>
      </c>
      <c r="D1" s="20" t="s">
        <v>62</v>
      </c>
      <c r="E1" s="20" t="s">
        <v>63</v>
      </c>
      <c r="F1" s="20" t="s">
        <v>64</v>
      </c>
      <c r="G1" s="20" t="s">
        <v>65</v>
      </c>
      <c r="H1" s="20" t="s">
        <v>66</v>
      </c>
      <c r="I1" s="20" t="s">
        <v>67</v>
      </c>
      <c r="J1" s="20" t="s">
        <v>68</v>
      </c>
      <c r="K1" s="20" t="s">
        <v>69</v>
      </c>
      <c r="L1" s="20" t="s">
        <v>70</v>
      </c>
      <c r="M1" s="20" t="s">
        <v>71</v>
      </c>
    </row>
    <row r="2" spans="1:13" ht="46.8">
      <c r="A2" s="21" t="s">
        <v>25</v>
      </c>
      <c r="B2" s="21" t="s">
        <v>26</v>
      </c>
      <c r="C2" s="21" t="s">
        <v>72</v>
      </c>
      <c r="D2" s="21" t="s">
        <v>73</v>
      </c>
      <c r="E2" s="21" t="s">
        <v>74</v>
      </c>
      <c r="F2" s="21" t="s">
        <v>75</v>
      </c>
      <c r="G2" s="21" t="s">
        <v>76</v>
      </c>
      <c r="H2" s="21" t="s">
        <v>77</v>
      </c>
      <c r="I2" s="21" t="s">
        <v>78</v>
      </c>
      <c r="J2" s="21" t="s">
        <v>79</v>
      </c>
      <c r="K2" s="21" t="s">
        <v>80</v>
      </c>
      <c r="L2" s="21" t="s">
        <v>81</v>
      </c>
      <c r="M2" s="21" t="s">
        <v>80</v>
      </c>
    </row>
    <row r="3" spans="1:13">
      <c r="A3" s="22" t="s">
        <v>42</v>
      </c>
      <c r="B3" s="22" t="s">
        <v>43</v>
      </c>
      <c r="C3" s="23" t="s">
        <v>44</v>
      </c>
      <c r="D3" s="24" t="s">
        <v>82</v>
      </c>
      <c r="E3" s="24" t="str">
        <f>UPPER(F3)</f>
        <v>INDICA SI ES INTERCAMBIO ES LOCAL (L) O INTERNACIONAL (I)</v>
      </c>
      <c r="F3" s="24" t="s">
        <v>83</v>
      </c>
      <c r="G3" s="22" t="s">
        <v>48</v>
      </c>
      <c r="H3" s="22" t="s">
        <v>84</v>
      </c>
      <c r="I3" s="24" t="s">
        <v>85</v>
      </c>
      <c r="J3" s="22" t="s">
        <v>48</v>
      </c>
      <c r="K3" s="22" t="s">
        <v>86</v>
      </c>
      <c r="L3" s="22" t="s">
        <v>48</v>
      </c>
      <c r="M3" s="22" t="s">
        <v>48</v>
      </c>
    </row>
    <row r="4" spans="1:13">
      <c r="A4" s="22" t="s">
        <v>42</v>
      </c>
      <c r="B4" s="22" t="s">
        <v>43</v>
      </c>
      <c r="C4" s="23" t="s">
        <v>44</v>
      </c>
      <c r="D4" s="24" t="s">
        <v>88</v>
      </c>
      <c r="E4" s="24" t="str">
        <f t="shared" ref="E4:E32" si="0">UPPER(F4)</f>
        <v>FECHA DE INGRESO DEL CONTRACARGO</v>
      </c>
      <c r="F4" s="24" t="s">
        <v>89</v>
      </c>
      <c r="G4" s="22" t="s">
        <v>48</v>
      </c>
      <c r="H4" s="22" t="s">
        <v>84</v>
      </c>
      <c r="I4" s="24">
        <v>20210408</v>
      </c>
      <c r="J4" s="22" t="s">
        <v>48</v>
      </c>
      <c r="K4" s="22" t="s">
        <v>86</v>
      </c>
      <c r="L4" s="22" t="s">
        <v>48</v>
      </c>
      <c r="M4" s="22" t="s">
        <v>48</v>
      </c>
    </row>
    <row r="5" spans="1:13">
      <c r="A5" s="22" t="s">
        <v>42</v>
      </c>
      <c r="B5" s="22" t="s">
        <v>43</v>
      </c>
      <c r="C5" s="23" t="s">
        <v>44</v>
      </c>
      <c r="D5" s="24" t="s">
        <v>90</v>
      </c>
      <c r="E5" s="24" t="str">
        <f t="shared" si="0"/>
        <v>CODIGO ICA DEL EMISOR</v>
      </c>
      <c r="F5" s="24" t="s">
        <v>91</v>
      </c>
      <c r="G5" s="22" t="s">
        <v>48</v>
      </c>
      <c r="H5" s="22" t="s">
        <v>84</v>
      </c>
      <c r="I5" s="24">
        <v>1540</v>
      </c>
      <c r="J5" s="22" t="s">
        <v>48</v>
      </c>
      <c r="K5" s="22" t="s">
        <v>86</v>
      </c>
      <c r="L5" s="22" t="s">
        <v>48</v>
      </c>
      <c r="M5" s="22" t="s">
        <v>48</v>
      </c>
    </row>
    <row r="6" spans="1:13">
      <c r="A6" s="22" t="s">
        <v>42</v>
      </c>
      <c r="B6" s="22" t="s">
        <v>43</v>
      </c>
      <c r="C6" s="23" t="s">
        <v>44</v>
      </c>
      <c r="D6" s="24" t="s">
        <v>92</v>
      </c>
      <c r="E6" s="24" t="str">
        <f t="shared" si="0"/>
        <v>CODIGO ICA DEL ADQUIRENTE (IZIPAY = 007963)</v>
      </c>
      <c r="F6" s="24" t="s">
        <v>93</v>
      </c>
      <c r="G6" s="22" t="s">
        <v>48</v>
      </c>
      <c r="H6" s="22" t="s">
        <v>84</v>
      </c>
      <c r="I6" s="24">
        <v>7963</v>
      </c>
      <c r="J6" s="22" t="s">
        <v>48</v>
      </c>
      <c r="K6" s="22" t="s">
        <v>86</v>
      </c>
      <c r="L6" s="22" t="s">
        <v>48</v>
      </c>
      <c r="M6" s="22" t="s">
        <v>48</v>
      </c>
    </row>
    <row r="7" spans="1:13">
      <c r="A7" s="22" t="s">
        <v>42</v>
      </c>
      <c r="B7" s="22" t="s">
        <v>43</v>
      </c>
      <c r="C7" s="23" t="s">
        <v>44</v>
      </c>
      <c r="D7" s="24" t="s">
        <v>94</v>
      </c>
      <c r="E7" s="24" t="str">
        <f t="shared" si="0"/>
        <v>MTI CODIGO INTERNO</v>
      </c>
      <c r="F7" s="24" t="s">
        <v>95</v>
      </c>
      <c r="G7" s="22" t="s">
        <v>48</v>
      </c>
      <c r="H7" s="22" t="s">
        <v>84</v>
      </c>
      <c r="I7" s="24">
        <v>1740</v>
      </c>
      <c r="J7" s="22" t="s">
        <v>48</v>
      </c>
      <c r="K7" s="22" t="s">
        <v>86</v>
      </c>
      <c r="L7" s="22" t="s">
        <v>48</v>
      </c>
      <c r="M7" s="22" t="s">
        <v>48</v>
      </c>
    </row>
    <row r="8" spans="1:13">
      <c r="A8" s="22" t="s">
        <v>42</v>
      </c>
      <c r="B8" s="22" t="s">
        <v>43</v>
      </c>
      <c r="C8" s="23" t="s">
        <v>44</v>
      </c>
      <c r="D8" s="24" t="s">
        <v>96</v>
      </c>
      <c r="E8" s="24" t="str">
        <f t="shared" si="0"/>
        <v>CODIGO FUN INDICA LA ETAPA DEL CONTRACARGO</v>
      </c>
      <c r="F8" s="24" t="s">
        <v>97</v>
      </c>
      <c r="G8" s="22" t="s">
        <v>48</v>
      </c>
      <c r="H8" s="22" t="s">
        <v>84</v>
      </c>
      <c r="I8" s="26">
        <v>700</v>
      </c>
      <c r="J8" s="22" t="s">
        <v>86</v>
      </c>
      <c r="K8" s="22" t="s">
        <v>86</v>
      </c>
      <c r="L8" s="22" t="s">
        <v>48</v>
      </c>
      <c r="M8" s="22" t="s">
        <v>48</v>
      </c>
    </row>
    <row r="9" spans="1:13">
      <c r="A9" s="22" t="s">
        <v>42</v>
      </c>
      <c r="B9" s="22" t="s">
        <v>43</v>
      </c>
      <c r="C9" s="23" t="s">
        <v>44</v>
      </c>
      <c r="D9" s="24" t="s">
        <v>154</v>
      </c>
      <c r="E9" s="24" t="str">
        <f t="shared" si="0"/>
        <v>TARJETA ENMASCARADA</v>
      </c>
      <c r="F9" s="24" t="s">
        <v>156</v>
      </c>
      <c r="G9" s="22" t="s">
        <v>48</v>
      </c>
      <c r="H9" s="22" t="s">
        <v>84</v>
      </c>
      <c r="I9" s="24" t="s">
        <v>155</v>
      </c>
      <c r="J9" s="22" t="s">
        <v>48</v>
      </c>
      <c r="K9" s="22" t="s">
        <v>86</v>
      </c>
      <c r="L9" s="22" t="s">
        <v>48</v>
      </c>
      <c r="M9" s="22" t="s">
        <v>48</v>
      </c>
    </row>
    <row r="10" spans="1:13">
      <c r="A10" s="22" t="s">
        <v>42</v>
      </c>
      <c r="B10" s="22" t="s">
        <v>43</v>
      </c>
      <c r="C10" s="23" t="s">
        <v>44</v>
      </c>
      <c r="D10" s="24" t="s">
        <v>87</v>
      </c>
      <c r="E10" s="24" t="str">
        <f t="shared" ref="E10" si="1">UPPER(F10)</f>
        <v>BIN DE LA TARJETA ENMASCARADA</v>
      </c>
      <c r="F10" s="24" t="s">
        <v>157</v>
      </c>
      <c r="G10" s="22" t="s">
        <v>48</v>
      </c>
      <c r="H10" s="22" t="s">
        <v>84</v>
      </c>
      <c r="I10" s="24">
        <v>545875245</v>
      </c>
      <c r="J10" s="22" t="s">
        <v>48</v>
      </c>
      <c r="K10" s="22" t="s">
        <v>86</v>
      </c>
      <c r="L10" s="22" t="s">
        <v>48</v>
      </c>
      <c r="M10" s="22" t="s">
        <v>48</v>
      </c>
    </row>
    <row r="11" spans="1:13">
      <c r="A11" s="22" t="s">
        <v>42</v>
      </c>
      <c r="B11" s="22" t="s">
        <v>43</v>
      </c>
      <c r="C11" s="23" t="s">
        <v>44</v>
      </c>
      <c r="D11" s="24" t="s">
        <v>98</v>
      </c>
      <c r="E11" s="24" t="str">
        <f t="shared" si="0"/>
        <v>TIPO CONTRACARGO</v>
      </c>
      <c r="F11" s="24" t="s">
        <v>99</v>
      </c>
      <c r="G11" s="22" t="s">
        <v>48</v>
      </c>
      <c r="H11" s="22" t="s">
        <v>84</v>
      </c>
      <c r="I11" s="24">
        <v>19</v>
      </c>
      <c r="J11" s="22" t="s">
        <v>48</v>
      </c>
      <c r="K11" s="22" t="s">
        <v>86</v>
      </c>
      <c r="L11" s="22" t="s">
        <v>48</v>
      </c>
      <c r="M11" s="22" t="s">
        <v>48</v>
      </c>
    </row>
    <row r="12" spans="1:13">
      <c r="A12" s="22" t="s">
        <v>42</v>
      </c>
      <c r="B12" s="22" t="s">
        <v>43</v>
      </c>
      <c r="C12" s="23" t="s">
        <v>44</v>
      </c>
      <c r="D12" s="24" t="s">
        <v>100</v>
      </c>
      <c r="E12" s="24" t="str">
        <f t="shared" si="0"/>
        <v>CODIGO DE LA MONEDA DEL CONTRACARGO</v>
      </c>
      <c r="F12" s="24" t="s">
        <v>101</v>
      </c>
      <c r="G12" s="22" t="s">
        <v>48</v>
      </c>
      <c r="H12" s="22" t="s">
        <v>84</v>
      </c>
      <c r="I12" s="24">
        <v>840</v>
      </c>
      <c r="J12" s="22" t="s">
        <v>48</v>
      </c>
      <c r="K12" s="22" t="s">
        <v>86</v>
      </c>
      <c r="L12" s="22" t="s">
        <v>48</v>
      </c>
      <c r="M12" s="22" t="s">
        <v>48</v>
      </c>
    </row>
    <row r="13" spans="1:13">
      <c r="A13" s="22" t="s">
        <v>42</v>
      </c>
      <c r="B13" s="22" t="s">
        <v>43</v>
      </c>
      <c r="C13" s="23" t="s">
        <v>44</v>
      </c>
      <c r="D13" s="24" t="s">
        <v>102</v>
      </c>
      <c r="E13" s="24" t="str">
        <f t="shared" si="0"/>
        <v>IMPORTE DEL CONTRACARGO</v>
      </c>
      <c r="F13" s="24" t="s">
        <v>103</v>
      </c>
      <c r="G13" s="22" t="s">
        <v>48</v>
      </c>
      <c r="H13" s="22" t="s">
        <v>84</v>
      </c>
      <c r="I13" s="26">
        <v>1178.18</v>
      </c>
      <c r="J13" s="22" t="s">
        <v>48</v>
      </c>
      <c r="K13" s="22" t="s">
        <v>86</v>
      </c>
      <c r="L13" s="22" t="s">
        <v>48</v>
      </c>
      <c r="M13" s="22" t="s">
        <v>48</v>
      </c>
    </row>
    <row r="14" spans="1:13">
      <c r="A14" s="22" t="s">
        <v>42</v>
      </c>
      <c r="B14" s="22" t="s">
        <v>43</v>
      </c>
      <c r="C14" s="23" t="s">
        <v>44</v>
      </c>
      <c r="D14" s="24" t="s">
        <v>104</v>
      </c>
      <c r="E14" s="24" t="str">
        <f t="shared" si="0"/>
        <v>CODIGO DE AUTORIZACION DE LA TRANSACCION</v>
      </c>
      <c r="F14" s="24" t="s">
        <v>105</v>
      </c>
      <c r="G14" s="22" t="s">
        <v>48</v>
      </c>
      <c r="H14" s="22" t="s">
        <v>84</v>
      </c>
      <c r="I14" s="24"/>
      <c r="J14" s="22" t="s">
        <v>48</v>
      </c>
      <c r="K14" s="22" t="s">
        <v>86</v>
      </c>
      <c r="L14" s="22" t="s">
        <v>48</v>
      </c>
      <c r="M14" s="22" t="s">
        <v>48</v>
      </c>
    </row>
    <row r="15" spans="1:13">
      <c r="A15" s="22" t="s">
        <v>42</v>
      </c>
      <c r="B15" s="22" t="s">
        <v>43</v>
      </c>
      <c r="C15" s="23" t="s">
        <v>44</v>
      </c>
      <c r="D15" s="24" t="s">
        <v>106</v>
      </c>
      <c r="E15" s="24" t="str">
        <f t="shared" si="0"/>
        <v>ARD DE LA TRANSACCION</v>
      </c>
      <c r="F15" s="24" t="s">
        <v>107</v>
      </c>
      <c r="G15" s="22" t="s">
        <v>48</v>
      </c>
      <c r="H15" s="22" t="s">
        <v>84</v>
      </c>
      <c r="I15" s="24">
        <v>7.5301500044000998E+22</v>
      </c>
      <c r="J15" s="22" t="s">
        <v>48</v>
      </c>
      <c r="K15" s="22" t="s">
        <v>86</v>
      </c>
      <c r="L15" s="22" t="s">
        <v>48</v>
      </c>
      <c r="M15" s="22" t="s">
        <v>48</v>
      </c>
    </row>
    <row r="16" spans="1:13">
      <c r="A16" s="22" t="s">
        <v>42</v>
      </c>
      <c r="B16" s="22" t="s">
        <v>43</v>
      </c>
      <c r="C16" s="23" t="s">
        <v>44</v>
      </c>
      <c r="D16" s="24" t="s">
        <v>108</v>
      </c>
      <c r="E16" s="24" t="str">
        <f t="shared" si="0"/>
        <v>CODIGO DEL COMERCIO</v>
      </c>
      <c r="F16" s="24" t="s">
        <v>109</v>
      </c>
      <c r="G16" s="22" t="s">
        <v>48</v>
      </c>
      <c r="H16" s="22" t="s">
        <v>84</v>
      </c>
      <c r="I16" s="24"/>
      <c r="J16" s="22" t="s">
        <v>48</v>
      </c>
      <c r="K16" s="22" t="s">
        <v>86</v>
      </c>
      <c r="L16" s="22" t="s">
        <v>48</v>
      </c>
      <c r="M16" s="22" t="s">
        <v>48</v>
      </c>
    </row>
    <row r="17" spans="1:13">
      <c r="A17" s="22" t="s">
        <v>42</v>
      </c>
      <c r="B17" s="22" t="s">
        <v>43</v>
      </c>
      <c r="C17" s="23" t="s">
        <v>44</v>
      </c>
      <c r="D17" s="24" t="s">
        <v>110</v>
      </c>
      <c r="E17" s="24" t="str">
        <f t="shared" si="0"/>
        <v>NOMBRE DEL COMERCIO</v>
      </c>
      <c r="F17" s="24" t="s">
        <v>111</v>
      </c>
      <c r="G17" s="22" t="s">
        <v>48</v>
      </c>
      <c r="H17" s="22" t="s">
        <v>84</v>
      </c>
      <c r="I17" s="24"/>
      <c r="J17" s="22" t="s">
        <v>48</v>
      </c>
      <c r="K17" s="22" t="s">
        <v>86</v>
      </c>
      <c r="L17" s="22" t="s">
        <v>48</v>
      </c>
      <c r="M17" s="22" t="s">
        <v>48</v>
      </c>
    </row>
    <row r="18" spans="1:13">
      <c r="A18" s="22" t="s">
        <v>42</v>
      </c>
      <c r="B18" s="22" t="s">
        <v>43</v>
      </c>
      <c r="C18" s="23" t="s">
        <v>44</v>
      </c>
      <c r="D18" s="24" t="s">
        <v>112</v>
      </c>
      <c r="E18" s="24" t="str">
        <f t="shared" si="0"/>
        <v>NÚMERO DE CONTROL DEL CONTRACARGO</v>
      </c>
      <c r="F18" s="24" t="s">
        <v>113</v>
      </c>
      <c r="G18" s="22" t="s">
        <v>48</v>
      </c>
      <c r="H18" s="22" t="s">
        <v>84</v>
      </c>
      <c r="I18" s="24">
        <v>9604447116</v>
      </c>
      <c r="J18" s="22"/>
      <c r="K18" s="22" t="s">
        <v>86</v>
      </c>
      <c r="L18" s="22" t="s">
        <v>48</v>
      </c>
      <c r="M18" s="22" t="s">
        <v>48</v>
      </c>
    </row>
    <row r="19" spans="1:13">
      <c r="A19" s="22" t="s">
        <v>42</v>
      </c>
      <c r="B19" s="22" t="s">
        <v>43</v>
      </c>
      <c r="C19" s="23" t="s">
        <v>44</v>
      </c>
      <c r="D19" s="24" t="s">
        <v>114</v>
      </c>
      <c r="E19" s="24" t="str">
        <f t="shared" si="0"/>
        <v>CODIGO DE RAZON, INDICA EL MOTIVO DEL CONTRACARGO</v>
      </c>
      <c r="F19" s="24" t="s">
        <v>115</v>
      </c>
      <c r="G19" s="22" t="s">
        <v>48</v>
      </c>
      <c r="H19" s="22" t="s">
        <v>84</v>
      </c>
      <c r="I19" s="24" t="s">
        <v>116</v>
      </c>
      <c r="J19" s="22"/>
      <c r="K19" s="22" t="s">
        <v>86</v>
      </c>
      <c r="L19" s="22" t="s">
        <v>48</v>
      </c>
      <c r="M19" s="22" t="s">
        <v>48</v>
      </c>
    </row>
    <row r="20" spans="1:13">
      <c r="A20" s="22" t="s">
        <v>42</v>
      </c>
      <c r="B20" s="22" t="s">
        <v>43</v>
      </c>
      <c r="C20" s="23" t="s">
        <v>44</v>
      </c>
      <c r="D20" s="24" t="s">
        <v>117</v>
      </c>
      <c r="E20" s="24" t="str">
        <f t="shared" si="0"/>
        <v>CODIGO DE TERMINAL</v>
      </c>
      <c r="F20" s="24" t="s">
        <v>118</v>
      </c>
      <c r="G20" s="22" t="s">
        <v>48</v>
      </c>
      <c r="H20" s="22" t="s">
        <v>84</v>
      </c>
      <c r="I20" s="24"/>
      <c r="J20" s="22"/>
      <c r="K20" s="22" t="s">
        <v>86</v>
      </c>
      <c r="L20" s="22" t="s">
        <v>48</v>
      </c>
      <c r="M20" s="22" t="s">
        <v>48</v>
      </c>
    </row>
    <row r="21" spans="1:13">
      <c r="A21" s="22" t="s">
        <v>42</v>
      </c>
      <c r="B21" s="22" t="s">
        <v>43</v>
      </c>
      <c r="C21" s="23" t="s">
        <v>44</v>
      </c>
      <c r="D21" s="24" t="s">
        <v>119</v>
      </c>
      <c r="E21" s="24" t="str">
        <f t="shared" si="0"/>
        <v>PAÍS DEL ADQUIRENTE</v>
      </c>
      <c r="F21" s="24" t="s">
        <v>120</v>
      </c>
      <c r="G21" s="22" t="s">
        <v>48</v>
      </c>
      <c r="H21" s="22" t="s">
        <v>84</v>
      </c>
      <c r="I21" s="24"/>
      <c r="J21" s="22"/>
      <c r="K21" s="22" t="s">
        <v>86</v>
      </c>
      <c r="L21" s="22" t="s">
        <v>48</v>
      </c>
      <c r="M21" s="22" t="s">
        <v>48</v>
      </c>
    </row>
    <row r="22" spans="1:13">
      <c r="A22" s="22" t="s">
        <v>42</v>
      </c>
      <c r="B22" s="22" t="s">
        <v>43</v>
      </c>
      <c r="C22" s="23" t="s">
        <v>44</v>
      </c>
      <c r="D22" s="24" t="s">
        <v>121</v>
      </c>
      <c r="E22" s="24" t="str">
        <f t="shared" si="0"/>
        <v>PAÍS DEL EMISOR</v>
      </c>
      <c r="F22" s="24" t="s">
        <v>122</v>
      </c>
      <c r="G22" s="22" t="s">
        <v>48</v>
      </c>
      <c r="H22" s="22" t="s">
        <v>84</v>
      </c>
      <c r="I22" s="24" t="s">
        <v>123</v>
      </c>
      <c r="J22" s="22" t="s">
        <v>48</v>
      </c>
      <c r="K22" s="22" t="s">
        <v>86</v>
      </c>
      <c r="L22" s="22" t="s">
        <v>48</v>
      </c>
      <c r="M22" s="22" t="s">
        <v>48</v>
      </c>
    </row>
    <row r="23" spans="1:13">
      <c r="A23" s="22" t="s">
        <v>42</v>
      </c>
      <c r="B23" s="22" t="s">
        <v>43</v>
      </c>
      <c r="C23" s="23" t="s">
        <v>44</v>
      </c>
      <c r="D23" s="24" t="s">
        <v>124</v>
      </c>
      <c r="E23" s="24" t="str">
        <f t="shared" si="0"/>
        <v>MENSAJE DEL CONTRACARGO</v>
      </c>
      <c r="F23" s="24" t="s">
        <v>125</v>
      </c>
      <c r="G23" s="22" t="s">
        <v>48</v>
      </c>
      <c r="H23" s="22" t="s">
        <v>84</v>
      </c>
      <c r="I23" s="24" t="s">
        <v>126</v>
      </c>
      <c r="J23" s="22" t="s">
        <v>48</v>
      </c>
      <c r="K23" s="22" t="s">
        <v>86</v>
      </c>
      <c r="L23" s="22" t="s">
        <v>48</v>
      </c>
      <c r="M23" s="22" t="s">
        <v>48</v>
      </c>
    </row>
    <row r="24" spans="1:13">
      <c r="A24" s="22" t="s">
        <v>42</v>
      </c>
      <c r="B24" s="22" t="s">
        <v>43</v>
      </c>
      <c r="C24" s="23" t="s">
        <v>44</v>
      </c>
      <c r="D24" s="24" t="s">
        <v>127</v>
      </c>
      <c r="E24" s="24" t="str">
        <f t="shared" si="0"/>
        <v>CODIGO DEL REPORTE DE USUARIO</v>
      </c>
      <c r="F24" s="24" t="s">
        <v>128</v>
      </c>
      <c r="G24" s="22" t="s">
        <v>48</v>
      </c>
      <c r="H24" s="22" t="s">
        <v>84</v>
      </c>
      <c r="I24" s="24" t="s">
        <v>129</v>
      </c>
      <c r="J24" s="22" t="s">
        <v>48</v>
      </c>
      <c r="K24" s="22" t="s">
        <v>86</v>
      </c>
      <c r="L24" s="22" t="s">
        <v>48</v>
      </c>
      <c r="M24" s="22" t="s">
        <v>48</v>
      </c>
    </row>
    <row r="25" spans="1:13">
      <c r="A25" s="22" t="s">
        <v>42</v>
      </c>
      <c r="B25" s="22" t="s">
        <v>43</v>
      </c>
      <c r="C25" s="23" t="s">
        <v>44</v>
      </c>
      <c r="D25" s="24" t="s">
        <v>130</v>
      </c>
      <c r="E25" s="24" t="str">
        <f t="shared" si="0"/>
        <v>SITUACIÓN DEL CONTRACARGO</v>
      </c>
      <c r="F25" s="24" t="s">
        <v>131</v>
      </c>
      <c r="G25" s="22" t="s">
        <v>48</v>
      </c>
      <c r="H25" s="22" t="s">
        <v>84</v>
      </c>
      <c r="I25" s="24" t="s">
        <v>132</v>
      </c>
      <c r="J25" s="22" t="s">
        <v>48</v>
      </c>
      <c r="K25" s="22" t="s">
        <v>86</v>
      </c>
      <c r="L25" s="22" t="s">
        <v>48</v>
      </c>
      <c r="M25" s="22" t="s">
        <v>48</v>
      </c>
    </row>
    <row r="26" spans="1:13">
      <c r="A26" s="22" t="s">
        <v>42</v>
      </c>
      <c r="B26" s="22" t="s">
        <v>43</v>
      </c>
      <c r="C26" s="23" t="s">
        <v>44</v>
      </c>
      <c r="D26" s="24" t="s">
        <v>133</v>
      </c>
      <c r="E26" s="24" t="str">
        <f t="shared" si="0"/>
        <v>FECHA DE ACEPTACIÓN, CASO CONTRARIO 0</v>
      </c>
      <c r="F26" s="24" t="s">
        <v>134</v>
      </c>
      <c r="G26" s="22" t="s">
        <v>48</v>
      </c>
      <c r="H26" s="22" t="s">
        <v>84</v>
      </c>
      <c r="I26" s="24">
        <v>20210507</v>
      </c>
      <c r="J26" s="22" t="s">
        <v>48</v>
      </c>
      <c r="K26" s="22" t="s">
        <v>86</v>
      </c>
      <c r="L26" s="22" t="s">
        <v>48</v>
      </c>
      <c r="M26" s="22" t="s">
        <v>48</v>
      </c>
    </row>
    <row r="27" spans="1:13">
      <c r="A27" s="22" t="s">
        <v>42</v>
      </c>
      <c r="B27" s="22" t="s">
        <v>43</v>
      </c>
      <c r="C27" s="23" t="s">
        <v>44</v>
      </c>
      <c r="D27" s="24" t="s">
        <v>135</v>
      </c>
      <c r="E27" s="24" t="str">
        <f t="shared" si="0"/>
        <v>CODIGO MC DEL USUARIO GESTOR</v>
      </c>
      <c r="F27" s="24" t="s">
        <v>136</v>
      </c>
      <c r="G27" s="22" t="s">
        <v>48</v>
      </c>
      <c r="H27" s="22" t="s">
        <v>84</v>
      </c>
      <c r="I27" s="24" t="s">
        <v>137</v>
      </c>
      <c r="J27" s="22" t="s">
        <v>48</v>
      </c>
      <c r="K27" s="22" t="s">
        <v>86</v>
      </c>
      <c r="L27" s="22" t="s">
        <v>48</v>
      </c>
      <c r="M27" s="22" t="s">
        <v>48</v>
      </c>
    </row>
    <row r="28" spans="1:13">
      <c r="A28" s="22" t="s">
        <v>42</v>
      </c>
      <c r="B28" s="22" t="s">
        <v>43</v>
      </c>
      <c r="C28" s="23" t="s">
        <v>44</v>
      </c>
      <c r="D28" s="24" t="s">
        <v>138</v>
      </c>
      <c r="E28" s="24" t="str">
        <f t="shared" si="0"/>
        <v>OBSERVACION EN CASO DE REGULARIZACIONES</v>
      </c>
      <c r="F28" s="24" t="s">
        <v>139</v>
      </c>
      <c r="G28" s="22" t="s">
        <v>48</v>
      </c>
      <c r="H28" s="22" t="s">
        <v>84</v>
      </c>
      <c r="I28" s="24" t="s">
        <v>140</v>
      </c>
      <c r="J28" s="22" t="s">
        <v>48</v>
      </c>
      <c r="K28" s="22" t="s">
        <v>86</v>
      </c>
      <c r="L28" s="22" t="s">
        <v>48</v>
      </c>
      <c r="M28" s="22" t="s">
        <v>48</v>
      </c>
    </row>
    <row r="29" spans="1:13">
      <c r="A29" s="22" t="s">
        <v>42</v>
      </c>
      <c r="B29" s="22" t="s">
        <v>43</v>
      </c>
      <c r="C29" s="23" t="s">
        <v>44</v>
      </c>
      <c r="D29" s="24" t="s">
        <v>141</v>
      </c>
      <c r="E29" s="24" t="str">
        <f t="shared" si="0"/>
        <v>FECHA DE FOTO/DATOS CONFIGURADA EN EL ETL PARA LA EXTRACCIÓN DE DATOS, CORRESPONDE A APERTURAS DE COMERCIOS HASTA EL CIERRE DEL DÍA ANTERIOR</v>
      </c>
      <c r="F29" s="24" t="s">
        <v>142</v>
      </c>
      <c r="G29" s="22" t="s">
        <v>48</v>
      </c>
      <c r="H29" s="22" t="s">
        <v>143</v>
      </c>
      <c r="I29" s="25">
        <v>45841</v>
      </c>
      <c r="J29" s="22" t="s">
        <v>48</v>
      </c>
      <c r="K29" s="22" t="s">
        <v>48</v>
      </c>
      <c r="L29" s="22" t="s">
        <v>86</v>
      </c>
      <c r="M29" s="22" t="s">
        <v>48</v>
      </c>
    </row>
    <row r="30" spans="1:13">
      <c r="A30" s="22" t="s">
        <v>42</v>
      </c>
      <c r="B30" s="22" t="s">
        <v>43</v>
      </c>
      <c r="C30" s="23" t="s">
        <v>44</v>
      </c>
      <c r="D30" s="24" t="s">
        <v>144</v>
      </c>
      <c r="E30" s="24" t="str">
        <f t="shared" si="0"/>
        <v>DATO DE AUDITORÍA: DESCRIPCIÓN DEL APLICATIVO ORIGEN DE LOS DATOS.</v>
      </c>
      <c r="F30" s="24" t="s">
        <v>145</v>
      </c>
      <c r="G30" s="22" t="s">
        <v>48</v>
      </c>
      <c r="H30" s="22" t="s">
        <v>84</v>
      </c>
      <c r="I30" s="24" t="s">
        <v>146</v>
      </c>
      <c r="J30" s="22" t="s">
        <v>48</v>
      </c>
      <c r="K30" s="22" t="s">
        <v>48</v>
      </c>
      <c r="L30" s="22" t="s">
        <v>48</v>
      </c>
      <c r="M30" s="22" t="s">
        <v>48</v>
      </c>
    </row>
    <row r="31" spans="1:13">
      <c r="A31" s="22" t="s">
        <v>42</v>
      </c>
      <c r="B31" s="22" t="s">
        <v>43</v>
      </c>
      <c r="C31" s="23" t="s">
        <v>44</v>
      </c>
      <c r="D31" s="24" t="s">
        <v>147</v>
      </c>
      <c r="E31" s="24" t="str">
        <f t="shared" si="0"/>
        <v>FECHA Y HORA DE INSERCIÓN DEL REGISTRO EN EL MODELO</v>
      </c>
      <c r="F31" s="24" t="s">
        <v>148</v>
      </c>
      <c r="G31" s="22" t="s">
        <v>48</v>
      </c>
      <c r="H31" s="22" t="s">
        <v>149</v>
      </c>
      <c r="I31" s="24" t="s">
        <v>150</v>
      </c>
      <c r="J31" s="22" t="s">
        <v>48</v>
      </c>
      <c r="K31" s="22" t="s">
        <v>48</v>
      </c>
      <c r="L31" s="22" t="s">
        <v>48</v>
      </c>
      <c r="M31" s="22" t="s">
        <v>48</v>
      </c>
    </row>
    <row r="32" spans="1:13">
      <c r="A32" s="22" t="s">
        <v>42</v>
      </c>
      <c r="B32" s="22" t="s">
        <v>43</v>
      </c>
      <c r="C32" s="23" t="s">
        <v>44</v>
      </c>
      <c r="D32" s="24" t="s">
        <v>151</v>
      </c>
      <c r="E32" s="24" t="str">
        <f t="shared" si="0"/>
        <v>USUARIO QUE CREA EL REGISTRO EN LA BD</v>
      </c>
      <c r="F32" s="24" t="s">
        <v>152</v>
      </c>
      <c r="G32" s="22" t="s">
        <v>48</v>
      </c>
      <c r="H32" s="22" t="s">
        <v>84</v>
      </c>
      <c r="I32" s="24" t="s">
        <v>153</v>
      </c>
      <c r="J32" s="22" t="s">
        <v>48</v>
      </c>
      <c r="K32" s="22" t="s">
        <v>48</v>
      </c>
      <c r="L32" s="22" t="s">
        <v>48</v>
      </c>
      <c r="M32" s="22" t="s">
        <v>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F31DB9E7368290418064F68BD9FE06A8" ma:contentTypeVersion="16" ma:contentTypeDescription="Crear nuevo documento." ma:contentTypeScope="" ma:versionID="dd9c0b131b0ed042e74b799984da9575">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0579c5f1134b53f7abd87656f4786aa2"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Etiquetas de imagen"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2.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3.xml><?xml version="1.0" encoding="utf-8"?>
<ds:datastoreItem xmlns:ds="http://schemas.openxmlformats.org/officeDocument/2006/customXml" ds:itemID="{6F8A6F63-BB0F-460E-B912-3C1DC5C0C4E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Estructuras del Modelo</vt:lpstr>
      <vt:lpstr>Datos Sensibles</vt:lpstr>
      <vt:lpstr>miscelaneos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2026-06-24T15:33:33Z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