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4" codeName="{00000000-0000-0000-0000-000000000000}"/>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6 Carga Prearb Claim MC - MIGRADO/Capa MASTER/"/>
    </mc:Choice>
  </mc:AlternateContent>
  <xr:revisionPtr revIDLastSave="219" documentId="8_{1DCF88E8-8811-44D0-8773-D3AB89B02E57}" xr6:coauthVersionLast="47" xr6:coauthVersionMax="47" xr10:uidLastSave="{F70A58BE-4690-4804-8921-BD8CED959EE3}"/>
  <bookViews>
    <workbookView xWindow="-110" yWindow="-110" windowWidth="19420" windowHeight="11500" firstSheet="2" activeTab="2" xr2:uid="{00000000-000D-0000-FFFF-FFFF00000000}"/>
  </bookViews>
  <sheets>
    <sheet name="Datos Sensibles" sheetId="4" r:id="rId1"/>
    <sheet name="Estructuras del Modelo" sheetId="1" r:id="rId2"/>
    <sheet name="m_pre_arbitraje_mastercard" sheetId="2" r:id="rId3"/>
  </sheets>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2" l="1"/>
  <c r="E14" i="2"/>
  <c r="E4" i="2"/>
  <c r="E3" i="2"/>
  <c r="E17" i="2"/>
  <c r="E18" i="2"/>
  <c r="E19" i="2"/>
  <c r="E6" i="2"/>
  <c r="E7" i="2"/>
  <c r="E9" i="2"/>
  <c r="E10" i="2"/>
  <c r="E11" i="2"/>
  <c r="E12" i="2"/>
  <c r="E13" i="2"/>
  <c r="E15" i="2"/>
  <c r="E16" i="2"/>
  <c r="E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tc={D78D489F-3ED0-4E23-B649-640A570F1B92}</author>
    <author>tc={7ABD10E1-454F-4D49-8C69-9AE128DF23BE}</author>
  </authors>
  <commentList>
    <comment ref="D7" authorId="0" shapeId="0" xr:uid="{D78D489F-3ED0-4E23-B649-640A570F1B92}">
      <text>
        <t>[Threaded comment]
Your version of Excel allows you to read this threaded comment; however, any edits to it will get removed if the file is opened in a newer version of Excel. Learn more: https://go.microsoft.com/fwlink/?linkid=870924
Comment:
    Original: account_number</t>
      </text>
    </comment>
    <comment ref="D8" authorId="1" shapeId="0" xr:uid="{7ABD10E1-454F-4D49-8C69-9AE128DF23BE}">
      <text>
        <t>[Threaded comment]
Your version of Excel allows you to read this threaded comment; however, any edits to it will get removed if the file is opened in a newer version of Excel. Learn more: https://go.microsoft.com/fwlink/?linkid=870924
Comment:
    Original: account_number</t>
      </text>
    </comment>
  </commentList>
</comments>
</file>

<file path=xl/sharedStrings.xml><?xml version="1.0" encoding="utf-8"?>
<sst xmlns="http://schemas.openxmlformats.org/spreadsheetml/2006/main" count="290" uniqueCount="129">
  <si>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</si>
  <si>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</si>
  <si>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</si>
  <si>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</si>
  <si>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</si>
  <si>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</si>
  <si>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</si>
  <si>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</si>
  <si>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</si>
  <si>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</si>
  <si>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</si>
  <si>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</si>
  <si>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</si>
  <si>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</si>
  <si>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</si>
  <si>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</si>
  <si>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</si>
  <si>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</si>
  <si>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</si>
  <si>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</si>
  <si>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</si>
  <si>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</si>
  <si>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</si>
  <si>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</si>
  <si>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</si>
  <si>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</si>
  <si>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</si>
  <si>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</si>
  <si>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</si>
  <si>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</si>
  <si>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</si>
  <si>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</si>
  <si>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</si>
  <si>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</si>
  <si>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</si>
  <si>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</si>
  <si>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</si>
  <si>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</si>
  <si>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</si>
  <si>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</si>
  <si>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</si>
  <si>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</si>
  <si>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</si>
  <si>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</si>
  <si>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</si>
  <si>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</si>
  <si>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</si>
  <si>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</si>
  <si>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t>
  </si>
  <si>
    <t>prd-izipay-data-storage-pv</t>
  </si>
  <si>
    <t>master_risk</t>
  </si>
  <si>
    <t>m_pre_arbitraje_mastercard</t>
  </si>
  <si>
    <t>Tabla con la información histórica de prearbitrajes Mastercad provenientes de la Web</t>
  </si>
  <si>
    <t>Última foto - Incremental</t>
  </si>
  <si>
    <t>Diario (9:00am)</t>
  </si>
  <si>
    <t>mc2103@izipay.pe</t>
  </si>
  <si>
    <t>N</t>
  </si>
  <si>
    <t>prod</t>
  </si>
  <si>
    <t>Master</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</si>
  <si>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</si>
  <si>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</si>
  <si>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</si>
  <si>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</si>
  <si>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</si>
  <si>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</si>
  <si>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</si>
  <si>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</si>
  <si>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</si>
  <si>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</si>
  <si>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</si>
  <si>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</si>
  <si>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</si>
  <si>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</si>
  <si>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</si>
  <si>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</si>
  <si>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</si>
  <si>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</si>
  <si>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</si>
  <si>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</si>
  <si>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</si>
  <si>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</si>
  <si>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</si>
  <si>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</si>
  <si>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</si>
  <si>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</si>
  <si>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</si>
  <si>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</si>
  <si>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fecha_actualizacion</t>
  </si>
  <si>
    <t>Fecha en la que hubo una actualización del prearbitraje, ocurre cuando se detecta un cambio del código del caso, por defecto nace en nulo y se inserta un dato cuando se realizó algún cambio en las demás columnas</t>
  </si>
  <si>
    <t>cod_caso</t>
  </si>
  <si>
    <t>Id del caso</t>
  </si>
  <si>
    <t>STRING</t>
  </si>
  <si>
    <t>tipo_caso</t>
  </si>
  <si>
    <t>Tipo de caso</t>
  </si>
  <si>
    <t>PRE-COMPLIANCE, PRE-ARBITRATION</t>
  </si>
  <si>
    <t>tarjeta_enmascarada</t>
  </si>
  <si>
    <t>Numero de tarjeta</t>
  </si>
  <si>
    <t>539305******6249</t>
  </si>
  <si>
    <t>bin</t>
  </si>
  <si>
    <t>cod_razon</t>
  </si>
  <si>
    <t>Codigo razon del contracargo</t>
  </si>
  <si>
    <t>mto_disputa</t>
  </si>
  <si>
    <t>Monto en disputa</t>
  </si>
  <si>
    <t>FLOAT64</t>
  </si>
  <si>
    <t>moneda</t>
  </si>
  <si>
    <t>Moneda de la disputa</t>
  </si>
  <si>
    <t>SOL PERUANO, DOLAR ESTADOUNIDENSE</t>
  </si>
  <si>
    <t>ard</t>
  </si>
  <si>
    <t>ARD de la transaccion</t>
  </si>
  <si>
    <t>nro_control</t>
  </si>
  <si>
    <t>Numero de control del contracargo</t>
  </si>
  <si>
    <t>fecha_pre_arbitraje</t>
  </si>
  <si>
    <t>Fecha del prearbitraje</t>
  </si>
  <si>
    <t>estado</t>
  </si>
  <si>
    <t>Estado del prearbitraje</t>
  </si>
  <si>
    <t>REJECTED, NEW, ACCEPTED, ETC.</t>
  </si>
  <si>
    <t>estado_final</t>
  </si>
  <si>
    <t>Estado final del prearbitraje</t>
  </si>
  <si>
    <t>ACC BY ADQ, ACC BY EMISOR, EN ANALISIS</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</si>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</sst>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1">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5" borderId="1" xfId="0" applyFill="1" applyBorder="1" applyAlignment="1">
      <alignment vertical="top" wrapText="1"/>
    </xf>
    <xf numFmtId="0" fontId="13" fillId="5"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0" fontId="0" fillId="4" borderId="1" xfId="0" applyFill="1" applyBorder="1" applyAlignment="1">
      <alignment vertical="center"/>
    </xf>
    <xf numFmtId="0" fontId="0" fillId="0" borderId="1" xfId="0" applyBorder="1" applyAlignment="1">
      <alignment horizontal="left"/>
    </xf>
    <xf numFmtId="0" fontId="0" fillId="0" borderId="1" xfId="0" applyBorder="1" applyAlignment="1">
      <alignment horizontal="left" vertical="center"/>
    </xf>
    <xf numFmtId="164" fontId="0" fillId="0" borderId="1" xfId="0" applyNumberFormat="1" applyBorder="1" applyAlignment="1">
      <alignment horizontal="left" vertical="center"/>
    </xf>
    <xf numFmtId="164" fontId="0" fillId="0" borderId="1" xfId="0" applyNumberFormat="1" applyBorder="1" applyAlignment="1">
      <alignment horizontal="left"/>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ANGELLO BRAVO" id="{0E12AA06-BBC5-4B16-85FD-E76D8BD8F92E}"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7" dT="2025-11-10T22:26:04.33" personId="{0E12AA06-BBC5-4B16-85FD-E76D8BD8F92E}" id="{D78D489F-3ED0-4E23-B649-640A570F1B92}">
    <text>Original: account_number</text>
  </threadedComment>
  <threadedComment ref="D8" dT="2025-11-10T22:26:04.33" personId="{0E12AA06-BBC5-4B16-85FD-E76D8BD8F92E}" id="{7ABD10E1-454F-4D49-8C69-9AE128DF23BE}">
    <text>Original: account_number</text>
  </threadedComment>
</ThreadedComments>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3"/>
  <dimension ref="A1:G7"/>
  <sheetViews>
    <sheetView showGridLines="0" workbookViewId="0">
      <selection activeCell="C33" sqref="C33"/>
    </sheetView>
  </sheetViews>
  <sheetFormatPr defaultColWidth="11.42578125" defaultRowHeight="14.45"/>
  <cols>
    <col min="1" max="1" width="20.42578125" customWidth="1"/>
    <col min="2" max="5" width="23.28515625" customWidth="1"/>
    <col min="6" max="6" width="28.5703125" customWidth="1"/>
    <col min="7" max="7" width="23.28515625" customWidth="1"/>
  </cols>
  <sheetData>
    <row r="1" spans="1:7">
      <c r="A1" s="1"/>
      <c r="B1" s="1"/>
      <c r="C1" s="1"/>
      <c r="D1" s="1"/>
      <c r="E1" s="1"/>
      <c r="F1" s="1"/>
      <c r="G1" s="1"/>
    </row>
    <row r="2" spans="1:7" ht="29.45">
      <c r="A2" s="9" t="s">
        <v>0</v>
      </c>
      <c r="B2" s="1"/>
      <c r="C2" s="1"/>
      <c r="D2" s="1"/>
      <c r="E2" s="1"/>
      <c r="F2" s="1"/>
      <c r="G2" s="1"/>
    </row>
    <row r="3" spans="1:7" ht="30" customHeight="1">
      <c r="A3" s="30" t="s">
        <v>1</v>
      </c>
      <c r="B3" s="30"/>
      <c r="C3" s="30"/>
      <c r="D3" s="30"/>
      <c r="E3" s="30"/>
      <c r="F3" s="30"/>
      <c r="G3" s="30"/>
    </row>
    <row r="4" spans="1:7">
      <c r="A4" s="1"/>
      <c r="B4" s="1"/>
      <c r="C4" s="1"/>
      <c r="D4" s="1"/>
      <c r="E4" s="1"/>
      <c r="F4" s="1"/>
      <c r="G4" s="1"/>
    </row>
    <row r="5" spans="1:7">
      <c r="A5" s="15" t="s">
        <v>2</v>
      </c>
      <c r="B5" s="15" t="s">
        <v>3</v>
      </c>
      <c r="C5" s="15" t="s">
        <v>4</v>
      </c>
      <c r="D5" s="15" t="s">
        <v>5</v>
      </c>
      <c r="E5" s="15" t="s">
        <v>6</v>
      </c>
      <c r="F5" s="15" t="s">
        <v>7</v>
      </c>
      <c r="G5" s="15" t="s">
        <v>8</v>
      </c>
    </row>
    <row r="6" spans="1:7">
      <c r="A6" s="16">
        <v>1</v>
      </c>
      <c r="B6" s="8"/>
      <c r="C6" s="8"/>
      <c r="D6" s="8"/>
      <c r="E6" s="8"/>
      <c r="F6" s="17"/>
      <c r="G6" s="18"/>
    </row>
    <row r="7" spans="1:7">
      <c r="A7" s="16">
        <v>2</v>
      </c>
      <c r="B7" s="8"/>
      <c r="C7" s="8"/>
      <c r="D7" s="8"/>
      <c r="E7" s="8"/>
      <c r="F7" s="17"/>
      <c r="G7" s="18"/>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9"/>
  <sheetViews>
    <sheetView showGridLines="0" workbookViewId="0"/>
  </sheetViews>
  <sheetFormatPr defaultColWidth="9.140625" defaultRowHeight="14.45"/>
  <cols>
    <col min="1" max="8" width="33.28515625" customWidth="1"/>
    <col min="9" max="9" width="66.42578125" customWidth="1"/>
    <col min="10" max="20" width="33.28515625" customWidth="1"/>
  </cols>
  <sheetData>
    <row r="1" spans="1:20">
      <c r="A1" s="10" t="s">
        <v>9</v>
      </c>
      <c r="B1" s="10" t="s">
        <v>10</v>
      </c>
      <c r="C1" s="10" t="s">
        <v>11</v>
      </c>
      <c r="D1" s="10" t="s">
        <v>12</v>
      </c>
      <c r="E1" s="10" t="s">
        <v>13</v>
      </c>
      <c r="F1" s="11" t="s">
        <v>14</v>
      </c>
      <c r="G1" s="10" t="s">
        <v>15</v>
      </c>
      <c r="H1" s="10" t="s">
        <v>6</v>
      </c>
      <c r="I1" s="10" t="s">
        <v>8</v>
      </c>
      <c r="J1" s="10" t="s">
        <v>16</v>
      </c>
      <c r="K1" s="10" t="s">
        <v>17</v>
      </c>
      <c r="L1" s="10" t="s">
        <v>18</v>
      </c>
      <c r="M1" s="10" t="s">
        <v>19</v>
      </c>
      <c r="N1" s="10" t="s">
        <v>20</v>
      </c>
      <c r="O1" s="10" t="s">
        <v>21</v>
      </c>
      <c r="P1" s="10" t="s">
        <v>22</v>
      </c>
      <c r="Q1" s="10" t="s">
        <v>23</v>
      </c>
      <c r="R1" s="10" t="s">
        <v>24</v>
      </c>
      <c r="S1" s="10" t="s">
        <v>25</v>
      </c>
      <c r="T1" s="10" t="s">
        <v>26</v>
      </c>
    </row>
    <row r="2" spans="1:20" ht="42">
      <c r="A2" s="12" t="s">
        <v>27</v>
      </c>
      <c r="B2" s="12" t="s">
        <v>28</v>
      </c>
      <c r="C2" s="12" t="s">
        <v>29</v>
      </c>
      <c r="D2" s="12" t="s">
        <v>30</v>
      </c>
      <c r="E2" s="12" t="s">
        <v>31</v>
      </c>
      <c r="F2" s="12" t="s">
        <v>32</v>
      </c>
      <c r="G2" s="12" t="s">
        <v>33</v>
      </c>
      <c r="H2" s="12" t="s">
        <v>34</v>
      </c>
      <c r="I2" s="12" t="s">
        <v>35</v>
      </c>
      <c r="J2" s="13" t="s">
        <v>36</v>
      </c>
      <c r="K2" s="13" t="s">
        <v>37</v>
      </c>
      <c r="L2" s="14"/>
      <c r="M2" s="12" t="s">
        <v>38</v>
      </c>
      <c r="N2" s="12" t="s">
        <v>39</v>
      </c>
      <c r="O2" s="12" t="s">
        <v>40</v>
      </c>
      <c r="P2" s="12" t="s">
        <v>41</v>
      </c>
      <c r="Q2" s="12" t="s">
        <v>42</v>
      </c>
      <c r="R2" s="12" t="s">
        <v>43</v>
      </c>
      <c r="S2" s="12" t="s">
        <v>44</v>
      </c>
      <c r="T2" s="12" t="s">
        <v>45</v>
      </c>
    </row>
    <row r="3" spans="1:20">
      <c r="A3" s="5" t="s">
        <v>46</v>
      </c>
      <c r="B3" s="5" t="s">
        <v>47</v>
      </c>
      <c r="C3" s="5" t="s">
        <v>48</v>
      </c>
      <c r="D3" s="5" t="s">
        <v>47</v>
      </c>
      <c r="E3" s="5" t="s">
        <v>48</v>
      </c>
      <c r="F3" s="5" t="s">
        <v>49</v>
      </c>
      <c r="G3" s="5" t="s">
        <v>50</v>
      </c>
      <c r="H3" s="6" t="s">
        <v>51</v>
      </c>
      <c r="I3" s="7" t="s">
        <v>52</v>
      </c>
      <c r="J3" s="5" t="s">
        <v>53</v>
      </c>
      <c r="K3" s="5" t="s">
        <v>54</v>
      </c>
      <c r="L3" s="8"/>
      <c r="M3" s="6" t="s">
        <v>55</v>
      </c>
      <c r="N3" s="5" t="s">
        <v>56</v>
      </c>
      <c r="O3" s="5" t="s">
        <v>57</v>
      </c>
      <c r="P3" s="5" t="s">
        <v>58</v>
      </c>
      <c r="Q3" s="5" t="s">
        <v>47</v>
      </c>
      <c r="R3" s="5"/>
      <c r="S3" s="5"/>
      <c r="T3" s="5"/>
    </row>
    <row r="4" spans="1:20">
      <c r="A4" s="2" t="s">
        <v>59</v>
      </c>
      <c r="B4" s="1"/>
      <c r="C4" s="1"/>
      <c r="D4" s="1"/>
      <c r="E4" s="1"/>
      <c r="F4" s="1"/>
      <c r="G4" s="1"/>
      <c r="H4" s="1"/>
      <c r="I4" s="1"/>
      <c r="J4" s="1"/>
      <c r="K4" s="1"/>
      <c r="L4" s="1"/>
      <c r="M4" s="1"/>
      <c r="N4" s="1"/>
      <c r="O4" s="1"/>
      <c r="P4" s="1"/>
      <c r="Q4" s="1"/>
      <c r="R4" s="1"/>
      <c r="S4" s="1"/>
      <c r="T4" s="1"/>
    </row>
    <row r="5" spans="1:20">
      <c r="A5" s="3" t="s">
        <v>60</v>
      </c>
      <c r="B5" s="1"/>
      <c r="C5" s="1"/>
      <c r="D5" s="4"/>
      <c r="E5" s="4"/>
      <c r="F5" s="4"/>
      <c r="G5" s="4"/>
      <c r="H5" s="1"/>
      <c r="I5" s="1"/>
      <c r="J5" s="1"/>
      <c r="K5" s="1"/>
      <c r="L5" s="1"/>
      <c r="M5" s="1"/>
      <c r="N5" s="1"/>
      <c r="O5" s="1"/>
      <c r="P5" s="1"/>
      <c r="Q5" s="1"/>
      <c r="R5" s="1"/>
      <c r="S5" s="1"/>
      <c r="T5" s="1"/>
    </row>
    <row r="6" spans="1:20">
      <c r="A6" s="3" t="s">
        <v>61</v>
      </c>
      <c r="B6" s="1"/>
      <c r="C6" s="1"/>
      <c r="D6" s="4"/>
      <c r="E6" s="4"/>
      <c r="F6" s="4"/>
      <c r="G6" s="4"/>
      <c r="H6" s="1"/>
      <c r="I6" s="1"/>
      <c r="J6" s="1"/>
      <c r="K6" s="1"/>
      <c r="L6" s="1"/>
      <c r="M6" s="1"/>
      <c r="N6" s="1"/>
      <c r="O6" s="1"/>
      <c r="P6" s="1"/>
      <c r="Q6" s="1"/>
      <c r="R6" s="1"/>
      <c r="S6" s="1"/>
      <c r="T6" s="1"/>
    </row>
    <row r="7" spans="1:20">
      <c r="A7" s="3" t="s">
        <v>62</v>
      </c>
      <c r="B7" s="1"/>
      <c r="C7" s="1"/>
      <c r="D7" s="1"/>
      <c r="E7" s="1"/>
      <c r="F7" s="1"/>
      <c r="G7" s="1"/>
      <c r="H7" s="1"/>
      <c r="I7" s="1"/>
      <c r="J7" s="1"/>
      <c r="K7" s="1"/>
      <c r="L7" s="1"/>
      <c r="M7" s="1"/>
      <c r="N7" s="1"/>
      <c r="O7" s="1"/>
      <c r="P7" s="1"/>
      <c r="Q7" s="1"/>
      <c r="R7" s="1"/>
      <c r="S7" s="1"/>
      <c r="T7" s="1"/>
    </row>
    <row r="8" spans="1:20">
      <c r="A8" s="3" t="s">
        <v>63</v>
      </c>
      <c r="B8" s="1"/>
      <c r="C8" s="1"/>
      <c r="D8" s="1"/>
      <c r="E8" s="1"/>
      <c r="F8" s="1"/>
      <c r="G8" s="1"/>
      <c r="H8" s="1"/>
      <c r="I8" s="1"/>
      <c r="J8" s="1"/>
      <c r="K8" s="1"/>
      <c r="L8" s="1"/>
      <c r="M8" s="1"/>
      <c r="N8" s="1"/>
      <c r="O8" s="1"/>
      <c r="P8" s="1"/>
      <c r="Q8" s="1"/>
      <c r="R8" s="1"/>
      <c r="S8" s="1"/>
      <c r="T8" s="1"/>
    </row>
    <row r="9" spans="1:20">
      <c r="A9" s="1"/>
      <c r="B9" s="1"/>
      <c r="C9" s="1"/>
      <c r="D9" s="1"/>
      <c r="E9" s="1"/>
      <c r="F9" s="1"/>
      <c r="G9" s="1"/>
      <c r="H9" s="1"/>
      <c r="I9" s="1"/>
      <c r="J9" s="1"/>
      <c r="K9" s="1"/>
      <c r="L9" s="1"/>
      <c r="M9" s="1"/>
      <c r="N9" s="1"/>
      <c r="O9" s="1"/>
      <c r="P9" s="1"/>
      <c r="Q9" s="1"/>
      <c r="R9" s="1"/>
      <c r="S9" s="1"/>
      <c r="T9" s="1"/>
    </row>
  </sheetData>
  <hyperlinks>
    <hyperlink ref="M3" r:id="rId1" xr:uid="{D2AAFC61-FBC7-483B-9F61-ACAD026BFFDA}"/>
    <hyperlink ref="H3" location="m_pre_arbitraje_mastercard!A1" display="m_pre_arbitraje_mastercard" xr:uid="{B5C0575B-DAAD-4F3A-A91A-008FD8AE833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19"/>
  <sheetViews>
    <sheetView showGridLines="0" tabSelected="1" topLeftCell="F1" zoomScaleNormal="100" workbookViewId="0">
      <selection activeCell="I7" sqref="I7"/>
    </sheetView>
  </sheetViews>
  <sheetFormatPr defaultColWidth="11.42578125" defaultRowHeight="14.45"/>
  <cols>
    <col min="1" max="3" width="29" customWidth="1"/>
    <col min="4" max="4" width="42" customWidth="1"/>
    <col min="5" max="5" width="48.28515625" customWidth="1"/>
    <col min="6" max="6" width="70.5703125" customWidth="1"/>
    <col min="7" max="8" width="29" customWidth="1"/>
    <col min="9" max="9" width="40.5703125" customWidth="1"/>
    <col min="10" max="13" width="29" customWidth="1"/>
  </cols>
  <sheetData>
    <row r="1" spans="1:13" ht="30.95">
      <c r="A1" s="19" t="s">
        <v>14</v>
      </c>
      <c r="B1" s="20" t="s">
        <v>15</v>
      </c>
      <c r="C1" s="20" t="s">
        <v>6</v>
      </c>
      <c r="D1" s="20" t="s">
        <v>7</v>
      </c>
      <c r="E1" s="20" t="s">
        <v>64</v>
      </c>
      <c r="F1" s="20" t="s">
        <v>65</v>
      </c>
      <c r="G1" s="20" t="s">
        <v>66</v>
      </c>
      <c r="H1" s="20" t="s">
        <v>67</v>
      </c>
      <c r="I1" s="20" t="s">
        <v>68</v>
      </c>
      <c r="J1" s="20" t="s">
        <v>69</v>
      </c>
      <c r="K1" s="20" t="s">
        <v>70</v>
      </c>
      <c r="L1" s="20" t="s">
        <v>71</v>
      </c>
      <c r="M1" s="20" t="s">
        <v>72</v>
      </c>
    </row>
    <row r="2" spans="1:13" ht="46.5">
      <c r="A2" s="21" t="s">
        <v>32</v>
      </c>
      <c r="B2" s="21" t="s">
        <v>33</v>
      </c>
      <c r="C2" s="21" t="s">
        <v>73</v>
      </c>
      <c r="D2" s="21" t="s">
        <v>74</v>
      </c>
      <c r="E2" s="21" t="s">
        <v>75</v>
      </c>
      <c r="F2" s="21" t="s">
        <v>76</v>
      </c>
      <c r="G2" s="21" t="s">
        <v>77</v>
      </c>
      <c r="H2" s="21" t="s">
        <v>78</v>
      </c>
      <c r="I2" s="21" t="s">
        <v>79</v>
      </c>
      <c r="J2" s="21" t="s">
        <v>80</v>
      </c>
      <c r="K2" s="21" t="s">
        <v>81</v>
      </c>
      <c r="L2" s="21" t="s">
        <v>82</v>
      </c>
      <c r="M2" s="21" t="s">
        <v>81</v>
      </c>
    </row>
    <row r="3" spans="1:13">
      <c r="A3" s="22" t="s">
        <v>49</v>
      </c>
      <c r="B3" s="5" t="s">
        <v>50</v>
      </c>
      <c r="C3" s="23" t="s">
        <v>51</v>
      </c>
      <c r="D3" s="24" t="s">
        <v>83</v>
      </c>
      <c r="E3" s="24" t="str">
        <f>UPPER(F3)</f>
        <v>FECHA DE FOTO/DATOS CONFIGURADA EN EL ETL PARA LA EXTRACCIÓN DE DATOS, CORRESPONDE A APERTURAS DE COMERCIOS HASTA EL CIERRE DEL DÍA ANTERIOR</v>
      </c>
      <c r="F3" s="24" t="s">
        <v>84</v>
      </c>
      <c r="G3" s="22" t="s">
        <v>56</v>
      </c>
      <c r="H3" s="22" t="s">
        <v>85</v>
      </c>
      <c r="I3" s="28">
        <v>45841</v>
      </c>
      <c r="J3" s="22" t="s">
        <v>56</v>
      </c>
      <c r="K3" s="22" t="s">
        <v>56</v>
      </c>
      <c r="L3" s="22" t="s">
        <v>86</v>
      </c>
      <c r="M3" s="22" t="s">
        <v>56</v>
      </c>
    </row>
    <row r="4" spans="1:13">
      <c r="A4" s="22" t="s">
        <v>49</v>
      </c>
      <c r="B4" s="5" t="s">
        <v>50</v>
      </c>
      <c r="C4" s="23" t="s">
        <v>51</v>
      </c>
      <c r="D4" s="24" t="s">
        <v>87</v>
      </c>
      <c r="E4" s="24" t="str">
        <f>UPPER(F4)</f>
        <v>FECHA EN LA QUE HUBO UNA ACTUALIZACIÓN DEL PREARBITRAJE, OCURRE CUANDO SE DETECTA UN CAMBIO DEL CÓDIGO DEL CASO, POR DEFECTO NACE EN NULO Y SE INSERTA UN DATO CUANDO SE REALIZÓ ALGÚN CAMBIO EN LAS DEMÁS COLUMNAS</v>
      </c>
      <c r="F4" s="24" t="s">
        <v>88</v>
      </c>
      <c r="G4" s="22" t="s">
        <v>56</v>
      </c>
      <c r="H4" s="22" t="s">
        <v>85</v>
      </c>
      <c r="I4" s="28">
        <v>45973</v>
      </c>
      <c r="J4" s="22" t="s">
        <v>56</v>
      </c>
      <c r="K4" s="22" t="s">
        <v>86</v>
      </c>
      <c r="L4" s="22" t="s">
        <v>56</v>
      </c>
      <c r="M4" s="22" t="s">
        <v>56</v>
      </c>
    </row>
    <row r="5" spans="1:13">
      <c r="A5" s="22" t="s">
        <v>49</v>
      </c>
      <c r="B5" s="5" t="s">
        <v>50</v>
      </c>
      <c r="C5" s="23" t="s">
        <v>51</v>
      </c>
      <c r="D5" s="24" t="s">
        <v>89</v>
      </c>
      <c r="E5" s="24" t="str">
        <f>UPPER(F5)</f>
        <v>ID DEL CASO</v>
      </c>
      <c r="F5" s="24" t="s">
        <v>90</v>
      </c>
      <c r="G5" s="22" t="s">
        <v>56</v>
      </c>
      <c r="H5" s="22" t="s">
        <v>91</v>
      </c>
      <c r="I5" s="26">
        <v>53717226</v>
      </c>
      <c r="J5" s="22" t="s">
        <v>56</v>
      </c>
      <c r="K5" s="22" t="s">
        <v>86</v>
      </c>
      <c r="L5" s="22" t="s">
        <v>56</v>
      </c>
      <c r="M5" s="22" t="s">
        <v>56</v>
      </c>
    </row>
    <row r="6" spans="1:13">
      <c r="A6" s="22" t="s">
        <v>49</v>
      </c>
      <c r="B6" s="5" t="s">
        <v>50</v>
      </c>
      <c r="C6" s="23" t="s">
        <v>51</v>
      </c>
      <c r="D6" s="24" t="s">
        <v>92</v>
      </c>
      <c r="E6" s="24" t="str">
        <f t="shared" ref="E6:E19" si="0">UPPER(F6)</f>
        <v>TIPO DE CASO</v>
      </c>
      <c r="F6" s="24" t="s">
        <v>93</v>
      </c>
      <c r="G6" s="22" t="s">
        <v>56</v>
      </c>
      <c r="H6" s="22" t="s">
        <v>91</v>
      </c>
      <c r="I6" s="26" t="s">
        <v>94</v>
      </c>
      <c r="J6" s="22" t="s">
        <v>56</v>
      </c>
      <c r="K6" s="22" t="s">
        <v>86</v>
      </c>
      <c r="L6" s="22" t="s">
        <v>56</v>
      </c>
      <c r="M6" s="22" t="s">
        <v>86</v>
      </c>
    </row>
    <row r="7" spans="1:13">
      <c r="A7" s="22" t="s">
        <v>49</v>
      </c>
      <c r="B7" s="5" t="s">
        <v>50</v>
      </c>
      <c r="C7" s="23" t="s">
        <v>51</v>
      </c>
      <c r="D7" s="25" t="s">
        <v>95</v>
      </c>
      <c r="E7" s="24" t="str">
        <f t="shared" si="0"/>
        <v>NUMERO DE TARJETA</v>
      </c>
      <c r="F7" s="24" t="s">
        <v>96</v>
      </c>
      <c r="G7" s="22" t="s">
        <v>86</v>
      </c>
      <c r="H7" s="22" t="s">
        <v>91</v>
      </c>
      <c r="I7" s="26" t="s">
        <v>97</v>
      </c>
      <c r="J7" s="22" t="s">
        <v>56</v>
      </c>
      <c r="K7" s="22" t="s">
        <v>86</v>
      </c>
      <c r="L7" s="22" t="s">
        <v>56</v>
      </c>
      <c r="M7" s="22" t="s">
        <v>56</v>
      </c>
    </row>
    <row r="8" spans="1:13">
      <c r="A8" s="22" t="s">
        <v>49</v>
      </c>
      <c r="B8" s="5" t="s">
        <v>50</v>
      </c>
      <c r="C8" s="23" t="s">
        <v>51</v>
      </c>
      <c r="D8" s="25" t="s">
        <v>98</v>
      </c>
      <c r="E8" s="24" t="str">
        <f t="shared" ref="E8" si="1">UPPER(F8)</f>
        <v>NUMERO DE TARJETA</v>
      </c>
      <c r="F8" s="24" t="s">
        <v>96</v>
      </c>
      <c r="G8" s="22" t="s">
        <v>86</v>
      </c>
      <c r="H8" s="22" t="s">
        <v>91</v>
      </c>
      <c r="I8" s="26">
        <v>539305008</v>
      </c>
      <c r="J8" s="22" t="s">
        <v>56</v>
      </c>
      <c r="K8" s="22" t="s">
        <v>86</v>
      </c>
      <c r="L8" s="22" t="s">
        <v>56</v>
      </c>
      <c r="M8" s="22" t="s">
        <v>56</v>
      </c>
    </row>
    <row r="9" spans="1:13">
      <c r="A9" s="22" t="s">
        <v>49</v>
      </c>
      <c r="B9" s="5" t="s">
        <v>50</v>
      </c>
      <c r="C9" s="23" t="s">
        <v>51</v>
      </c>
      <c r="D9" s="24" t="s">
        <v>99</v>
      </c>
      <c r="E9" s="24" t="str">
        <f t="shared" si="0"/>
        <v>CODIGO RAZON DEL CONTRACARGO</v>
      </c>
      <c r="F9" s="24" t="s">
        <v>100</v>
      </c>
      <c r="G9" s="22" t="s">
        <v>56</v>
      </c>
      <c r="H9" s="22" t="s">
        <v>91</v>
      </c>
      <c r="I9" s="26">
        <v>4837</v>
      </c>
      <c r="J9" s="22" t="s">
        <v>56</v>
      </c>
      <c r="K9" s="22" t="s">
        <v>86</v>
      </c>
      <c r="L9" s="22" t="s">
        <v>56</v>
      </c>
      <c r="M9" s="22" t="s">
        <v>86</v>
      </c>
    </row>
    <row r="10" spans="1:13">
      <c r="A10" s="22" t="s">
        <v>49</v>
      </c>
      <c r="B10" s="5" t="s">
        <v>50</v>
      </c>
      <c r="C10" s="23" t="s">
        <v>51</v>
      </c>
      <c r="D10" s="24" t="s">
        <v>101</v>
      </c>
      <c r="E10" s="24" t="str">
        <f t="shared" si="0"/>
        <v>MONTO EN DISPUTA</v>
      </c>
      <c r="F10" s="24" t="s">
        <v>102</v>
      </c>
      <c r="G10" s="22" t="s">
        <v>56</v>
      </c>
      <c r="H10" s="22" t="s">
        <v>103</v>
      </c>
      <c r="I10" s="26">
        <v>55.75</v>
      </c>
      <c r="J10" s="22" t="s">
        <v>56</v>
      </c>
      <c r="K10" s="22" t="s">
        <v>86</v>
      </c>
      <c r="L10" s="22" t="s">
        <v>56</v>
      </c>
      <c r="M10" s="22" t="s">
        <v>56</v>
      </c>
    </row>
    <row r="11" spans="1:13">
      <c r="A11" s="22" t="s">
        <v>49</v>
      </c>
      <c r="B11" s="5" t="s">
        <v>50</v>
      </c>
      <c r="C11" s="23" t="s">
        <v>51</v>
      </c>
      <c r="D11" s="24" t="s">
        <v>104</v>
      </c>
      <c r="E11" s="24" t="str">
        <f t="shared" si="0"/>
        <v>MONEDA DE LA DISPUTA</v>
      </c>
      <c r="F11" s="24" t="s">
        <v>105</v>
      </c>
      <c r="G11" s="22" t="s">
        <v>56</v>
      </c>
      <c r="H11" s="22" t="s">
        <v>91</v>
      </c>
      <c r="I11" s="26" t="s">
        <v>106</v>
      </c>
      <c r="J11" s="22" t="s">
        <v>56</v>
      </c>
      <c r="K11" s="22" t="s">
        <v>86</v>
      </c>
      <c r="L11" s="22" t="s">
        <v>56</v>
      </c>
      <c r="M11" s="22" t="s">
        <v>56</v>
      </c>
    </row>
    <row r="12" spans="1:13">
      <c r="A12" s="22" t="s">
        <v>49</v>
      </c>
      <c r="B12" s="5" t="s">
        <v>50</v>
      </c>
      <c r="C12" s="23" t="s">
        <v>51</v>
      </c>
      <c r="D12" s="24" t="s">
        <v>107</v>
      </c>
      <c r="E12" s="24" t="str">
        <f t="shared" si="0"/>
        <v>ARD DE LA TRANSACCION</v>
      </c>
      <c r="F12" s="24" t="s">
        <v>108</v>
      </c>
      <c r="G12" s="22" t="s">
        <v>56</v>
      </c>
      <c r="H12" s="22" t="s">
        <v>91</v>
      </c>
      <c r="I12" s="26">
        <v>7.53015051550012E+22</v>
      </c>
      <c r="J12" s="22" t="s">
        <v>56</v>
      </c>
      <c r="K12" s="22" t="s">
        <v>86</v>
      </c>
      <c r="L12" s="22" t="s">
        <v>56</v>
      </c>
      <c r="M12" s="22" t="s">
        <v>56</v>
      </c>
    </row>
    <row r="13" spans="1:13">
      <c r="A13" s="22" t="s">
        <v>49</v>
      </c>
      <c r="B13" s="5" t="s">
        <v>50</v>
      </c>
      <c r="C13" s="23" t="s">
        <v>51</v>
      </c>
      <c r="D13" s="24" t="s">
        <v>109</v>
      </c>
      <c r="E13" s="24" t="str">
        <f t="shared" si="0"/>
        <v>NUMERO DE CONTROL DEL CONTRACARGO</v>
      </c>
      <c r="F13" s="24" t="s">
        <v>110</v>
      </c>
      <c r="G13" s="22" t="s">
        <v>56</v>
      </c>
      <c r="H13" s="22" t="s">
        <v>91</v>
      </c>
      <c r="I13" s="26">
        <v>9306132515</v>
      </c>
      <c r="J13" s="22" t="s">
        <v>56</v>
      </c>
      <c r="K13" s="22" t="s">
        <v>86</v>
      </c>
      <c r="L13" s="22" t="s">
        <v>56</v>
      </c>
      <c r="M13" s="22" t="s">
        <v>56</v>
      </c>
    </row>
    <row r="14" spans="1:13">
      <c r="A14" s="22" t="s">
        <v>49</v>
      </c>
      <c r="B14" s="5" t="s">
        <v>50</v>
      </c>
      <c r="C14" s="23" t="s">
        <v>51</v>
      </c>
      <c r="D14" s="24" t="s">
        <v>111</v>
      </c>
      <c r="E14" s="24" t="str">
        <f t="shared" ref="E14" si="2">UPPER(F14)</f>
        <v>FECHA DEL PREARBITRAJE</v>
      </c>
      <c r="F14" s="24" t="s">
        <v>112</v>
      </c>
      <c r="G14" s="22" t="s">
        <v>56</v>
      </c>
      <c r="H14" s="22" t="s">
        <v>85</v>
      </c>
      <c r="I14" s="29">
        <v>45981</v>
      </c>
      <c r="J14" s="22" t="s">
        <v>56</v>
      </c>
      <c r="K14" s="22" t="s">
        <v>86</v>
      </c>
      <c r="L14" s="22" t="s">
        <v>56</v>
      </c>
      <c r="M14" s="22" t="s">
        <v>56</v>
      </c>
    </row>
    <row r="15" spans="1:13">
      <c r="A15" s="22" t="s">
        <v>49</v>
      </c>
      <c r="B15" s="5" t="s">
        <v>50</v>
      </c>
      <c r="C15" s="23" t="s">
        <v>51</v>
      </c>
      <c r="D15" s="24" t="s">
        <v>113</v>
      </c>
      <c r="E15" s="24" t="str">
        <f t="shared" si="0"/>
        <v>ESTADO DEL PREARBITRAJE</v>
      </c>
      <c r="F15" s="24" t="s">
        <v>114</v>
      </c>
      <c r="G15" s="22" t="s">
        <v>56</v>
      </c>
      <c r="H15" s="22" t="s">
        <v>91</v>
      </c>
      <c r="I15" s="26" t="s">
        <v>115</v>
      </c>
      <c r="J15" s="22" t="s">
        <v>56</v>
      </c>
      <c r="K15" s="22" t="s">
        <v>86</v>
      </c>
      <c r="L15" s="22" t="s">
        <v>56</v>
      </c>
      <c r="M15" s="22" t="s">
        <v>86</v>
      </c>
    </row>
    <row r="16" spans="1:13">
      <c r="A16" s="22" t="s">
        <v>49</v>
      </c>
      <c r="B16" s="5" t="s">
        <v>50</v>
      </c>
      <c r="C16" s="23" t="s">
        <v>51</v>
      </c>
      <c r="D16" s="24" t="s">
        <v>116</v>
      </c>
      <c r="E16" s="24" t="str">
        <f t="shared" si="0"/>
        <v>ESTADO FINAL DEL PREARBITRAJE</v>
      </c>
      <c r="F16" s="24" t="s">
        <v>117</v>
      </c>
      <c r="G16" s="22" t="s">
        <v>56</v>
      </c>
      <c r="H16" s="22" t="s">
        <v>91</v>
      </c>
      <c r="I16" s="26" t="s">
        <v>118</v>
      </c>
      <c r="J16" s="22" t="s">
        <v>56</v>
      </c>
      <c r="K16" s="22" t="s">
        <v>86</v>
      </c>
      <c r="L16" s="22" t="s">
        <v>56</v>
      </c>
      <c r="M16" s="22" t="s">
        <v>86</v>
      </c>
    </row>
    <row r="17" spans="1:13">
      <c r="A17" s="22" t="s">
        <v>49</v>
      </c>
      <c r="B17" s="5" t="s">
        <v>50</v>
      </c>
      <c r="C17" s="23" t="s">
        <v>51</v>
      </c>
      <c r="D17" s="24" t="s">
        <v>119</v>
      </c>
      <c r="E17" s="24" t="str">
        <f t="shared" si="0"/>
        <v>DATO DE AUDITORÍA: DESCRIPCIÓN DEL APLICATIVO ORIGEN DE LOS DATOS.</v>
      </c>
      <c r="F17" s="24" t="s">
        <v>120</v>
      </c>
      <c r="G17" s="22" t="s">
        <v>56</v>
      </c>
      <c r="H17" s="22" t="s">
        <v>91</v>
      </c>
      <c r="I17" s="27" t="s">
        <v>121</v>
      </c>
      <c r="J17" s="22" t="s">
        <v>56</v>
      </c>
      <c r="K17" s="22" t="s">
        <v>86</v>
      </c>
      <c r="L17" s="22" t="s">
        <v>56</v>
      </c>
      <c r="M17" s="22" t="s">
        <v>56</v>
      </c>
    </row>
    <row r="18" spans="1:13">
      <c r="A18" s="22" t="s">
        <v>49</v>
      </c>
      <c r="B18" s="5" t="s">
        <v>50</v>
      </c>
      <c r="C18" s="23" t="s">
        <v>51</v>
      </c>
      <c r="D18" s="24" t="s">
        <v>122</v>
      </c>
      <c r="E18" s="24" t="str">
        <f t="shared" si="0"/>
        <v>FECHA Y HORA DE INSERCIÓN DEL REGISTRO EN EL MODELO</v>
      </c>
      <c r="F18" s="24" t="s">
        <v>123</v>
      </c>
      <c r="G18" s="22" t="s">
        <v>56</v>
      </c>
      <c r="H18" s="22" t="s">
        <v>124</v>
      </c>
      <c r="I18" s="27" t="s">
        <v>125</v>
      </c>
      <c r="J18" s="22" t="s">
        <v>56</v>
      </c>
      <c r="K18" s="22" t="s">
        <v>56</v>
      </c>
      <c r="L18" s="22" t="s">
        <v>56</v>
      </c>
      <c r="M18" s="22" t="s">
        <v>56</v>
      </c>
    </row>
    <row r="19" spans="1:13">
      <c r="A19" s="22" t="s">
        <v>49</v>
      </c>
      <c r="B19" s="5" t="s">
        <v>50</v>
      </c>
      <c r="C19" s="23" t="s">
        <v>51</v>
      </c>
      <c r="D19" s="24" t="s">
        <v>126</v>
      </c>
      <c r="E19" s="24" t="str">
        <f t="shared" si="0"/>
        <v>USUARIO QUE CREA EL REGISTRO EN LA BD</v>
      </c>
      <c r="F19" s="24" t="s">
        <v>127</v>
      </c>
      <c r="G19" s="22" t="s">
        <v>56</v>
      </c>
      <c r="H19" s="22" t="s">
        <v>91</v>
      </c>
      <c r="I19" s="27" t="s">
        <v>128</v>
      </c>
      <c r="J19" s="22" t="s">
        <v>56</v>
      </c>
      <c r="K19" s="22" t="s">
        <v>56</v>
      </c>
      <c r="L19" s="22" t="s">
        <v>56</v>
      </c>
      <c r="M19" s="22" t="s">
        <v>56</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5006A4-5124-4F73-8C0E-FFC53E124586}"/>
</file>

<file path=customXml/itemProps2.xml><?xml version="1.0" encoding="utf-8"?>
<ds:datastoreItem xmlns:ds="http://schemas.openxmlformats.org/officeDocument/2006/customXml" ds:itemID="{FCB7F921-B723-4C15-9B1B-F767409F206E}"/>
</file>

<file path=customXml/itemProps3.xml><?xml version="1.0" encoding="utf-8"?>
<ds:datastoreItem xmlns:ds="http://schemas.openxmlformats.org/officeDocument/2006/customXml" ds:itemID="{43B2A79D-A2CF-4207-AB43-21976C2AF36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Arturo Quispe Humpiri</cp:lastModifiedBy>
  <cp:revision/>
  <dcterms:created xsi:type="dcterms:W3CDTF">2015-06-05T18:19:34Z</dcterms:created>
  <dcterms:modified xsi:type="dcterms:W3CDTF">2026-07-01T20:54:13Z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