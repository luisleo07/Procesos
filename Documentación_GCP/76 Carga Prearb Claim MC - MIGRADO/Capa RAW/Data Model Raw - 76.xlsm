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4" codeName="{00000000-0000-0000-0000-000000000000}"/>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76 Carga Prearb Claim MC - MIGRADO/Capa RAW/"/>
    </mc:Choice>
  </mc:AlternateContent>
  <xr:revisionPtr revIDLastSave="130" documentId="8_{1DCF88E8-8811-44D0-8773-D3AB89B02E57}" xr6:coauthVersionLast="47" xr6:coauthVersionMax="47" xr10:uidLastSave="{9FEEED99-7870-461B-9AAF-18AD7FA8A0F6}"/>
  <bookViews>
    <workbookView xWindow="-110" yWindow="-110" windowWidth="19420" windowHeight="11500" firstSheet="2" activeTab="2" xr2:uid="{00000000-000D-0000-FFFF-FFFF00000000}"/>
  </bookViews>
  <sheets>
    <sheet name="Datos Sensibles" sheetId="4" r:id="rId1"/>
    <sheet name="Estructuras del Modelo" sheetId="1" r:id="rId2"/>
    <sheet name="case_filing_receiver" sheetId="2" r:id="rId3"/>
  </sheets>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1" i="2" l="1"/>
  <c r="E53" i="2"/>
  <c r="E54" i="2"/>
  <c r="E55" i="2"/>
  <c r="E56" i="2"/>
  <c r="E57" i="2"/>
  <c r="E58" i="2"/>
  <c r="E59" i="2"/>
  <c r="E62" i="2"/>
  <c r="E63" i="2"/>
  <c r="E64" i="2"/>
  <c r="E65" i="2"/>
  <c r="E49" i="2"/>
  <c r="E50" i="2"/>
  <c r="E51" i="2"/>
  <c r="E52" i="2"/>
  <c r="E4" i="2"/>
  <c r="E60"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tc={D78D489F-3ED0-4E23-B649-640A570F1B92}</author>
    <author>tc={63429544-5E98-4BB2-A635-A31C2B22A400}</author>
  </authors>
  <commentList>
    <comment ref="D60" authorId="0" shapeId="0" xr:uid="{D78D489F-3ED0-4E23-B649-640A570F1B92}">
      <text>
        <t>[Threaded comment]
Your version of Excel allows you to read this threaded comment; however, any edits to it will get removed if the file is opened in a newer version of Excel. Learn more: https://go.microsoft.com/fwlink/?linkid=870924
Comment:
    Original: account_number</t>
      </text>
    </comment>
    <comment ref="D61" authorId="1" shapeId="0" xr:uid="{63429544-5E98-4BB2-A635-A31C2B22A400}">
      <text>
        <t>[Threaded comment]
Your version of Excel allows you to read this threaded comment; however, any edits to it will get removed if the file is opened in a newer version of Excel. Learn more: https://go.microsoft.com/fwlink/?linkid=870924
Comment:
    Original: account_number</t>
      </text>
    </comment>
  </commentList>
</comments>
</file>

<file path=xl/sharedStrings.xml><?xml version="1.0" encoding="utf-8"?>
<sst xmlns="http://schemas.openxmlformats.org/spreadsheetml/2006/main" count="804" uniqueCount="227">
  <si>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</si>
  <si>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</si>
  <si>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</si>
  <si>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</si>
  <si>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</si>
  <si>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</si>
  <si>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</si>
  <si>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</si>
  <si>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</si>
  <si>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</si>
  <si>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</si>
  <si>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</si>
  <si>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</si>
  <si>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</si>
  <si>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</si>
  <si>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</si>
  <si>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</si>
  <si>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</si>
  <si>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</si>
  <si>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</si>
  <si>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</si>
  <si>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</si>
  <si>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</si>
  <si>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</si>
  <si>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</si>
  <si>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</si>
  <si>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</si>
  <si>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</si>
  <si>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</si>
  <si>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</si>
  <si>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</si>
  <si>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</si>
  <si>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</si>
  <si>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</si>
  <si>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</si>
  <si>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</si>
  <si>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</si>
  <si>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</si>
  <si>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</si>
  <si>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</si>
  <si>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</si>
  <si>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</si>
  <si>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</si>
  <si>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</si>
  <si>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</si>
  <si>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</si>
  <si>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</si>
  <si>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</si>
  <si>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Contracargo</t>
  </si>
  <si>
    <t>prd-izipay-data-storage-pv</t>
  </si>
  <si>
    <t>raw_dataentry_operaciones</t>
  </si>
  <si>
    <t>case_filing_receiver</t>
  </si>
  <si>
    <t>Tabla con informacion diaria de prearbitrajes Mastercard provenientes de la web Mastercard Connect</t>
  </si>
  <si>
    <t>Última foto</t>
  </si>
  <si>
    <t>Diario (8:45am)</t>
  </si>
  <si>
    <t>mc2103@izipay.pe</t>
  </si>
  <si>
    <t>N</t>
  </si>
  <si>
    <t>prod</t>
  </si>
  <si>
    <t>Raw</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</si>
  <si>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</si>
  <si>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</si>
  <si>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</si>
  <si>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</si>
  <si>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</si>
  <si>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</si>
  <si>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</si>
  <si>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</si>
  <si>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</si>
  <si>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</si>
  <si>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</si>
  <si>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</si>
  <si>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</si>
  <si>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</si>
  <si>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</si>
  <si>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</si>
  <si>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</si>
  <si>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</si>
  <si>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</si>
  <si>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</si>
  <si>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</si>
  <si>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</si>
  <si>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</si>
  <si>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</si>
  <si>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case_id</t>
  </si>
  <si>
    <t>Id del caso</t>
  </si>
  <si>
    <t>STRING</t>
  </si>
  <si>
    <t>Y</t>
  </si>
  <si>
    <t>case_type</t>
  </si>
  <si>
    <t>Tipo de caso</t>
  </si>
  <si>
    <t>Pre-Arbitration</t>
  </si>
  <si>
    <t>virtual_account_number</t>
  </si>
  <si>
    <t>Numero virtual</t>
  </si>
  <si>
    <t>chargeback_reason_code</t>
  </si>
  <si>
    <t>Codigo razon del contracargo</t>
  </si>
  <si>
    <t>violation_code</t>
  </si>
  <si>
    <t>Codigo de infraccion</t>
  </si>
  <si>
    <t>reference</t>
  </si>
  <si>
    <t>Referencia</t>
  </si>
  <si>
    <t>violation_date</t>
  </si>
  <si>
    <t>Fecha de infraccion</t>
  </si>
  <si>
    <t>disputed_amount</t>
  </si>
  <si>
    <t>Monto en disputa</t>
  </si>
  <si>
    <t>currency_code</t>
  </si>
  <si>
    <t>Codigo de moneda</t>
  </si>
  <si>
    <t>USD</t>
  </si>
  <si>
    <t>acquirer_reference_data</t>
  </si>
  <si>
    <t>ARD de la transaccion</t>
  </si>
  <si>
    <t>chargeback_reference_number</t>
  </si>
  <si>
    <t>Numero de control del contracargo</t>
  </si>
  <si>
    <t>filing_ica</t>
  </si>
  <si>
    <t>Ica del emisor</t>
  </si>
  <si>
    <t>filed_against_ica</t>
  </si>
  <si>
    <t>Ica del adquirente (Izipay)</t>
  </si>
  <si>
    <t>filing_region</t>
  </si>
  <si>
    <t>Region del emisor</t>
  </si>
  <si>
    <t>LA</t>
  </si>
  <si>
    <t>filed_against_region</t>
  </si>
  <si>
    <t>Region del adquirente</t>
  </si>
  <si>
    <t>member_filing_number</t>
  </si>
  <si>
    <t>Numero de miembro</t>
  </si>
  <si>
    <t>response_due_date</t>
  </si>
  <si>
    <t>Fecha de vencimiento de la respuesta</t>
  </si>
  <si>
    <t>merchant_name</t>
  </si>
  <si>
    <t>Nombre comercio</t>
  </si>
  <si>
    <t>TARJETA W\PR SIETE N 2</t>
  </si>
  <si>
    <t>cleansed_merchant_name</t>
  </si>
  <si>
    <t>Nombre del comercio limpiado</t>
  </si>
  <si>
    <t>cleansed_merchant_phone</t>
  </si>
  <si>
    <t>Telefono del comercio limpiado</t>
  </si>
  <si>
    <t>filed_as</t>
  </si>
  <si>
    <t>Archivado como</t>
  </si>
  <si>
    <t>I</t>
  </si>
  <si>
    <t>submitted_by_user_id</t>
  </si>
  <si>
    <t>Id usuario que registró el prearbitraje</t>
  </si>
  <si>
    <t>P612118</t>
  </si>
  <si>
    <t>submitted_date</t>
  </si>
  <si>
    <t>Fecha de envio</t>
  </si>
  <si>
    <t>02-Sep-2025</t>
  </si>
  <si>
    <t>rebuttal_user_id</t>
  </si>
  <si>
    <t>ID de usuario de refutación</t>
  </si>
  <si>
    <t>rebuttal_date</t>
  </si>
  <si>
    <t>Fecha de refutación</t>
  </si>
  <si>
    <t>rejected_by_user_id</t>
  </si>
  <si>
    <t>Rechazado por ID de usuario</t>
  </si>
  <si>
    <t>rejected_date</t>
  </si>
  <si>
    <t>Fecha de rechazo</t>
  </si>
  <si>
    <t>escalated_by_user_id</t>
  </si>
  <si>
    <t>Escalado por ID de usuario</t>
  </si>
  <si>
    <t>escalation_date</t>
  </si>
  <si>
    <t>Fecha de escalamiento</t>
  </si>
  <si>
    <t>accepted_date</t>
  </si>
  <si>
    <t>Fecha de aceptación</t>
  </si>
  <si>
    <t>accepted_user_id</t>
  </si>
  <si>
    <t>ID de usuario aceptado</t>
  </si>
  <si>
    <t>AUTO</t>
  </si>
  <si>
    <t>withdrawing_user_id</t>
  </si>
  <si>
    <t>ID de usuario de retiro</t>
  </si>
  <si>
    <t>withdrawing_ica</t>
  </si>
  <si>
    <t>ICA de retiro</t>
  </si>
  <si>
    <t>withdrawn_date</t>
  </si>
  <si>
    <t>Fecha de retiro</t>
  </si>
  <si>
    <t>ruling</t>
  </si>
  <si>
    <t>Sentencia</t>
  </si>
  <si>
    <t>ruling_date</t>
  </si>
  <si>
    <t>Fecha de la sentencia</t>
  </si>
  <si>
    <t>status</t>
  </si>
  <si>
    <t>Estado</t>
  </si>
  <si>
    <t>Accepted</t>
  </si>
  <si>
    <t>billing_currency_code</t>
  </si>
  <si>
    <t>Código de moneda de facturación</t>
  </si>
  <si>
    <t>settlement_amount</t>
  </si>
  <si>
    <t>Importe de liquidación</t>
  </si>
  <si>
    <t>settlement_currency_code</t>
  </si>
  <si>
    <t>Código de moneda de liquidación</t>
  </si>
  <si>
    <t>_1442_de22</t>
  </si>
  <si>
    <t>DE</t>
  </si>
  <si>
    <t>receiver_bill</t>
  </si>
  <si>
    <t>Factura del receptor</t>
  </si>
  <si>
    <t>receiver_endpoint</t>
  </si>
  <si>
    <t>Punto final del receptor</t>
  </si>
  <si>
    <t>receiver_dispute_amount</t>
  </si>
  <si>
    <t>Disputa del receptor Importe</t>
  </si>
  <si>
    <t>receiver_dispute_currency_code</t>
  </si>
  <si>
    <t>Código de moneda de la disputa del receptor</t>
  </si>
  <si>
    <t>receiver_billing_fees_usd</t>
  </si>
  <si>
    <t>Tarifas de facturación del receptor USD</t>
  </si>
  <si>
    <t>24.5.00</t>
  </si>
  <si>
    <t>receiver_billing_fees_eur</t>
  </si>
  <si>
    <t>Tarifas de facturación del receptor EUR</t>
  </si>
  <si>
    <t>receiver_billing_fees_gbp</t>
  </si>
  <si>
    <t>Tarifas de facturación del receptor GBP</t>
  </si>
  <si>
    <t>sender_endpoint</t>
  </si>
  <si>
    <t>Punto final del remitente</t>
  </si>
  <si>
    <t>unjust_enrichment_chargeback_date</t>
  </si>
  <si>
    <t>Fecha de devolución del cargo por enriquecimiento injusto</t>
  </si>
  <si>
    <t>unjust_enrichment_credit_date</t>
  </si>
  <si>
    <t>Fecha de crédito por enriquecimiento injusto</t>
  </si>
  <si>
    <t>original_switch_serial</t>
  </si>
  <si>
    <t>Número de serie del switch original</t>
  </si>
  <si>
    <t>settlement_date</t>
  </si>
  <si>
    <t>Fecha de liquidación</t>
  </si>
  <si>
    <t>acquirer_country</t>
  </si>
  <si>
    <t>País del adquirente</t>
  </si>
  <si>
    <t>issuer_country</t>
  </si>
  <si>
    <t>País del emisor</t>
  </si>
  <si>
    <t>card_presence</t>
  </si>
  <si>
    <t>Tarjeta presente</t>
  </si>
  <si>
    <t>card_brand</t>
  </si>
  <si>
    <t>Marca de la tarjeta</t>
  </si>
  <si>
    <t>tarjeta_enmascarada</t>
  </si>
  <si>
    <t>Numero de tarjeta (enmascarada)</t>
  </si>
  <si>
    <t>5393-0500-0106-6249</t>
  </si>
  <si>
    <t>bin</t>
  </si>
  <si>
    <t>9 primeros digitos de la tarjeta (enmascarada)</t>
  </si>
  <si>
    <t>process_date</t>
  </si>
  <si>
    <t>Fecha de foto/datos configurada en el ETL para la extracción de datos, corresponde a aperturas de comercios hasta el cierre del día anterior</t>
  </si>
  <si>
    <t>DATE</t>
  </si>
  <si>
    <t>record_source</t>
  </si>
  <si>
    <t>Dato de Auditoría: Descripción del aplicativo origen de los datos.</t>
  </si>
  <si>
    <t>as400</t>
  </si>
  <si>
    <t>load_date</t>
  </si>
  <si>
    <t>Fecha y hora de inserción del registro en el modelo</t>
  </si>
  <si>
    <t>DATETIME</t>
  </si>
  <si>
    <t>2025-07-04 03:07:39.145385 UTC</t>
  </si>
  <si>
    <t>creation_user</t>
  </si>
  <si>
    <t>Usuario que crea el registro en la BD</t>
  </si>
  <si>
    <t>prd-data-operation-migration@prd-izipay-data-operation.iam.gserviceaccount.com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</si>
</sst>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s>
  <fills count="6">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FFFF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9">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5" borderId="1" xfId="0" applyFill="1" applyBorder="1" applyAlignment="1">
      <alignment vertical="top" wrapText="1"/>
    </xf>
    <xf numFmtId="0" fontId="13" fillId="5"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14" fontId="0" fillId="0" borderId="1" xfId="0" applyNumberFormat="1" applyBorder="1" applyAlignment="1">
      <alignment vertical="center"/>
    </xf>
    <xf numFmtId="0" fontId="0" fillId="4" borderId="1" xfId="0" applyFill="1" applyBorder="1" applyAlignment="1">
      <alignment vertical="center"/>
    </xf>
    <xf numFmtId="15" fontId="0" fillId="0" borderId="1" xfId="0" applyNumberFormat="1" applyBorder="1"/>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ANGELLO BRAVO" id="{0E12AA06-BBC5-4B16-85FD-E76D8BD8F92E}" userId="S::MC2103@izipay.pe::f0337103-7442-4107-bcf0-89491ef4094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60" dT="2025-11-10T22:26:04.33" personId="{0E12AA06-BBC5-4B16-85FD-E76D8BD8F92E}" id="{D78D489F-3ED0-4E23-B649-640A570F1B92}">
    <text>Original: account_number</text>
  </threadedComment>
  <threadedComment ref="D61" dT="2025-11-10T22:26:04.33" personId="{0E12AA06-BBC5-4B16-85FD-E76D8BD8F92E}" id="{63429544-5E98-4BB2-A635-A31C2B22A400}">
    <text>Original: account_number</text>
  </threadedComment>
</ThreadedComments>
</file>

<file path=xl/worksheets/_rels/sheet2.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sheetPr codeName="Hoja3"/>
  <dimension ref="A1:G7"/>
  <sheetViews>
    <sheetView showGridLines="0" workbookViewId="0">
      <selection activeCell="C33" sqref="C33"/>
    </sheetView>
  </sheetViews>
  <sheetFormatPr defaultColWidth="11.42578125" defaultRowHeight="14.45"/>
  <cols>
    <col min="1" max="1" width="20.42578125" customWidth="1"/>
    <col min="2" max="5" width="23.42578125" customWidth="1"/>
    <col min="6" max="6" width="28.5703125" customWidth="1"/>
    <col min="7" max="7" width="23.42578125" customWidth="1"/>
  </cols>
  <sheetData>
    <row r="1" spans="1:7">
      <c r="A1" s="1"/>
      <c r="B1" s="1"/>
      <c r="C1" s="1"/>
      <c r="D1" s="1"/>
      <c r="E1" s="1"/>
      <c r="F1" s="1"/>
      <c r="G1" s="1"/>
    </row>
    <row r="2" spans="1:7" ht="29.45">
      <c r="A2" s="9" t="s">
        <v>0</v>
      </c>
      <c r="B2" s="1"/>
      <c r="C2" s="1"/>
      <c r="D2" s="1"/>
      <c r="E2" s="1"/>
      <c r="F2" s="1"/>
      <c r="G2" s="1"/>
    </row>
    <row r="3" spans="1:7" ht="30" customHeight="1">
      <c r="A3" s="28" t="s">
        <v>1</v>
      </c>
      <c r="B3" s="28"/>
      <c r="C3" s="28"/>
      <c r="D3" s="28"/>
      <c r="E3" s="28"/>
      <c r="F3" s="28"/>
      <c r="G3" s="28"/>
    </row>
    <row r="4" spans="1:7">
      <c r="A4" s="1"/>
      <c r="B4" s="1"/>
      <c r="C4" s="1"/>
      <c r="D4" s="1"/>
      <c r="E4" s="1"/>
      <c r="F4" s="1"/>
      <c r="G4" s="1"/>
    </row>
    <row r="5" spans="1:7">
      <c r="A5" s="15" t="s">
        <v>2</v>
      </c>
      <c r="B5" s="15" t="s">
        <v>3</v>
      </c>
      <c r="C5" s="15" t="s">
        <v>4</v>
      </c>
      <c r="D5" s="15" t="s">
        <v>5</v>
      </c>
      <c r="E5" s="15" t="s">
        <v>6</v>
      </c>
      <c r="F5" s="15" t="s">
        <v>7</v>
      </c>
      <c r="G5" s="15" t="s">
        <v>8</v>
      </c>
    </row>
    <row r="6" spans="1:7">
      <c r="A6" s="16">
        <v>1</v>
      </c>
      <c r="B6" s="8"/>
      <c r="C6" s="8"/>
      <c r="D6" s="8"/>
      <c r="E6" s="8"/>
      <c r="F6" s="17"/>
      <c r="G6" s="18"/>
    </row>
    <row r="7" spans="1:7">
      <c r="A7" s="16">
        <v>2</v>
      </c>
      <c r="B7" s="8"/>
      <c r="C7" s="8"/>
      <c r="D7" s="8"/>
      <c r="E7" s="8"/>
      <c r="F7" s="17"/>
      <c r="G7" s="18"/>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9"/>
  <sheetViews>
    <sheetView showGridLines="0" topLeftCell="F1" workbookViewId="0">
      <selection activeCell="K3" sqref="K3"/>
    </sheetView>
  </sheetViews>
  <sheetFormatPr defaultColWidth="9.140625" defaultRowHeight="14.45"/>
  <cols>
    <col min="1" max="8" width="33.42578125" customWidth="1"/>
    <col min="9" max="9" width="66.42578125" customWidth="1"/>
    <col min="10" max="20" width="33.42578125" customWidth="1"/>
  </cols>
  <sheetData>
    <row r="1" spans="1:20">
      <c r="A1" s="10" t="s">
        <v>9</v>
      </c>
      <c r="B1" s="10" t="s">
        <v>10</v>
      </c>
      <c r="C1" s="10" t="s">
        <v>11</v>
      </c>
      <c r="D1" s="10" t="s">
        <v>12</v>
      </c>
      <c r="E1" s="10" t="s">
        <v>13</v>
      </c>
      <c r="F1" s="11" t="s">
        <v>14</v>
      </c>
      <c r="G1" s="10" t="s">
        <v>15</v>
      </c>
      <c r="H1" s="10" t="s">
        <v>6</v>
      </c>
      <c r="I1" s="10" t="s">
        <v>8</v>
      </c>
      <c r="J1" s="10" t="s">
        <v>16</v>
      </c>
      <c r="K1" s="10" t="s">
        <v>17</v>
      </c>
      <c r="L1" s="10" t="s">
        <v>18</v>
      </c>
      <c r="M1" s="10" t="s">
        <v>19</v>
      </c>
      <c r="N1" s="10" t="s">
        <v>20</v>
      </c>
      <c r="O1" s="10" t="s">
        <v>21</v>
      </c>
      <c r="P1" s="10" t="s">
        <v>22</v>
      </c>
      <c r="Q1" s="10" t="s">
        <v>23</v>
      </c>
      <c r="R1" s="10" t="s">
        <v>24</v>
      </c>
      <c r="S1" s="10" t="s">
        <v>25</v>
      </c>
      <c r="T1" s="10" t="s">
        <v>26</v>
      </c>
    </row>
    <row r="2" spans="1:20" ht="42">
      <c r="A2" s="12" t="s">
        <v>27</v>
      </c>
      <c r="B2" s="12" t="s">
        <v>28</v>
      </c>
      <c r="C2" s="12" t="s">
        <v>29</v>
      </c>
      <c r="D2" s="12" t="s">
        <v>30</v>
      </c>
      <c r="E2" s="12" t="s">
        <v>31</v>
      </c>
      <c r="F2" s="12" t="s">
        <v>32</v>
      </c>
      <c r="G2" s="12" t="s">
        <v>33</v>
      </c>
      <c r="H2" s="12" t="s">
        <v>34</v>
      </c>
      <c r="I2" s="12" t="s">
        <v>35</v>
      </c>
      <c r="J2" s="13" t="s">
        <v>36</v>
      </c>
      <c r="K2" s="13" t="s">
        <v>37</v>
      </c>
      <c r="L2" s="14"/>
      <c r="M2" s="12" t="s">
        <v>38</v>
      </c>
      <c r="N2" s="12" t="s">
        <v>39</v>
      </c>
      <c r="O2" s="12" t="s">
        <v>40</v>
      </c>
      <c r="P2" s="12" t="s">
        <v>41</v>
      </c>
      <c r="Q2" s="12" t="s">
        <v>42</v>
      </c>
      <c r="R2" s="12" t="s">
        <v>43</v>
      </c>
      <c r="S2" s="12" t="s">
        <v>44</v>
      </c>
      <c r="T2" s="12" t="s">
        <v>45</v>
      </c>
    </row>
    <row r="3" spans="1:20">
      <c r="A3" s="5" t="s">
        <v>46</v>
      </c>
      <c r="B3" s="5" t="s">
        <v>47</v>
      </c>
      <c r="C3" s="5" t="s">
        <v>48</v>
      </c>
      <c r="D3" s="5" t="s">
        <v>47</v>
      </c>
      <c r="E3" s="5" t="s">
        <v>48</v>
      </c>
      <c r="F3" s="5" t="s">
        <v>49</v>
      </c>
      <c r="G3" s="5" t="s">
        <v>50</v>
      </c>
      <c r="H3" s="6" t="s">
        <v>51</v>
      </c>
      <c r="I3" s="7" t="s">
        <v>52</v>
      </c>
      <c r="J3" s="5" t="s">
        <v>53</v>
      </c>
      <c r="K3" s="5" t="s">
        <v>54</v>
      </c>
      <c r="L3" s="8"/>
      <c r="M3" s="6" t="s">
        <v>55</v>
      </c>
      <c r="N3" s="8" t="s">
        <v>56</v>
      </c>
      <c r="O3" s="8" t="s">
        <v>57</v>
      </c>
      <c r="P3" s="8" t="s">
        <v>58</v>
      </c>
      <c r="Q3" s="8" t="s">
        <v>47</v>
      </c>
      <c r="R3" s="8"/>
      <c r="S3" s="8"/>
      <c r="T3" s="8"/>
    </row>
    <row r="4" spans="1:20">
      <c r="A4" s="2" t="s">
        <v>59</v>
      </c>
      <c r="B4" s="1"/>
      <c r="C4" s="1"/>
      <c r="D4" s="1"/>
      <c r="E4" s="1"/>
      <c r="F4" s="1"/>
      <c r="G4" s="1"/>
      <c r="H4" s="1"/>
      <c r="I4" s="1"/>
      <c r="J4" s="1"/>
      <c r="K4" s="1"/>
      <c r="L4" s="1"/>
      <c r="M4" s="1"/>
      <c r="N4" s="1"/>
      <c r="O4" s="1"/>
      <c r="P4" s="1"/>
      <c r="Q4" s="1"/>
      <c r="R4" s="1"/>
      <c r="S4" s="1"/>
      <c r="T4" s="1"/>
    </row>
    <row r="5" spans="1:20">
      <c r="A5" s="3" t="s">
        <v>60</v>
      </c>
      <c r="B5" s="1"/>
      <c r="C5" s="1"/>
      <c r="D5" s="4"/>
      <c r="E5" s="4"/>
      <c r="F5" s="4"/>
      <c r="G5" s="4"/>
      <c r="H5" s="1"/>
      <c r="I5" s="1"/>
      <c r="J5" s="1"/>
      <c r="K5" s="1"/>
      <c r="L5" s="1"/>
      <c r="M5" s="1"/>
      <c r="N5" s="1"/>
      <c r="O5" s="1"/>
      <c r="P5" s="1"/>
      <c r="Q5" s="1"/>
      <c r="R5" s="1"/>
      <c r="S5" s="1"/>
      <c r="T5" s="1"/>
    </row>
    <row r="6" spans="1:20">
      <c r="A6" s="3" t="s">
        <v>61</v>
      </c>
      <c r="B6" s="1"/>
      <c r="C6" s="1"/>
      <c r="D6" s="4"/>
      <c r="E6" s="4"/>
      <c r="F6" s="4"/>
      <c r="G6" s="4"/>
      <c r="H6" s="1"/>
      <c r="I6" s="1"/>
      <c r="J6" s="1"/>
      <c r="K6" s="1"/>
      <c r="L6" s="1"/>
      <c r="M6" s="1"/>
      <c r="N6" s="1"/>
      <c r="O6" s="1"/>
      <c r="P6" s="1"/>
      <c r="Q6" s="1"/>
      <c r="R6" s="1"/>
      <c r="S6" s="1"/>
      <c r="T6" s="1"/>
    </row>
    <row r="7" spans="1:20">
      <c r="A7" s="3" t="s">
        <v>62</v>
      </c>
      <c r="B7" s="1"/>
      <c r="C7" s="1"/>
      <c r="D7" s="1"/>
      <c r="E7" s="1"/>
      <c r="F7" s="1"/>
      <c r="G7" s="1"/>
      <c r="H7" s="1"/>
      <c r="I7" s="1"/>
      <c r="J7" s="1"/>
      <c r="K7" s="1"/>
      <c r="L7" s="1"/>
      <c r="M7" s="1"/>
      <c r="N7" s="1"/>
      <c r="O7" s="1"/>
      <c r="P7" s="1"/>
      <c r="Q7" s="1"/>
      <c r="R7" s="1"/>
      <c r="S7" s="1"/>
      <c r="T7" s="1"/>
    </row>
    <row r="8" spans="1:20">
      <c r="A8" s="3" t="s">
        <v>63</v>
      </c>
      <c r="B8" s="1"/>
      <c r="C8" s="1"/>
      <c r="D8" s="1"/>
      <c r="E8" s="1"/>
      <c r="F8" s="1"/>
      <c r="G8" s="1"/>
      <c r="H8" s="1"/>
      <c r="I8" s="1"/>
      <c r="J8" s="1"/>
      <c r="K8" s="1"/>
      <c r="L8" s="1"/>
      <c r="M8" s="1"/>
      <c r="N8" s="1"/>
      <c r="O8" s="1"/>
      <c r="P8" s="1"/>
      <c r="Q8" s="1"/>
      <c r="R8" s="1"/>
      <c r="S8" s="1"/>
      <c r="T8" s="1"/>
    </row>
    <row r="9" spans="1:20">
      <c r="A9" s="1"/>
      <c r="B9" s="1"/>
      <c r="C9" s="1"/>
      <c r="D9" s="1"/>
      <c r="E9" s="1"/>
      <c r="F9" s="1"/>
      <c r="G9" s="1"/>
      <c r="H9" s="1"/>
      <c r="I9" s="1"/>
      <c r="J9" s="1"/>
      <c r="K9" s="1"/>
      <c r="L9" s="1"/>
      <c r="M9" s="1"/>
      <c r="N9" s="1"/>
      <c r="O9" s="1"/>
      <c r="P9" s="1"/>
      <c r="Q9" s="1"/>
      <c r="R9" s="1"/>
      <c r="S9" s="1"/>
      <c r="T9" s="1"/>
    </row>
  </sheetData>
  <hyperlinks>
    <hyperlink ref="M3" r:id="rId1" xr:uid="{D2AAFC61-FBC7-483B-9F61-ACAD026BFFDA}"/>
    <hyperlink ref="H3" location="case_filing_receiver!A1" display="case_filing_receiver" xr:uid="{B5C0575B-DAAD-4F3A-A91A-008FD8AE833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67"/>
  <sheetViews>
    <sheetView showGridLines="0" tabSelected="1" topLeftCell="A2" zoomScaleNormal="100" workbookViewId="0">
      <selection activeCell="D17" sqref="D17"/>
    </sheetView>
  </sheetViews>
  <sheetFormatPr defaultColWidth="11.42578125" defaultRowHeight="14.45"/>
  <cols>
    <col min="1" max="3" width="29" customWidth="1"/>
    <col min="4" max="4" width="42" customWidth="1"/>
    <col min="5" max="6" width="48.42578125" customWidth="1"/>
    <col min="7" max="8" width="29" customWidth="1"/>
    <col min="9" max="9" width="40.5703125" customWidth="1"/>
    <col min="10" max="13" width="29" customWidth="1"/>
  </cols>
  <sheetData>
    <row r="1" spans="1:13" ht="30.95">
      <c r="A1" s="19" t="s">
        <v>14</v>
      </c>
      <c r="B1" s="20" t="s">
        <v>15</v>
      </c>
      <c r="C1" s="20" t="s">
        <v>6</v>
      </c>
      <c r="D1" s="20" t="s">
        <v>7</v>
      </c>
      <c r="E1" s="20" t="s">
        <v>64</v>
      </c>
      <c r="F1" s="20" t="s">
        <v>65</v>
      </c>
      <c r="G1" s="20" t="s">
        <v>66</v>
      </c>
      <c r="H1" s="20" t="s">
        <v>67</v>
      </c>
      <c r="I1" s="20" t="s">
        <v>68</v>
      </c>
      <c r="J1" s="20" t="s">
        <v>69</v>
      </c>
      <c r="K1" s="20" t="s">
        <v>70</v>
      </c>
      <c r="L1" s="20" t="s">
        <v>71</v>
      </c>
      <c r="M1" s="20" t="s">
        <v>72</v>
      </c>
    </row>
    <row r="2" spans="1:13" ht="46.5">
      <c r="A2" s="21" t="s">
        <v>32</v>
      </c>
      <c r="B2" s="21" t="s">
        <v>33</v>
      </c>
      <c r="C2" s="21" t="s">
        <v>73</v>
      </c>
      <c r="D2" s="21" t="s">
        <v>74</v>
      </c>
      <c r="E2" s="21" t="s">
        <v>75</v>
      </c>
      <c r="F2" s="21" t="s">
        <v>76</v>
      </c>
      <c r="G2" s="21" t="s">
        <v>77</v>
      </c>
      <c r="H2" s="21" t="s">
        <v>78</v>
      </c>
      <c r="I2" s="21" t="s">
        <v>79</v>
      </c>
      <c r="J2" s="21" t="s">
        <v>80</v>
      </c>
      <c r="K2" s="21" t="s">
        <v>81</v>
      </c>
      <c r="L2" s="21" t="s">
        <v>82</v>
      </c>
      <c r="M2" s="21" t="s">
        <v>81</v>
      </c>
    </row>
    <row r="3" spans="1:13">
      <c r="A3" s="22" t="s">
        <v>49</v>
      </c>
      <c r="B3" s="5" t="s">
        <v>50</v>
      </c>
      <c r="C3" s="23" t="s">
        <v>51</v>
      </c>
      <c r="D3" s="24" t="s">
        <v>83</v>
      </c>
      <c r="E3" s="24" t="str">
        <f>UPPER(F3)</f>
        <v>ID DEL CASO</v>
      </c>
      <c r="F3" s="24" t="s">
        <v>84</v>
      </c>
      <c r="G3" s="22" t="s">
        <v>56</v>
      </c>
      <c r="H3" s="22" t="s">
        <v>85</v>
      </c>
      <c r="I3" s="7">
        <v>53717226</v>
      </c>
      <c r="J3" s="22" t="s">
        <v>56</v>
      </c>
      <c r="K3" s="22" t="s">
        <v>86</v>
      </c>
      <c r="L3" s="22" t="s">
        <v>56</v>
      </c>
      <c r="M3" s="22" t="s">
        <v>56</v>
      </c>
    </row>
    <row r="4" spans="1:13">
      <c r="A4" s="22" t="s">
        <v>49</v>
      </c>
      <c r="B4" s="5" t="s">
        <v>50</v>
      </c>
      <c r="C4" s="23" t="s">
        <v>51</v>
      </c>
      <c r="D4" s="24" t="s">
        <v>87</v>
      </c>
      <c r="E4" s="24" t="str">
        <f t="shared" ref="E4:E65" si="0">UPPER(F4)</f>
        <v>TIPO DE CASO</v>
      </c>
      <c r="F4" s="24" t="s">
        <v>88</v>
      </c>
      <c r="G4" s="22" t="s">
        <v>56</v>
      </c>
      <c r="H4" s="22" t="s">
        <v>85</v>
      </c>
      <c r="I4" s="7" t="s">
        <v>89</v>
      </c>
      <c r="J4" s="22" t="s">
        <v>56</v>
      </c>
      <c r="K4" s="22" t="s">
        <v>86</v>
      </c>
      <c r="L4" s="22" t="s">
        <v>56</v>
      </c>
      <c r="M4" s="22" t="s">
        <v>56</v>
      </c>
    </row>
    <row r="5" spans="1:13" ht="15">
      <c r="A5" s="22" t="s">
        <v>49</v>
      </c>
      <c r="B5" s="5" t="s">
        <v>50</v>
      </c>
      <c r="C5" s="23" t="s">
        <v>51</v>
      </c>
      <c r="D5" s="24" t="s">
        <v>90</v>
      </c>
      <c r="E5" s="24" t="str">
        <f t="shared" si="0"/>
        <v>NUMERO VIRTUAL</v>
      </c>
      <c r="F5" s="24" t="s">
        <v>91</v>
      </c>
      <c r="G5" s="22" t="s">
        <v>56</v>
      </c>
      <c r="H5" s="22" t="s">
        <v>85</v>
      </c>
      <c r="I5" s="7"/>
      <c r="J5" s="22" t="s">
        <v>56</v>
      </c>
      <c r="K5" s="22" t="s">
        <v>86</v>
      </c>
      <c r="L5" s="22" t="s">
        <v>56</v>
      </c>
      <c r="M5" s="22" t="s">
        <v>56</v>
      </c>
    </row>
    <row r="6" spans="1:13">
      <c r="A6" s="22" t="s">
        <v>49</v>
      </c>
      <c r="B6" s="5" t="s">
        <v>50</v>
      </c>
      <c r="C6" s="23" t="s">
        <v>51</v>
      </c>
      <c r="D6" s="24" t="s">
        <v>92</v>
      </c>
      <c r="E6" s="24" t="str">
        <f t="shared" si="0"/>
        <v>CODIGO RAZON DEL CONTRACARGO</v>
      </c>
      <c r="F6" s="24" t="s">
        <v>93</v>
      </c>
      <c r="G6" s="22" t="s">
        <v>56</v>
      </c>
      <c r="H6" s="22" t="s">
        <v>85</v>
      </c>
      <c r="I6" s="7">
        <v>4837</v>
      </c>
      <c r="J6" s="22" t="s">
        <v>56</v>
      </c>
      <c r="K6" s="22" t="s">
        <v>86</v>
      </c>
      <c r="L6" s="22" t="s">
        <v>56</v>
      </c>
      <c r="M6" s="22" t="s">
        <v>56</v>
      </c>
    </row>
    <row r="7" spans="1:13">
      <c r="A7" s="22" t="s">
        <v>49</v>
      </c>
      <c r="B7" s="5" t="s">
        <v>50</v>
      </c>
      <c r="C7" s="23" t="s">
        <v>51</v>
      </c>
      <c r="D7" s="24" t="s">
        <v>94</v>
      </c>
      <c r="E7" s="24" t="str">
        <f t="shared" si="0"/>
        <v>CODIGO DE INFRACCION</v>
      </c>
      <c r="F7" s="24" t="s">
        <v>95</v>
      </c>
      <c r="G7" s="22" t="s">
        <v>56</v>
      </c>
      <c r="H7" s="22" t="s">
        <v>85</v>
      </c>
      <c r="I7" s="7"/>
      <c r="J7" s="22" t="s">
        <v>56</v>
      </c>
      <c r="K7" s="22" t="s">
        <v>86</v>
      </c>
      <c r="L7" s="22" t="s">
        <v>56</v>
      </c>
      <c r="M7" s="22" t="s">
        <v>56</v>
      </c>
    </row>
    <row r="8" spans="1:13">
      <c r="A8" s="22" t="s">
        <v>49</v>
      </c>
      <c r="B8" s="5" t="s">
        <v>50</v>
      </c>
      <c r="C8" s="23" t="s">
        <v>51</v>
      </c>
      <c r="D8" s="24" t="s">
        <v>96</v>
      </c>
      <c r="E8" s="24" t="str">
        <f t="shared" si="0"/>
        <v>REFERENCIA</v>
      </c>
      <c r="F8" s="24" t="s">
        <v>97</v>
      </c>
      <c r="G8" s="22" t="s">
        <v>56</v>
      </c>
      <c r="H8" s="22" t="s">
        <v>85</v>
      </c>
      <c r="I8" s="7"/>
      <c r="J8" s="22" t="s">
        <v>56</v>
      </c>
      <c r="K8" s="22" t="s">
        <v>86</v>
      </c>
      <c r="L8" s="22" t="s">
        <v>56</v>
      </c>
      <c r="M8" s="22" t="s">
        <v>56</v>
      </c>
    </row>
    <row r="9" spans="1:13">
      <c r="A9" s="22" t="s">
        <v>49</v>
      </c>
      <c r="B9" s="5" t="s">
        <v>50</v>
      </c>
      <c r="C9" s="23" t="s">
        <v>51</v>
      </c>
      <c r="D9" s="24" t="s">
        <v>98</v>
      </c>
      <c r="E9" s="24" t="str">
        <f t="shared" si="0"/>
        <v>FECHA DE INFRACCION</v>
      </c>
      <c r="F9" s="24" t="s">
        <v>99</v>
      </c>
      <c r="G9" s="22" t="s">
        <v>56</v>
      </c>
      <c r="H9" s="22" t="s">
        <v>85</v>
      </c>
      <c r="I9" s="7"/>
      <c r="J9" s="22" t="s">
        <v>56</v>
      </c>
      <c r="K9" s="22" t="s">
        <v>86</v>
      </c>
      <c r="L9" s="22" t="s">
        <v>56</v>
      </c>
      <c r="M9" s="22" t="s">
        <v>56</v>
      </c>
    </row>
    <row r="10" spans="1:13">
      <c r="A10" s="22" t="s">
        <v>49</v>
      </c>
      <c r="B10" s="5" t="s">
        <v>50</v>
      </c>
      <c r="C10" s="23" t="s">
        <v>51</v>
      </c>
      <c r="D10" s="24" t="s">
        <v>100</v>
      </c>
      <c r="E10" s="24" t="str">
        <f t="shared" si="0"/>
        <v>MONTO EN DISPUTA</v>
      </c>
      <c r="F10" s="24" t="s">
        <v>101</v>
      </c>
      <c r="G10" s="22" t="s">
        <v>56</v>
      </c>
      <c r="H10" s="22" t="s">
        <v>85</v>
      </c>
      <c r="I10" s="7">
        <v>55.75</v>
      </c>
      <c r="J10" s="22" t="s">
        <v>56</v>
      </c>
      <c r="K10" s="22" t="s">
        <v>86</v>
      </c>
      <c r="L10" s="22" t="s">
        <v>56</v>
      </c>
      <c r="M10" s="22" t="s">
        <v>56</v>
      </c>
    </row>
    <row r="11" spans="1:13">
      <c r="A11" s="22" t="s">
        <v>49</v>
      </c>
      <c r="B11" s="5" t="s">
        <v>50</v>
      </c>
      <c r="C11" s="23" t="s">
        <v>51</v>
      </c>
      <c r="D11" s="24" t="s">
        <v>102</v>
      </c>
      <c r="E11" s="24" t="str">
        <f t="shared" si="0"/>
        <v>CODIGO DE MONEDA</v>
      </c>
      <c r="F11" s="24" t="s">
        <v>103</v>
      </c>
      <c r="G11" s="22" t="s">
        <v>56</v>
      </c>
      <c r="H11" s="22" t="s">
        <v>85</v>
      </c>
      <c r="I11" s="7" t="s">
        <v>104</v>
      </c>
      <c r="J11" s="22" t="s">
        <v>56</v>
      </c>
      <c r="K11" s="22" t="s">
        <v>86</v>
      </c>
      <c r="L11" s="22" t="s">
        <v>56</v>
      </c>
      <c r="M11" s="22" t="s">
        <v>56</v>
      </c>
    </row>
    <row r="12" spans="1:13">
      <c r="A12" s="22" t="s">
        <v>49</v>
      </c>
      <c r="B12" s="5" t="s">
        <v>50</v>
      </c>
      <c r="C12" s="23" t="s">
        <v>51</v>
      </c>
      <c r="D12" s="24" t="s">
        <v>105</v>
      </c>
      <c r="E12" s="24" t="str">
        <f t="shared" si="0"/>
        <v>ARD DE LA TRANSACCION</v>
      </c>
      <c r="F12" s="24" t="s">
        <v>106</v>
      </c>
      <c r="G12" s="22" t="s">
        <v>56</v>
      </c>
      <c r="H12" s="22" t="s">
        <v>85</v>
      </c>
      <c r="I12" s="7">
        <v>7.53015051550012E+22</v>
      </c>
      <c r="J12" s="22" t="s">
        <v>56</v>
      </c>
      <c r="K12" s="22" t="s">
        <v>86</v>
      </c>
      <c r="L12" s="22" t="s">
        <v>56</v>
      </c>
      <c r="M12" s="22" t="s">
        <v>56</v>
      </c>
    </row>
    <row r="13" spans="1:13">
      <c r="A13" s="22" t="s">
        <v>49</v>
      </c>
      <c r="B13" s="5" t="s">
        <v>50</v>
      </c>
      <c r="C13" s="23" t="s">
        <v>51</v>
      </c>
      <c r="D13" s="24" t="s">
        <v>107</v>
      </c>
      <c r="E13" s="24" t="str">
        <f t="shared" si="0"/>
        <v>NUMERO DE CONTROL DEL CONTRACARGO</v>
      </c>
      <c r="F13" s="24" t="s">
        <v>108</v>
      </c>
      <c r="G13" s="22" t="s">
        <v>56</v>
      </c>
      <c r="H13" s="22" t="s">
        <v>85</v>
      </c>
      <c r="I13" s="7">
        <v>9306132515</v>
      </c>
      <c r="J13" s="22" t="s">
        <v>56</v>
      </c>
      <c r="K13" s="22" t="s">
        <v>86</v>
      </c>
      <c r="L13" s="22" t="s">
        <v>56</v>
      </c>
      <c r="M13" s="22" t="s">
        <v>56</v>
      </c>
    </row>
    <row r="14" spans="1:13">
      <c r="A14" s="22" t="s">
        <v>49</v>
      </c>
      <c r="B14" s="5" t="s">
        <v>50</v>
      </c>
      <c r="C14" s="23" t="s">
        <v>51</v>
      </c>
      <c r="D14" s="24" t="s">
        <v>109</v>
      </c>
      <c r="E14" s="24" t="str">
        <f t="shared" si="0"/>
        <v>ICA DEL EMISOR</v>
      </c>
      <c r="F14" s="24" t="s">
        <v>110</v>
      </c>
      <c r="G14" s="22" t="s">
        <v>56</v>
      </c>
      <c r="H14" s="22" t="s">
        <v>85</v>
      </c>
      <c r="I14" s="7">
        <v>14936</v>
      </c>
      <c r="J14" s="22" t="s">
        <v>56</v>
      </c>
      <c r="K14" s="22" t="s">
        <v>86</v>
      </c>
      <c r="L14" s="22" t="s">
        <v>56</v>
      </c>
      <c r="M14" s="22" t="s">
        <v>56</v>
      </c>
    </row>
    <row r="15" spans="1:13">
      <c r="A15" s="22" t="s">
        <v>49</v>
      </c>
      <c r="B15" s="5" t="s">
        <v>50</v>
      </c>
      <c r="C15" s="23" t="s">
        <v>51</v>
      </c>
      <c r="D15" s="24" t="s">
        <v>111</v>
      </c>
      <c r="E15" s="24" t="str">
        <f t="shared" si="0"/>
        <v>ICA DEL ADQUIRENTE (IZIPAY)</v>
      </c>
      <c r="F15" s="24" t="s">
        <v>112</v>
      </c>
      <c r="G15" s="22" t="s">
        <v>56</v>
      </c>
      <c r="H15" s="22" t="s">
        <v>85</v>
      </c>
      <c r="I15" s="7">
        <v>7963</v>
      </c>
      <c r="J15" s="22" t="s">
        <v>56</v>
      </c>
      <c r="K15" s="22" t="s">
        <v>86</v>
      </c>
      <c r="L15" s="22" t="s">
        <v>56</v>
      </c>
      <c r="M15" s="22" t="s">
        <v>56</v>
      </c>
    </row>
    <row r="16" spans="1:13">
      <c r="A16" s="22" t="s">
        <v>49</v>
      </c>
      <c r="B16" s="5" t="s">
        <v>50</v>
      </c>
      <c r="C16" s="23" t="s">
        <v>51</v>
      </c>
      <c r="D16" s="24" t="s">
        <v>113</v>
      </c>
      <c r="E16" s="24" t="str">
        <f t="shared" si="0"/>
        <v>REGION DEL EMISOR</v>
      </c>
      <c r="F16" s="24" t="s">
        <v>114</v>
      </c>
      <c r="G16" s="22" t="s">
        <v>56</v>
      </c>
      <c r="H16" s="22" t="s">
        <v>85</v>
      </c>
      <c r="I16" s="7" t="s">
        <v>115</v>
      </c>
      <c r="J16" s="22" t="s">
        <v>56</v>
      </c>
      <c r="K16" s="22" t="s">
        <v>86</v>
      </c>
      <c r="L16" s="22" t="s">
        <v>56</v>
      </c>
      <c r="M16" s="22" t="s">
        <v>56</v>
      </c>
    </row>
    <row r="17" spans="1:13">
      <c r="A17" s="22" t="s">
        <v>49</v>
      </c>
      <c r="B17" s="5" t="s">
        <v>50</v>
      </c>
      <c r="C17" s="23" t="s">
        <v>51</v>
      </c>
      <c r="D17" s="24" t="s">
        <v>116</v>
      </c>
      <c r="E17" s="24" t="str">
        <f t="shared" si="0"/>
        <v>REGION DEL ADQUIRENTE</v>
      </c>
      <c r="F17" s="24" t="s">
        <v>117</v>
      </c>
      <c r="G17" s="22" t="s">
        <v>56</v>
      </c>
      <c r="H17" s="22" t="s">
        <v>85</v>
      </c>
      <c r="I17" s="7" t="s">
        <v>115</v>
      </c>
      <c r="J17" s="22" t="s">
        <v>56</v>
      </c>
      <c r="K17" s="22" t="s">
        <v>86</v>
      </c>
      <c r="L17" s="22" t="s">
        <v>56</v>
      </c>
      <c r="M17" s="22" t="s">
        <v>56</v>
      </c>
    </row>
    <row r="18" spans="1:13">
      <c r="A18" s="22" t="s">
        <v>49</v>
      </c>
      <c r="B18" s="5" t="s">
        <v>50</v>
      </c>
      <c r="C18" s="23" t="s">
        <v>51</v>
      </c>
      <c r="D18" s="24" t="s">
        <v>118</v>
      </c>
      <c r="E18" s="24" t="str">
        <f t="shared" si="0"/>
        <v>NUMERO DE MIEMBRO</v>
      </c>
      <c r="F18" s="24" t="s">
        <v>119</v>
      </c>
      <c r="G18" s="22" t="s">
        <v>56</v>
      </c>
      <c r="H18" s="22" t="s">
        <v>85</v>
      </c>
      <c r="I18" s="7"/>
      <c r="J18" s="22" t="s">
        <v>56</v>
      </c>
      <c r="K18" s="22" t="s">
        <v>86</v>
      </c>
      <c r="L18" s="22" t="s">
        <v>56</v>
      </c>
      <c r="M18" s="22" t="s">
        <v>56</v>
      </c>
    </row>
    <row r="19" spans="1:13">
      <c r="A19" s="22" t="s">
        <v>49</v>
      </c>
      <c r="B19" s="5" t="s">
        <v>50</v>
      </c>
      <c r="C19" s="23" t="s">
        <v>51</v>
      </c>
      <c r="D19" s="24" t="s">
        <v>120</v>
      </c>
      <c r="E19" s="24" t="str">
        <f t="shared" si="0"/>
        <v>FECHA DE VENCIMIENTO DE LA RESPUESTA</v>
      </c>
      <c r="F19" s="24" t="s">
        <v>121</v>
      </c>
      <c r="G19" s="22" t="s">
        <v>56</v>
      </c>
      <c r="H19" s="22" t="s">
        <v>85</v>
      </c>
      <c r="I19" s="27">
        <v>45932</v>
      </c>
      <c r="J19" s="22" t="s">
        <v>56</v>
      </c>
      <c r="K19" s="22" t="s">
        <v>86</v>
      </c>
      <c r="L19" s="22" t="s">
        <v>56</v>
      </c>
      <c r="M19" s="22" t="s">
        <v>56</v>
      </c>
    </row>
    <row r="20" spans="1:13">
      <c r="A20" s="22" t="s">
        <v>49</v>
      </c>
      <c r="B20" s="5" t="s">
        <v>50</v>
      </c>
      <c r="C20" s="23" t="s">
        <v>51</v>
      </c>
      <c r="D20" s="26" t="s">
        <v>122</v>
      </c>
      <c r="E20" s="24" t="str">
        <f t="shared" si="0"/>
        <v>NOMBRE COMERCIO</v>
      </c>
      <c r="F20" s="24" t="s">
        <v>123</v>
      </c>
      <c r="G20" s="22" t="s">
        <v>86</v>
      </c>
      <c r="H20" s="22" t="s">
        <v>85</v>
      </c>
      <c r="I20" s="7" t="s">
        <v>124</v>
      </c>
      <c r="J20" s="22" t="s">
        <v>56</v>
      </c>
      <c r="K20" s="22" t="s">
        <v>86</v>
      </c>
      <c r="L20" s="22" t="s">
        <v>56</v>
      </c>
      <c r="M20" s="22" t="s">
        <v>56</v>
      </c>
    </row>
    <row r="21" spans="1:13">
      <c r="A21" s="22" t="s">
        <v>49</v>
      </c>
      <c r="B21" s="5" t="s">
        <v>50</v>
      </c>
      <c r="C21" s="23" t="s">
        <v>51</v>
      </c>
      <c r="D21" s="24" t="s">
        <v>125</v>
      </c>
      <c r="E21" s="24" t="str">
        <f t="shared" si="0"/>
        <v>NOMBRE DEL COMERCIO LIMPIADO</v>
      </c>
      <c r="F21" s="24" t="s">
        <v>126</v>
      </c>
      <c r="G21" s="22" t="s">
        <v>56</v>
      </c>
      <c r="H21" s="22" t="s">
        <v>85</v>
      </c>
      <c r="I21" s="7"/>
      <c r="J21" s="22" t="s">
        <v>56</v>
      </c>
      <c r="K21" s="22" t="s">
        <v>86</v>
      </c>
      <c r="L21" s="22" t="s">
        <v>56</v>
      </c>
      <c r="M21" s="22" t="s">
        <v>56</v>
      </c>
    </row>
    <row r="22" spans="1:13">
      <c r="A22" s="22" t="s">
        <v>49</v>
      </c>
      <c r="B22" s="5" t="s">
        <v>50</v>
      </c>
      <c r="C22" s="23" t="s">
        <v>51</v>
      </c>
      <c r="D22" s="24" t="s">
        <v>127</v>
      </c>
      <c r="E22" s="24" t="str">
        <f t="shared" si="0"/>
        <v>TELEFONO DEL COMERCIO LIMPIADO</v>
      </c>
      <c r="F22" s="24" t="s">
        <v>128</v>
      </c>
      <c r="G22" s="22" t="s">
        <v>56</v>
      </c>
      <c r="H22" s="22" t="s">
        <v>85</v>
      </c>
      <c r="I22" s="7"/>
      <c r="J22" s="22" t="s">
        <v>56</v>
      </c>
      <c r="K22" s="22" t="s">
        <v>86</v>
      </c>
      <c r="L22" s="22" t="s">
        <v>56</v>
      </c>
      <c r="M22" s="22" t="s">
        <v>56</v>
      </c>
    </row>
    <row r="23" spans="1:13">
      <c r="A23" s="22" t="s">
        <v>49</v>
      </c>
      <c r="B23" s="5" t="s">
        <v>50</v>
      </c>
      <c r="C23" s="23" t="s">
        <v>51</v>
      </c>
      <c r="D23" s="24" t="s">
        <v>129</v>
      </c>
      <c r="E23" s="24" t="str">
        <f t="shared" si="0"/>
        <v>ARCHIVADO COMO</v>
      </c>
      <c r="F23" s="24" t="s">
        <v>130</v>
      </c>
      <c r="G23" s="22" t="s">
        <v>56</v>
      </c>
      <c r="H23" s="22" t="s">
        <v>85</v>
      </c>
      <c r="I23" s="7" t="s">
        <v>131</v>
      </c>
      <c r="J23" s="22" t="s">
        <v>56</v>
      </c>
      <c r="K23" s="22" t="s">
        <v>86</v>
      </c>
      <c r="L23" s="22" t="s">
        <v>56</v>
      </c>
      <c r="M23" s="22" t="s">
        <v>56</v>
      </c>
    </row>
    <row r="24" spans="1:13">
      <c r="A24" s="22" t="s">
        <v>49</v>
      </c>
      <c r="B24" s="5" t="s">
        <v>50</v>
      </c>
      <c r="C24" s="23" t="s">
        <v>51</v>
      </c>
      <c r="D24" s="24" t="s">
        <v>132</v>
      </c>
      <c r="E24" s="24" t="str">
        <f t="shared" si="0"/>
        <v>ID USUARIO QUE REGISTRÓ EL PREARBITRAJE</v>
      </c>
      <c r="F24" s="24" t="s">
        <v>133</v>
      </c>
      <c r="G24" s="22" t="s">
        <v>56</v>
      </c>
      <c r="H24" s="22" t="s">
        <v>85</v>
      </c>
      <c r="I24" s="7" t="s">
        <v>134</v>
      </c>
      <c r="J24" s="22" t="s">
        <v>56</v>
      </c>
      <c r="K24" s="22" t="s">
        <v>86</v>
      </c>
      <c r="L24" s="22" t="s">
        <v>56</v>
      </c>
      <c r="M24" s="22" t="s">
        <v>56</v>
      </c>
    </row>
    <row r="25" spans="1:13">
      <c r="A25" s="22" t="s">
        <v>49</v>
      </c>
      <c r="B25" s="5" t="s">
        <v>50</v>
      </c>
      <c r="C25" s="23" t="s">
        <v>51</v>
      </c>
      <c r="D25" s="24" t="s">
        <v>135</v>
      </c>
      <c r="E25" s="24" t="str">
        <f t="shared" si="0"/>
        <v>FECHA DE ENVIO</v>
      </c>
      <c r="F25" s="24" t="s">
        <v>136</v>
      </c>
      <c r="G25" s="22" t="s">
        <v>56</v>
      </c>
      <c r="H25" s="22" t="s">
        <v>85</v>
      </c>
      <c r="I25" s="7" t="s">
        <v>137</v>
      </c>
      <c r="J25" s="22" t="s">
        <v>56</v>
      </c>
      <c r="K25" s="22" t="s">
        <v>86</v>
      </c>
      <c r="L25" s="22" t="s">
        <v>56</v>
      </c>
      <c r="M25" s="22" t="s">
        <v>56</v>
      </c>
    </row>
    <row r="26" spans="1:13">
      <c r="A26" s="22" t="s">
        <v>49</v>
      </c>
      <c r="B26" s="5" t="s">
        <v>50</v>
      </c>
      <c r="C26" s="23" t="s">
        <v>51</v>
      </c>
      <c r="D26" s="24" t="s">
        <v>138</v>
      </c>
      <c r="E26" s="24" t="str">
        <f t="shared" si="0"/>
        <v>ID DE USUARIO DE REFUTACIÓN</v>
      </c>
      <c r="F26" s="24" t="s">
        <v>139</v>
      </c>
      <c r="G26" s="22" t="s">
        <v>56</v>
      </c>
      <c r="H26" s="22" t="s">
        <v>85</v>
      </c>
      <c r="I26" s="7"/>
      <c r="J26" s="22" t="s">
        <v>56</v>
      </c>
      <c r="K26" s="22" t="s">
        <v>86</v>
      </c>
      <c r="L26" s="22" t="s">
        <v>56</v>
      </c>
      <c r="M26" s="22" t="s">
        <v>56</v>
      </c>
    </row>
    <row r="27" spans="1:13">
      <c r="A27" s="22" t="s">
        <v>49</v>
      </c>
      <c r="B27" s="5" t="s">
        <v>50</v>
      </c>
      <c r="C27" s="23" t="s">
        <v>51</v>
      </c>
      <c r="D27" s="24" t="s">
        <v>140</v>
      </c>
      <c r="E27" s="24" t="str">
        <f t="shared" si="0"/>
        <v>FECHA DE REFUTACIÓN</v>
      </c>
      <c r="F27" s="24" t="s">
        <v>141</v>
      </c>
      <c r="G27" s="22" t="s">
        <v>56</v>
      </c>
      <c r="H27" s="22" t="s">
        <v>85</v>
      </c>
      <c r="I27" s="7"/>
      <c r="J27" s="22" t="s">
        <v>56</v>
      </c>
      <c r="K27" s="22" t="s">
        <v>86</v>
      </c>
      <c r="L27" s="22" t="s">
        <v>56</v>
      </c>
      <c r="M27" s="22" t="s">
        <v>56</v>
      </c>
    </row>
    <row r="28" spans="1:13">
      <c r="A28" s="22" t="s">
        <v>49</v>
      </c>
      <c r="B28" s="5" t="s">
        <v>50</v>
      </c>
      <c r="C28" s="23" t="s">
        <v>51</v>
      </c>
      <c r="D28" s="24" t="s">
        <v>142</v>
      </c>
      <c r="E28" s="24" t="str">
        <f t="shared" si="0"/>
        <v>RECHAZADO POR ID DE USUARIO</v>
      </c>
      <c r="F28" s="24" t="s">
        <v>143</v>
      </c>
      <c r="G28" s="22" t="s">
        <v>56</v>
      </c>
      <c r="H28" s="22" t="s">
        <v>85</v>
      </c>
      <c r="I28" s="7"/>
      <c r="J28" s="22" t="s">
        <v>56</v>
      </c>
      <c r="K28" s="22" t="s">
        <v>86</v>
      </c>
      <c r="L28" s="22" t="s">
        <v>56</v>
      </c>
      <c r="M28" s="22" t="s">
        <v>56</v>
      </c>
    </row>
    <row r="29" spans="1:13">
      <c r="A29" s="22" t="s">
        <v>49</v>
      </c>
      <c r="B29" s="5" t="s">
        <v>50</v>
      </c>
      <c r="C29" s="23" t="s">
        <v>51</v>
      </c>
      <c r="D29" s="24" t="s">
        <v>144</v>
      </c>
      <c r="E29" s="24" t="str">
        <f t="shared" si="0"/>
        <v>FECHA DE RECHAZO</v>
      </c>
      <c r="F29" s="24" t="s">
        <v>145</v>
      </c>
      <c r="G29" s="22" t="s">
        <v>56</v>
      </c>
      <c r="H29" s="22" t="s">
        <v>85</v>
      </c>
      <c r="I29" s="7"/>
      <c r="J29" s="22" t="s">
        <v>56</v>
      </c>
      <c r="K29" s="22" t="s">
        <v>86</v>
      </c>
      <c r="L29" s="22" t="s">
        <v>56</v>
      </c>
      <c r="M29" s="22" t="s">
        <v>56</v>
      </c>
    </row>
    <row r="30" spans="1:13">
      <c r="A30" s="22" t="s">
        <v>49</v>
      </c>
      <c r="B30" s="5" t="s">
        <v>50</v>
      </c>
      <c r="C30" s="23" t="s">
        <v>51</v>
      </c>
      <c r="D30" s="24" t="s">
        <v>146</v>
      </c>
      <c r="E30" s="24" t="str">
        <f t="shared" si="0"/>
        <v>ESCALADO POR ID DE USUARIO</v>
      </c>
      <c r="F30" s="24" t="s">
        <v>147</v>
      </c>
      <c r="G30" s="22" t="s">
        <v>56</v>
      </c>
      <c r="H30" s="22" t="s">
        <v>85</v>
      </c>
      <c r="I30" s="7"/>
      <c r="J30" s="22" t="s">
        <v>56</v>
      </c>
      <c r="K30" s="22" t="s">
        <v>86</v>
      </c>
      <c r="L30" s="22" t="s">
        <v>56</v>
      </c>
      <c r="M30" s="22" t="s">
        <v>56</v>
      </c>
    </row>
    <row r="31" spans="1:13">
      <c r="A31" s="22" t="s">
        <v>49</v>
      </c>
      <c r="B31" s="5" t="s">
        <v>50</v>
      </c>
      <c r="C31" s="23" t="s">
        <v>51</v>
      </c>
      <c r="D31" s="24" t="s">
        <v>148</v>
      </c>
      <c r="E31" s="24" t="str">
        <f t="shared" si="0"/>
        <v>FECHA DE ESCALAMIENTO</v>
      </c>
      <c r="F31" s="24" t="s">
        <v>149</v>
      </c>
      <c r="G31" s="22" t="s">
        <v>56</v>
      </c>
      <c r="H31" s="22" t="s">
        <v>85</v>
      </c>
      <c r="I31" s="7"/>
      <c r="J31" s="22" t="s">
        <v>56</v>
      </c>
      <c r="K31" s="22" t="s">
        <v>86</v>
      </c>
      <c r="L31" s="22" t="s">
        <v>56</v>
      </c>
      <c r="M31" s="22" t="s">
        <v>56</v>
      </c>
    </row>
    <row r="32" spans="1:13">
      <c r="A32" s="22" t="s">
        <v>49</v>
      </c>
      <c r="B32" s="5" t="s">
        <v>50</v>
      </c>
      <c r="C32" s="23" t="s">
        <v>51</v>
      </c>
      <c r="D32" s="24" t="s">
        <v>150</v>
      </c>
      <c r="E32" s="24" t="str">
        <f t="shared" si="0"/>
        <v>FECHA DE ACEPTACIÓN</v>
      </c>
      <c r="F32" s="24" t="s">
        <v>151</v>
      </c>
      <c r="G32" s="22" t="s">
        <v>56</v>
      </c>
      <c r="H32" s="22" t="s">
        <v>85</v>
      </c>
      <c r="I32" s="27">
        <v>45932</v>
      </c>
      <c r="J32" s="22" t="s">
        <v>56</v>
      </c>
      <c r="K32" s="22" t="s">
        <v>86</v>
      </c>
      <c r="L32" s="22" t="s">
        <v>56</v>
      </c>
      <c r="M32" s="22" t="s">
        <v>56</v>
      </c>
    </row>
    <row r="33" spans="1:13">
      <c r="A33" s="22" t="s">
        <v>49</v>
      </c>
      <c r="B33" s="5" t="s">
        <v>50</v>
      </c>
      <c r="C33" s="23" t="s">
        <v>51</v>
      </c>
      <c r="D33" s="24" t="s">
        <v>152</v>
      </c>
      <c r="E33" s="24" t="str">
        <f t="shared" si="0"/>
        <v>ID DE USUARIO ACEPTADO</v>
      </c>
      <c r="F33" s="24" t="s">
        <v>153</v>
      </c>
      <c r="G33" s="22" t="s">
        <v>56</v>
      </c>
      <c r="H33" s="22" t="s">
        <v>85</v>
      </c>
      <c r="I33" s="7" t="s">
        <v>154</v>
      </c>
      <c r="J33" s="22" t="s">
        <v>56</v>
      </c>
      <c r="K33" s="22" t="s">
        <v>86</v>
      </c>
      <c r="L33" s="22" t="s">
        <v>56</v>
      </c>
      <c r="M33" s="22" t="s">
        <v>56</v>
      </c>
    </row>
    <row r="34" spans="1:13">
      <c r="A34" s="22" t="s">
        <v>49</v>
      </c>
      <c r="B34" s="5" t="s">
        <v>50</v>
      </c>
      <c r="C34" s="23" t="s">
        <v>51</v>
      </c>
      <c r="D34" s="24" t="s">
        <v>155</v>
      </c>
      <c r="E34" s="24" t="str">
        <f t="shared" si="0"/>
        <v>ID DE USUARIO DE RETIRO</v>
      </c>
      <c r="F34" s="24" t="s">
        <v>156</v>
      </c>
      <c r="G34" s="22" t="s">
        <v>56</v>
      </c>
      <c r="H34" s="22" t="s">
        <v>85</v>
      </c>
      <c r="I34" s="7"/>
      <c r="J34" s="22" t="s">
        <v>56</v>
      </c>
      <c r="K34" s="22" t="s">
        <v>86</v>
      </c>
      <c r="L34" s="22" t="s">
        <v>56</v>
      </c>
      <c r="M34" s="22" t="s">
        <v>56</v>
      </c>
    </row>
    <row r="35" spans="1:13">
      <c r="A35" s="22" t="s">
        <v>49</v>
      </c>
      <c r="B35" s="5" t="s">
        <v>50</v>
      </c>
      <c r="C35" s="23" t="s">
        <v>51</v>
      </c>
      <c r="D35" s="24" t="s">
        <v>157</v>
      </c>
      <c r="E35" s="24" t="str">
        <f t="shared" si="0"/>
        <v>ICA DE RETIRO</v>
      </c>
      <c r="F35" s="24" t="s">
        <v>158</v>
      </c>
      <c r="G35" s="22" t="s">
        <v>56</v>
      </c>
      <c r="H35" s="22" t="s">
        <v>85</v>
      </c>
      <c r="I35" s="7"/>
      <c r="J35" s="22" t="s">
        <v>56</v>
      </c>
      <c r="K35" s="22" t="s">
        <v>86</v>
      </c>
      <c r="L35" s="22" t="s">
        <v>56</v>
      </c>
      <c r="M35" s="22" t="s">
        <v>56</v>
      </c>
    </row>
    <row r="36" spans="1:13">
      <c r="A36" s="22" t="s">
        <v>49</v>
      </c>
      <c r="B36" s="5" t="s">
        <v>50</v>
      </c>
      <c r="C36" s="23" t="s">
        <v>51</v>
      </c>
      <c r="D36" s="24" t="s">
        <v>159</v>
      </c>
      <c r="E36" s="24" t="str">
        <f t="shared" si="0"/>
        <v>FECHA DE RETIRO</v>
      </c>
      <c r="F36" s="24" t="s">
        <v>160</v>
      </c>
      <c r="G36" s="22" t="s">
        <v>56</v>
      </c>
      <c r="H36" s="22" t="s">
        <v>85</v>
      </c>
      <c r="I36" s="7"/>
      <c r="J36" s="22" t="s">
        <v>56</v>
      </c>
      <c r="K36" s="22" t="s">
        <v>86</v>
      </c>
      <c r="L36" s="22" t="s">
        <v>56</v>
      </c>
      <c r="M36" s="22" t="s">
        <v>56</v>
      </c>
    </row>
    <row r="37" spans="1:13">
      <c r="A37" s="22" t="s">
        <v>49</v>
      </c>
      <c r="B37" s="5" t="s">
        <v>50</v>
      </c>
      <c r="C37" s="23" t="s">
        <v>51</v>
      </c>
      <c r="D37" s="24" t="s">
        <v>161</v>
      </c>
      <c r="E37" s="24" t="str">
        <f t="shared" si="0"/>
        <v>SENTENCIA</v>
      </c>
      <c r="F37" s="24" t="s">
        <v>162</v>
      </c>
      <c r="G37" s="22" t="s">
        <v>56</v>
      </c>
      <c r="H37" s="22" t="s">
        <v>85</v>
      </c>
      <c r="I37" s="7"/>
      <c r="J37" s="22" t="s">
        <v>56</v>
      </c>
      <c r="K37" s="22" t="s">
        <v>86</v>
      </c>
      <c r="L37" s="22" t="s">
        <v>56</v>
      </c>
      <c r="M37" s="22" t="s">
        <v>56</v>
      </c>
    </row>
    <row r="38" spans="1:13">
      <c r="A38" s="22" t="s">
        <v>49</v>
      </c>
      <c r="B38" s="5" t="s">
        <v>50</v>
      </c>
      <c r="C38" s="23" t="s">
        <v>51</v>
      </c>
      <c r="D38" s="24" t="s">
        <v>163</v>
      </c>
      <c r="E38" s="24" t="str">
        <f t="shared" si="0"/>
        <v>FECHA DE LA SENTENCIA</v>
      </c>
      <c r="F38" s="24" t="s">
        <v>164</v>
      </c>
      <c r="G38" s="22" t="s">
        <v>56</v>
      </c>
      <c r="H38" s="22" t="s">
        <v>85</v>
      </c>
      <c r="I38" s="7"/>
      <c r="J38" s="22" t="s">
        <v>56</v>
      </c>
      <c r="K38" s="22" t="s">
        <v>86</v>
      </c>
      <c r="L38" s="22" t="s">
        <v>56</v>
      </c>
      <c r="M38" s="22" t="s">
        <v>56</v>
      </c>
    </row>
    <row r="39" spans="1:13">
      <c r="A39" s="22" t="s">
        <v>49</v>
      </c>
      <c r="B39" s="5" t="s">
        <v>50</v>
      </c>
      <c r="C39" s="23" t="s">
        <v>51</v>
      </c>
      <c r="D39" s="24" t="s">
        <v>165</v>
      </c>
      <c r="E39" s="24" t="str">
        <f t="shared" si="0"/>
        <v>ESTADO</v>
      </c>
      <c r="F39" s="24" t="s">
        <v>166</v>
      </c>
      <c r="G39" s="22" t="s">
        <v>56</v>
      </c>
      <c r="H39" s="22" t="s">
        <v>85</v>
      </c>
      <c r="I39" s="7" t="s">
        <v>167</v>
      </c>
      <c r="J39" s="22" t="s">
        <v>56</v>
      </c>
      <c r="K39" s="22" t="s">
        <v>86</v>
      </c>
      <c r="L39" s="22" t="s">
        <v>56</v>
      </c>
      <c r="M39" s="22" t="s">
        <v>56</v>
      </c>
    </row>
    <row r="40" spans="1:13">
      <c r="A40" s="22" t="s">
        <v>49</v>
      </c>
      <c r="B40" s="5" t="s">
        <v>50</v>
      </c>
      <c r="C40" s="23" t="s">
        <v>51</v>
      </c>
      <c r="D40" s="24" t="s">
        <v>168</v>
      </c>
      <c r="E40" s="24" t="str">
        <f t="shared" si="0"/>
        <v>CÓDIGO DE MONEDA DE FACTURACIÓN</v>
      </c>
      <c r="F40" s="24" t="s">
        <v>169</v>
      </c>
      <c r="G40" s="22" t="s">
        <v>56</v>
      </c>
      <c r="H40" s="22" t="s">
        <v>85</v>
      </c>
      <c r="I40" s="7">
        <v>840</v>
      </c>
      <c r="J40" s="22" t="s">
        <v>56</v>
      </c>
      <c r="K40" s="22" t="s">
        <v>86</v>
      </c>
      <c r="L40" s="22" t="s">
        <v>56</v>
      </c>
      <c r="M40" s="22" t="s">
        <v>56</v>
      </c>
    </row>
    <row r="41" spans="1:13">
      <c r="A41" s="22" t="s">
        <v>49</v>
      </c>
      <c r="B41" s="5" t="s">
        <v>50</v>
      </c>
      <c r="C41" s="23" t="s">
        <v>51</v>
      </c>
      <c r="D41" s="24" t="s">
        <v>170</v>
      </c>
      <c r="E41" s="24" t="str">
        <f t="shared" si="0"/>
        <v>IMPORTE DE LIQUIDACIÓN</v>
      </c>
      <c r="F41" s="24" t="s">
        <v>171</v>
      </c>
      <c r="G41" s="22" t="s">
        <v>56</v>
      </c>
      <c r="H41" s="22" t="s">
        <v>85</v>
      </c>
      <c r="I41" s="7">
        <v>0</v>
      </c>
      <c r="J41" s="22" t="s">
        <v>56</v>
      </c>
      <c r="K41" s="22" t="s">
        <v>86</v>
      </c>
      <c r="L41" s="22" t="s">
        <v>56</v>
      </c>
      <c r="M41" s="22" t="s">
        <v>56</v>
      </c>
    </row>
    <row r="42" spans="1:13">
      <c r="A42" s="22" t="s">
        <v>49</v>
      </c>
      <c r="B42" s="5" t="s">
        <v>50</v>
      </c>
      <c r="C42" s="23" t="s">
        <v>51</v>
      </c>
      <c r="D42" s="24" t="s">
        <v>172</v>
      </c>
      <c r="E42" s="24" t="str">
        <f t="shared" si="0"/>
        <v>CÓDIGO DE MONEDA DE LIQUIDACIÓN</v>
      </c>
      <c r="F42" s="24" t="s">
        <v>173</v>
      </c>
      <c r="G42" s="22" t="s">
        <v>56</v>
      </c>
      <c r="H42" s="22" t="s">
        <v>85</v>
      </c>
      <c r="I42" s="7"/>
      <c r="J42" s="22" t="s">
        <v>56</v>
      </c>
      <c r="K42" s="22" t="s">
        <v>86</v>
      </c>
      <c r="L42" s="22" t="s">
        <v>56</v>
      </c>
      <c r="M42" s="22" t="s">
        <v>56</v>
      </c>
    </row>
    <row r="43" spans="1:13">
      <c r="A43" s="22" t="s">
        <v>49</v>
      </c>
      <c r="B43" s="5" t="s">
        <v>50</v>
      </c>
      <c r="C43" s="23" t="s">
        <v>51</v>
      </c>
      <c r="D43" s="24" t="s">
        <v>174</v>
      </c>
      <c r="E43" s="24" t="str">
        <f t="shared" si="0"/>
        <v>DE</v>
      </c>
      <c r="F43" s="24" t="s">
        <v>175</v>
      </c>
      <c r="G43" s="22" t="s">
        <v>56</v>
      </c>
      <c r="H43" s="22" t="s">
        <v>85</v>
      </c>
      <c r="I43" s="7">
        <v>100010650000</v>
      </c>
      <c r="J43" s="22" t="s">
        <v>56</v>
      </c>
      <c r="K43" s="22" t="s">
        <v>86</v>
      </c>
      <c r="L43" s="22" t="s">
        <v>56</v>
      </c>
      <c r="M43" s="22" t="s">
        <v>56</v>
      </c>
    </row>
    <row r="44" spans="1:13">
      <c r="A44" s="22" t="s">
        <v>49</v>
      </c>
      <c r="B44" s="5" t="s">
        <v>50</v>
      </c>
      <c r="C44" s="23" t="s">
        <v>51</v>
      </c>
      <c r="D44" s="24" t="s">
        <v>176</v>
      </c>
      <c r="E44" s="24" t="str">
        <f t="shared" si="0"/>
        <v>FACTURA DEL RECEPTOR</v>
      </c>
      <c r="F44" s="24" t="s">
        <v>177</v>
      </c>
      <c r="G44" s="22" t="s">
        <v>56</v>
      </c>
      <c r="H44" s="22" t="s">
        <v>85</v>
      </c>
      <c r="I44" s="7">
        <v>80.25</v>
      </c>
      <c r="J44" s="22" t="s">
        <v>56</v>
      </c>
      <c r="K44" s="22" t="s">
        <v>86</v>
      </c>
      <c r="L44" s="22" t="s">
        <v>56</v>
      </c>
      <c r="M44" s="22" t="s">
        <v>56</v>
      </c>
    </row>
    <row r="45" spans="1:13">
      <c r="A45" s="22" t="s">
        <v>49</v>
      </c>
      <c r="B45" s="5" t="s">
        <v>50</v>
      </c>
      <c r="C45" s="23" t="s">
        <v>51</v>
      </c>
      <c r="D45" s="24" t="s">
        <v>178</v>
      </c>
      <c r="E45" s="24" t="str">
        <f t="shared" si="0"/>
        <v>PUNTO FINAL DEL RECEPTOR</v>
      </c>
      <c r="F45" s="24" t="s">
        <v>179</v>
      </c>
      <c r="G45" s="22" t="s">
        <v>56</v>
      </c>
      <c r="H45" s="22" t="s">
        <v>85</v>
      </c>
      <c r="I45" s="7">
        <v>1007963</v>
      </c>
      <c r="J45" s="22" t="s">
        <v>56</v>
      </c>
      <c r="K45" s="22" t="s">
        <v>86</v>
      </c>
      <c r="L45" s="22" t="s">
        <v>56</v>
      </c>
      <c r="M45" s="22" t="s">
        <v>56</v>
      </c>
    </row>
    <row r="46" spans="1:13">
      <c r="A46" s="22" t="s">
        <v>49</v>
      </c>
      <c r="B46" s="5" t="s">
        <v>50</v>
      </c>
      <c r="C46" s="23" t="s">
        <v>51</v>
      </c>
      <c r="D46" s="24" t="s">
        <v>180</v>
      </c>
      <c r="E46" s="24" t="str">
        <f t="shared" si="0"/>
        <v>DISPUTA DEL RECEPTOR IMPORTE</v>
      </c>
      <c r="F46" s="24" t="s">
        <v>181</v>
      </c>
      <c r="G46" s="22" t="s">
        <v>56</v>
      </c>
      <c r="H46" s="22" t="s">
        <v>85</v>
      </c>
      <c r="I46" s="7">
        <v>55.75</v>
      </c>
      <c r="J46" s="22" t="s">
        <v>56</v>
      </c>
      <c r="K46" s="22" t="s">
        <v>86</v>
      </c>
      <c r="L46" s="22" t="s">
        <v>56</v>
      </c>
      <c r="M46" s="22" t="s">
        <v>56</v>
      </c>
    </row>
    <row r="47" spans="1:13">
      <c r="A47" s="22" t="s">
        <v>49</v>
      </c>
      <c r="B47" s="5" t="s">
        <v>50</v>
      </c>
      <c r="C47" s="23" t="s">
        <v>51</v>
      </c>
      <c r="D47" s="24" t="s">
        <v>182</v>
      </c>
      <c r="E47" s="24" t="str">
        <f t="shared" si="0"/>
        <v>CÓDIGO DE MONEDA DE LA DISPUTA DEL RECEPTOR</v>
      </c>
      <c r="F47" s="24" t="s">
        <v>183</v>
      </c>
      <c r="G47" s="22" t="s">
        <v>56</v>
      </c>
      <c r="H47" s="22" t="s">
        <v>85</v>
      </c>
      <c r="I47" s="7" t="s">
        <v>104</v>
      </c>
      <c r="J47" s="22" t="s">
        <v>56</v>
      </c>
      <c r="K47" s="22" t="s">
        <v>86</v>
      </c>
      <c r="L47" s="22" t="s">
        <v>56</v>
      </c>
      <c r="M47" s="22" t="s">
        <v>56</v>
      </c>
    </row>
    <row r="48" spans="1:13">
      <c r="A48" s="22" t="s">
        <v>49</v>
      </c>
      <c r="B48" s="5" t="s">
        <v>50</v>
      </c>
      <c r="C48" s="23" t="s">
        <v>51</v>
      </c>
      <c r="D48" s="24" t="s">
        <v>184</v>
      </c>
      <c r="E48" s="24" t="str">
        <f t="shared" si="0"/>
        <v>TARIFAS DE FACTURACIÓN DEL RECEPTOR USD</v>
      </c>
      <c r="F48" s="24" t="s">
        <v>185</v>
      </c>
      <c r="G48" s="22" t="s">
        <v>56</v>
      </c>
      <c r="H48" s="22" t="s">
        <v>85</v>
      </c>
      <c r="I48" s="7" t="s">
        <v>186</v>
      </c>
      <c r="J48" s="22" t="s">
        <v>56</v>
      </c>
      <c r="K48" s="22" t="s">
        <v>86</v>
      </c>
      <c r="L48" s="22" t="s">
        <v>56</v>
      </c>
      <c r="M48" s="22" t="s">
        <v>56</v>
      </c>
    </row>
    <row r="49" spans="1:13">
      <c r="A49" s="22" t="s">
        <v>49</v>
      </c>
      <c r="B49" s="5" t="s">
        <v>50</v>
      </c>
      <c r="C49" s="23" t="s">
        <v>51</v>
      </c>
      <c r="D49" s="24" t="s">
        <v>187</v>
      </c>
      <c r="E49" s="24" t="str">
        <f t="shared" si="0"/>
        <v>TARIFAS DE FACTURACIÓN DEL RECEPTOR EUR</v>
      </c>
      <c r="F49" s="24" t="s">
        <v>188</v>
      </c>
      <c r="G49" s="22" t="s">
        <v>56</v>
      </c>
      <c r="H49" s="22" t="s">
        <v>85</v>
      </c>
      <c r="I49" s="7">
        <v>0</v>
      </c>
      <c r="J49" s="22" t="s">
        <v>56</v>
      </c>
      <c r="K49" s="22" t="s">
        <v>86</v>
      </c>
      <c r="L49" s="22" t="s">
        <v>56</v>
      </c>
      <c r="M49" s="22" t="s">
        <v>56</v>
      </c>
    </row>
    <row r="50" spans="1:13">
      <c r="A50" s="22" t="s">
        <v>49</v>
      </c>
      <c r="B50" s="5" t="s">
        <v>50</v>
      </c>
      <c r="C50" s="23" t="s">
        <v>51</v>
      </c>
      <c r="D50" s="24" t="s">
        <v>189</v>
      </c>
      <c r="E50" s="24" t="str">
        <f t="shared" si="0"/>
        <v>TARIFAS DE FACTURACIÓN DEL RECEPTOR GBP</v>
      </c>
      <c r="F50" s="24" t="s">
        <v>190</v>
      </c>
      <c r="G50" s="22" t="s">
        <v>56</v>
      </c>
      <c r="H50" s="22" t="s">
        <v>85</v>
      </c>
      <c r="I50" s="7">
        <v>0</v>
      </c>
      <c r="J50" s="22" t="s">
        <v>56</v>
      </c>
      <c r="K50" s="22" t="s">
        <v>86</v>
      </c>
      <c r="L50" s="22" t="s">
        <v>56</v>
      </c>
      <c r="M50" s="22" t="s">
        <v>56</v>
      </c>
    </row>
    <row r="51" spans="1:13">
      <c r="A51" s="22" t="s">
        <v>49</v>
      </c>
      <c r="B51" s="5" t="s">
        <v>50</v>
      </c>
      <c r="C51" s="23" t="s">
        <v>51</v>
      </c>
      <c r="D51" s="24" t="s">
        <v>191</v>
      </c>
      <c r="E51" s="24" t="str">
        <f t="shared" si="0"/>
        <v>PUNTO FINAL DEL REMITENTE</v>
      </c>
      <c r="F51" s="24" t="s">
        <v>192</v>
      </c>
      <c r="G51" s="22" t="s">
        <v>56</v>
      </c>
      <c r="H51" s="22" t="s">
        <v>85</v>
      </c>
      <c r="I51" s="7">
        <v>1014936</v>
      </c>
      <c r="J51" s="22" t="s">
        <v>56</v>
      </c>
      <c r="K51" s="22" t="s">
        <v>86</v>
      </c>
      <c r="L51" s="22" t="s">
        <v>56</v>
      </c>
      <c r="M51" s="22" t="s">
        <v>56</v>
      </c>
    </row>
    <row r="52" spans="1:13">
      <c r="A52" s="22" t="s">
        <v>49</v>
      </c>
      <c r="B52" s="5" t="s">
        <v>50</v>
      </c>
      <c r="C52" s="23" t="s">
        <v>51</v>
      </c>
      <c r="D52" s="24" t="s">
        <v>193</v>
      </c>
      <c r="E52" s="24" t="str">
        <f t="shared" si="0"/>
        <v>FECHA DE DEVOLUCIÓN DEL CARGO POR ENRIQUECIMIENTO INJUSTO</v>
      </c>
      <c r="F52" s="24" t="s">
        <v>194</v>
      </c>
      <c r="G52" s="22" t="s">
        <v>56</v>
      </c>
      <c r="H52" s="22" t="s">
        <v>85</v>
      </c>
      <c r="I52" s="7"/>
      <c r="J52" s="22" t="s">
        <v>56</v>
      </c>
      <c r="K52" s="22" t="s">
        <v>86</v>
      </c>
      <c r="L52" s="22" t="s">
        <v>56</v>
      </c>
      <c r="M52" s="22" t="s">
        <v>56</v>
      </c>
    </row>
    <row r="53" spans="1:13">
      <c r="A53" s="22" t="s">
        <v>49</v>
      </c>
      <c r="B53" s="5" t="s">
        <v>50</v>
      </c>
      <c r="C53" s="23" t="s">
        <v>51</v>
      </c>
      <c r="D53" s="24" t="s">
        <v>195</v>
      </c>
      <c r="E53" s="24" t="str">
        <f t="shared" si="0"/>
        <v>FECHA DE CRÉDITO POR ENRIQUECIMIENTO INJUSTO</v>
      </c>
      <c r="F53" s="24" t="s">
        <v>196</v>
      </c>
      <c r="G53" s="22" t="s">
        <v>56</v>
      </c>
      <c r="H53" s="22" t="s">
        <v>85</v>
      </c>
      <c r="I53" s="7"/>
      <c r="J53" s="22" t="s">
        <v>56</v>
      </c>
      <c r="K53" s="22" t="s">
        <v>86</v>
      </c>
      <c r="L53" s="22" t="s">
        <v>56</v>
      </c>
      <c r="M53" s="22" t="s">
        <v>56</v>
      </c>
    </row>
    <row r="54" spans="1:13">
      <c r="A54" s="22" t="s">
        <v>49</v>
      </c>
      <c r="B54" s="5" t="s">
        <v>50</v>
      </c>
      <c r="C54" s="23" t="s">
        <v>51</v>
      </c>
      <c r="D54" s="24" t="s">
        <v>197</v>
      </c>
      <c r="E54" s="24" t="str">
        <f t="shared" si="0"/>
        <v>NÚMERO DE SERIE DEL SWITCH ORIGINAL</v>
      </c>
      <c r="F54" s="24" t="s">
        <v>198</v>
      </c>
      <c r="G54" s="22" t="s">
        <v>56</v>
      </c>
      <c r="H54" s="22" t="s">
        <v>85</v>
      </c>
      <c r="I54" s="7"/>
      <c r="J54" s="22" t="s">
        <v>56</v>
      </c>
      <c r="K54" s="22" t="s">
        <v>86</v>
      </c>
      <c r="L54" s="22" t="s">
        <v>56</v>
      </c>
      <c r="M54" s="22" t="s">
        <v>56</v>
      </c>
    </row>
    <row r="55" spans="1:13">
      <c r="A55" s="22" t="s">
        <v>49</v>
      </c>
      <c r="B55" s="5" t="s">
        <v>50</v>
      </c>
      <c r="C55" s="23" t="s">
        <v>51</v>
      </c>
      <c r="D55" s="24" t="s">
        <v>199</v>
      </c>
      <c r="E55" s="24" t="str">
        <f t="shared" si="0"/>
        <v>FECHA DE LIQUIDACIÓN</v>
      </c>
      <c r="F55" s="24" t="s">
        <v>200</v>
      </c>
      <c r="G55" s="22" t="s">
        <v>56</v>
      </c>
      <c r="H55" s="22" t="s">
        <v>85</v>
      </c>
      <c r="I55" s="7"/>
      <c r="J55" s="22" t="s">
        <v>56</v>
      </c>
      <c r="K55" s="22" t="s">
        <v>86</v>
      </c>
      <c r="L55" s="22" t="s">
        <v>56</v>
      </c>
      <c r="M55" s="22" t="s">
        <v>56</v>
      </c>
    </row>
    <row r="56" spans="1:13">
      <c r="A56" s="22" t="s">
        <v>49</v>
      </c>
      <c r="B56" s="5" t="s">
        <v>50</v>
      </c>
      <c r="C56" s="23" t="s">
        <v>51</v>
      </c>
      <c r="D56" s="24" t="s">
        <v>201</v>
      </c>
      <c r="E56" s="24" t="str">
        <f t="shared" si="0"/>
        <v>PAÍS DEL ADQUIRENTE</v>
      </c>
      <c r="F56" s="24" t="s">
        <v>202</v>
      </c>
      <c r="G56" s="22" t="s">
        <v>56</v>
      </c>
      <c r="H56" s="22" t="s">
        <v>85</v>
      </c>
      <c r="I56" s="7"/>
      <c r="J56" s="22" t="s">
        <v>56</v>
      </c>
      <c r="K56" s="22" t="s">
        <v>86</v>
      </c>
      <c r="L56" s="22" t="s">
        <v>56</v>
      </c>
      <c r="M56" s="22" t="s">
        <v>56</v>
      </c>
    </row>
    <row r="57" spans="1:13">
      <c r="A57" s="22" t="s">
        <v>49</v>
      </c>
      <c r="B57" s="5" t="s">
        <v>50</v>
      </c>
      <c r="C57" s="23" t="s">
        <v>51</v>
      </c>
      <c r="D57" s="24" t="s">
        <v>203</v>
      </c>
      <c r="E57" s="24" t="str">
        <f t="shared" si="0"/>
        <v>PAÍS DEL EMISOR</v>
      </c>
      <c r="F57" s="24" t="s">
        <v>204</v>
      </c>
      <c r="G57" s="22" t="s">
        <v>56</v>
      </c>
      <c r="H57" s="22" t="s">
        <v>85</v>
      </c>
      <c r="I57" s="7"/>
      <c r="J57" s="22" t="s">
        <v>56</v>
      </c>
      <c r="K57" s="22" t="s">
        <v>86</v>
      </c>
      <c r="L57" s="22" t="s">
        <v>56</v>
      </c>
      <c r="M57" s="22" t="s">
        <v>56</v>
      </c>
    </row>
    <row r="58" spans="1:13">
      <c r="A58" s="22" t="s">
        <v>49</v>
      </c>
      <c r="B58" s="5" t="s">
        <v>50</v>
      </c>
      <c r="C58" s="23" t="s">
        <v>51</v>
      </c>
      <c r="D58" s="24" t="s">
        <v>205</v>
      </c>
      <c r="E58" s="24" t="str">
        <f t="shared" si="0"/>
        <v>TARJETA PRESENTE</v>
      </c>
      <c r="F58" s="24" t="s">
        <v>206</v>
      </c>
      <c r="G58" s="22" t="s">
        <v>56</v>
      </c>
      <c r="H58" s="22" t="s">
        <v>85</v>
      </c>
      <c r="I58" s="7"/>
      <c r="J58" s="22" t="s">
        <v>56</v>
      </c>
      <c r="K58" s="22" t="s">
        <v>86</v>
      </c>
      <c r="L58" s="22" t="s">
        <v>56</v>
      </c>
      <c r="M58" s="22" t="s">
        <v>56</v>
      </c>
    </row>
    <row r="59" spans="1:13">
      <c r="A59" s="22" t="s">
        <v>49</v>
      </c>
      <c r="B59" s="5" t="s">
        <v>50</v>
      </c>
      <c r="C59" s="23" t="s">
        <v>51</v>
      </c>
      <c r="D59" s="24" t="s">
        <v>207</v>
      </c>
      <c r="E59" s="24" t="str">
        <f t="shared" si="0"/>
        <v>MARCA DE LA TARJETA</v>
      </c>
      <c r="F59" s="24" t="s">
        <v>208</v>
      </c>
      <c r="G59" s="22" t="s">
        <v>56</v>
      </c>
      <c r="H59" s="22" t="s">
        <v>85</v>
      </c>
      <c r="I59" s="7"/>
      <c r="J59" s="22" t="s">
        <v>56</v>
      </c>
      <c r="K59" s="22" t="s">
        <v>86</v>
      </c>
      <c r="L59" s="22" t="s">
        <v>56</v>
      </c>
      <c r="M59" s="22" t="s">
        <v>56</v>
      </c>
    </row>
    <row r="60" spans="1:13" ht="14.1" customHeight="1">
      <c r="A60" s="22" t="s">
        <v>49</v>
      </c>
      <c r="B60" s="5" t="s">
        <v>50</v>
      </c>
      <c r="C60" s="23" t="s">
        <v>51</v>
      </c>
      <c r="D60" s="26" t="s">
        <v>209</v>
      </c>
      <c r="E60" s="24" t="str">
        <f>UPPER(F60)</f>
        <v>NUMERO DE TARJETA (ENMASCARADA)</v>
      </c>
      <c r="F60" s="24" t="s">
        <v>210</v>
      </c>
      <c r="G60" s="22" t="s">
        <v>86</v>
      </c>
      <c r="H60" s="22" t="s">
        <v>85</v>
      </c>
      <c r="I60" s="7" t="s">
        <v>211</v>
      </c>
      <c r="J60" s="22" t="s">
        <v>56</v>
      </c>
      <c r="K60" s="22" t="s">
        <v>86</v>
      </c>
      <c r="L60" s="22" t="s">
        <v>56</v>
      </c>
      <c r="M60" s="22" t="s">
        <v>56</v>
      </c>
    </row>
    <row r="61" spans="1:13" ht="14.1" customHeight="1">
      <c r="A61" s="22" t="s">
        <v>49</v>
      </c>
      <c r="B61" s="5" t="s">
        <v>50</v>
      </c>
      <c r="C61" s="23" t="s">
        <v>51</v>
      </c>
      <c r="D61" s="26" t="s">
        <v>212</v>
      </c>
      <c r="E61" s="24" t="str">
        <f t="shared" ref="E61" si="1">UPPER(F61)</f>
        <v>9 PRIMEROS DIGITOS DE LA TARJETA (ENMASCARADA)</v>
      </c>
      <c r="F61" s="24" t="s">
        <v>213</v>
      </c>
      <c r="G61" s="22" t="s">
        <v>86</v>
      </c>
      <c r="H61" s="22" t="s">
        <v>85</v>
      </c>
      <c r="I61" s="7">
        <v>539305000</v>
      </c>
      <c r="J61" s="22" t="s">
        <v>56</v>
      </c>
      <c r="K61" s="22" t="s">
        <v>86</v>
      </c>
      <c r="L61" s="22" t="s">
        <v>56</v>
      </c>
      <c r="M61" s="22" t="s">
        <v>56</v>
      </c>
    </row>
    <row r="62" spans="1:13">
      <c r="A62" s="22" t="s">
        <v>49</v>
      </c>
      <c r="B62" s="5" t="s">
        <v>50</v>
      </c>
      <c r="C62" s="23" t="s">
        <v>51</v>
      </c>
      <c r="D62" s="24" t="s">
        <v>214</v>
      </c>
      <c r="E62" s="24" t="str">
        <f t="shared" si="0"/>
        <v>FECHA DE FOTO/DATOS CONFIGURADA EN EL ETL PARA LA EXTRACCIÓN DE DATOS, CORRESPONDE A APERTURAS DE COMERCIOS HASTA EL CIERRE DEL DÍA ANTERIOR</v>
      </c>
      <c r="F62" s="24" t="s">
        <v>215</v>
      </c>
      <c r="G62" s="22" t="s">
        <v>56</v>
      </c>
      <c r="H62" s="22" t="s">
        <v>216</v>
      </c>
      <c r="I62" s="25">
        <v>45841</v>
      </c>
      <c r="J62" s="22" t="s">
        <v>56</v>
      </c>
      <c r="K62" s="22" t="s">
        <v>56</v>
      </c>
      <c r="L62" s="22" t="s">
        <v>86</v>
      </c>
      <c r="M62" s="22" t="s">
        <v>56</v>
      </c>
    </row>
    <row r="63" spans="1:13">
      <c r="A63" s="22" t="s">
        <v>49</v>
      </c>
      <c r="B63" s="5" t="s">
        <v>50</v>
      </c>
      <c r="C63" s="23" t="s">
        <v>51</v>
      </c>
      <c r="D63" s="24" t="s">
        <v>217</v>
      </c>
      <c r="E63" s="24" t="str">
        <f t="shared" si="0"/>
        <v>DATO DE AUDITORÍA: DESCRIPCIÓN DEL APLICATIVO ORIGEN DE LOS DATOS.</v>
      </c>
      <c r="F63" s="24" t="s">
        <v>218</v>
      </c>
      <c r="G63" s="22" t="s">
        <v>56</v>
      </c>
      <c r="H63" s="22" t="s">
        <v>85</v>
      </c>
      <c r="I63" s="24" t="s">
        <v>219</v>
      </c>
      <c r="J63" s="22" t="s">
        <v>56</v>
      </c>
      <c r="K63" s="22" t="s">
        <v>86</v>
      </c>
      <c r="L63" s="22" t="s">
        <v>56</v>
      </c>
      <c r="M63" s="22" t="s">
        <v>56</v>
      </c>
    </row>
    <row r="64" spans="1:13">
      <c r="A64" s="22" t="s">
        <v>49</v>
      </c>
      <c r="B64" s="5" t="s">
        <v>50</v>
      </c>
      <c r="C64" s="23" t="s">
        <v>51</v>
      </c>
      <c r="D64" s="24" t="s">
        <v>220</v>
      </c>
      <c r="E64" s="24" t="str">
        <f t="shared" si="0"/>
        <v>FECHA Y HORA DE INSERCIÓN DEL REGISTRO EN EL MODELO</v>
      </c>
      <c r="F64" s="24" t="s">
        <v>221</v>
      </c>
      <c r="G64" s="22" t="s">
        <v>56</v>
      </c>
      <c r="H64" s="22" t="s">
        <v>222</v>
      </c>
      <c r="I64" s="24" t="s">
        <v>223</v>
      </c>
      <c r="J64" s="22" t="s">
        <v>56</v>
      </c>
      <c r="K64" s="22" t="s">
        <v>56</v>
      </c>
      <c r="L64" s="22" t="s">
        <v>56</v>
      </c>
      <c r="M64" s="22" t="s">
        <v>56</v>
      </c>
    </row>
    <row r="65" spans="1:13">
      <c r="A65" s="22" t="s">
        <v>49</v>
      </c>
      <c r="B65" s="5" t="s">
        <v>50</v>
      </c>
      <c r="C65" s="23" t="s">
        <v>51</v>
      </c>
      <c r="D65" s="24" t="s">
        <v>224</v>
      </c>
      <c r="E65" s="24" t="str">
        <f t="shared" si="0"/>
        <v>USUARIO QUE CREA EL REGISTRO EN LA BD</v>
      </c>
      <c r="F65" s="24" t="s">
        <v>225</v>
      </c>
      <c r="G65" s="22" t="s">
        <v>56</v>
      </c>
      <c r="H65" s="22" t="s">
        <v>85</v>
      </c>
      <c r="I65" s="24" t="s">
        <v>226</v>
      </c>
      <c r="J65" s="22" t="s">
        <v>56</v>
      </c>
      <c r="K65" s="22" t="s">
        <v>56</v>
      </c>
      <c r="L65" s="22" t="s">
        <v>56</v>
      </c>
      <c r="M65" s="22" t="s">
        <v>56</v>
      </c>
    </row>
    <row r="66" spans="1:13" ht="15"/>
    <row r="67" spans="1:13" ht="15"/>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CB7F921-B723-4C15-9B1B-F767409F206E}"/>
</file>

<file path=customXml/itemProps2.xml><?xml version="1.0" encoding="utf-8"?>
<ds:datastoreItem xmlns:ds="http://schemas.openxmlformats.org/officeDocument/2006/customXml" ds:itemID="{E85006A4-5124-4F73-8C0E-FFC53E124586}"/>
</file>

<file path=customXml/itemProps3.xml><?xml version="1.0" encoding="utf-8"?>
<ds:datastoreItem xmlns:ds="http://schemas.openxmlformats.org/officeDocument/2006/customXml" ds:itemID="{BC3AFEF2-0938-4373-AF25-492BD8B92A4C}"/>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Arturo Quispe Humpiri</cp:lastModifiedBy>
  <cp:revision/>
  <dcterms:created xsi:type="dcterms:W3CDTF">2015-06-05T18:19:34Z</dcterms:created>
  <dcterms:modified xsi:type="dcterms:W3CDTF">2026-07-01T17:45:53Z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