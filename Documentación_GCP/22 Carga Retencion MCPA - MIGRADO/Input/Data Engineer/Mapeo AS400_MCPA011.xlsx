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22 Carga Retencion MCPA/Input/Data Engineer/"/>
    </mc:Choice>
  </mc:AlternateContent>
  <xr:revisionPtr revIDLastSave="271" documentId="11_815F06F089EC656B21604F2F02011035A8E5915F" xr6:coauthVersionLast="47" xr6:coauthVersionMax="47" xr10:uidLastSave="{50EAF20F-4722-4A77-88CA-3FCB366DC2D8}"/>
  <bookViews>
    <workbookView xWindow="-120" yWindow="-120" windowWidth="29040" windowHeight="15720" xr2:uid="{00000000-000D-0000-FFFF-FFFF00000000}"/>
  </bookViews>
  <sheets>
    <sheet name="logica_RPG" sheetId="2" r:id="rId1"/>
    <sheet name="tablas" sheetId="1" r:id="rId2"/>
    <sheet name="Logica_SQL" sheetId="3" state="hidden" r:id="rId3"/>
    <sheet name="Logica_SQL_V2" sheetId="5" state="hidden" r:id="rId4"/>
    <sheet name="sql_final" sheetId="6" state="hidden" r:id="rId5"/>
    <sheet name="sq_final-v2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5" l="1" a="1"/>
  <c r="A46" i="5" s="1"/>
  <c r="A54" i="5" a="1"/>
  <c r="A54" i="5" s="1"/>
  <c r="A70" i="5" a="1"/>
  <c r="A70" i="5" s="1"/>
  <c r="A131" i="5" a="1"/>
  <c r="A13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<sst xmlns="http://schemas.openxmlformats.org/spreadsheetml/2006/main" count="2982" uniqueCount="1801">
  <si>
    <t>Seq No</t>
  </si>
  <si>
    <t>*...+... 1 ...+... 2 ...+... 3 ...+... 4 ...+... 5 ...+... 6 ...+... 7 ...+... 8 ...+... 9 ...+... *</t>
  </si>
  <si>
    <t>Date Changed</t>
  </si>
  <si>
    <t>0001.00</t>
  </si>
  <si>
    <t xml:space="preserve">     H*************************  INICIO  ***********************************                        </t>
  </si>
  <si>
    <t>00/00/00</t>
  </si>
  <si>
    <t>0002.00</t>
  </si>
  <si>
    <t xml:space="preserve">     H*  APLICACION : TARJETAS DE CREDITO - MC PERU                                                 </t>
  </si>
  <si>
    <t>0003.00</t>
  </si>
  <si>
    <t xml:space="preserve">     H*  PROGRAMA   : MCPA011                        ALIAS :MCPA011                                 </t>
  </si>
  <si>
    <t>0004.00</t>
  </si>
  <si>
    <t xml:space="preserve">     H*  DESCRIPCION:                                                                               </t>
  </si>
  <si>
    <t>0005.00</t>
  </si>
  <si>
    <t xml:space="preserve">     H*  FUNCION    : Adiciona Archivo de Abonos de dia al Acumulado                                </t>
  </si>
  <si>
    <t>0006.00</t>
  </si>
  <si>
    <t xml:space="preserve">     H*               Reporte de Abonos Acumulados Pendientes de Envio                              </t>
  </si>
  <si>
    <t>0007.00</t>
  </si>
  <si>
    <t xml:space="preserve">     H*                                                                                             </t>
  </si>
  <si>
    <t>0008.00</t>
  </si>
  <si>
    <t xml:space="preserve">     H*  CAMBIOS    :    TAREA   FECHA  AUTOR    MOTIVO                                             </t>
  </si>
  <si>
    <t>0009.00</t>
  </si>
  <si>
    <t xml:space="preserve">     ******************** CONTROL DE CAMBIOS **************************                             </t>
  </si>
  <si>
    <t>0010.00</t>
  </si>
  <si>
    <t xml:space="preserve">     *** REQ          011952  FECHA 05/11/2009                                                      </t>
  </si>
  <si>
    <t>0011.00</t>
  </si>
  <si>
    <t xml:space="preserve">     *** AUTOR        Martin zea                                                                    </t>
  </si>
  <si>
    <t>0012.00</t>
  </si>
  <si>
    <t xml:space="preserve">     *** DESCRIPCION  Implemetacion tarjeta sodexo                                                  </t>
  </si>
  <si>
    <t>0013.00</t>
  </si>
  <si>
    <t>0014.00</t>
  </si>
  <si>
    <t>0015.00</t>
  </si>
  <si>
    <t xml:space="preserve">     *** REQ          015469  FECHA 22/07/2010                                                      </t>
  </si>
  <si>
    <t>0016.00</t>
  </si>
  <si>
    <t>0017.00</t>
  </si>
  <si>
    <t xml:space="preserve">     *** DESCRIPCION  Implementacion cheques diferidos                                              </t>
  </si>
  <si>
    <t>0018.00</t>
  </si>
  <si>
    <t>0019.00</t>
  </si>
  <si>
    <t>0020.00</t>
  </si>
  <si>
    <t xml:space="preserve">     *** REQ          016465  FECHA 27/09/2010                                                      </t>
  </si>
  <si>
    <t>0021.00</t>
  </si>
  <si>
    <t>0022.00</t>
  </si>
  <si>
    <t xml:space="preserve">     *** DESCRIPCION  abonos tottus                                                                 </t>
  </si>
  <si>
    <t>0023.00</t>
  </si>
  <si>
    <t>0024.00</t>
  </si>
  <si>
    <t>0025.00</t>
  </si>
  <si>
    <t xml:space="preserve">     *** REQ          016726  FECHA 04/10/2010                                                      </t>
  </si>
  <si>
    <t>0026.00</t>
  </si>
  <si>
    <t>0027.00</t>
  </si>
  <si>
    <t xml:space="preserve">     *** DESCRIPCION  banco pagador                                                                 </t>
  </si>
  <si>
    <t>0028.00</t>
  </si>
  <si>
    <t>0029.00</t>
  </si>
  <si>
    <t>0030.00</t>
  </si>
  <si>
    <t xml:space="preserve">     *** REQ          019375  FECHA 14/06/2011                                                      </t>
  </si>
  <si>
    <t>0031.00</t>
  </si>
  <si>
    <t>0032.00</t>
  </si>
  <si>
    <t xml:space="preserve">     *** DESCRIPCION  abonos interbancarios                                                         </t>
  </si>
  <si>
    <t>0033.00</t>
  </si>
  <si>
    <t>0034.00</t>
  </si>
  <si>
    <t xml:space="preserve">     *** REQ          034280  FECHA 03/01/2017                                                      </t>
  </si>
  <si>
    <t>0035.00</t>
  </si>
  <si>
    <t xml:space="preserve">     *** AUTOR        Ivan Zapata                                                                   </t>
  </si>
  <si>
    <t>0036.00</t>
  </si>
  <si>
    <t xml:space="preserve">     *** DESCRIPCION  embargos sunat                                                                </t>
  </si>
  <si>
    <t>0037.00</t>
  </si>
  <si>
    <t>0038.00</t>
  </si>
  <si>
    <t xml:space="preserve">     *** REQ          034321  FECHA 13/01/2017                                                      </t>
  </si>
  <si>
    <t>0039.00</t>
  </si>
  <si>
    <t>0040.00</t>
  </si>
  <si>
    <t xml:space="preserve">     *** DESCRIPCION  ERROR EN LA EJECUCION DEL JOB DE ABONOS MCCB004                               </t>
  </si>
  <si>
    <t>0041.00</t>
  </si>
  <si>
    <t>0042.00</t>
  </si>
  <si>
    <t xml:space="preserve">     ******************** CONTROL DE CAMBIOS **********************                                 </t>
  </si>
  <si>
    <t>0043.00</t>
  </si>
  <si>
    <t xml:space="preserve">     *** REQ         036092  FECHA 27/02/2018                   ***                                 </t>
  </si>
  <si>
    <t>0044.00</t>
  </si>
  <si>
    <t xml:space="preserve">     *** AUTOR       MARTIN ZEA                                 ***                                 </t>
  </si>
  <si>
    <t>0045.00</t>
  </si>
  <si>
    <t xml:space="preserve">     *** DESCRIPCION IMPLEMENTA TERCEROS,CESION FLUJOS,FIDEICOM ***                                 </t>
  </si>
  <si>
    <t>0046.00</t>
  </si>
  <si>
    <t>0047.00</t>
  </si>
  <si>
    <t xml:space="preserve">     ******************* CONTROL DE CAMBIOS ***********************                                 </t>
  </si>
  <si>
    <t>0048.00</t>
  </si>
  <si>
    <t xml:space="preserve">     *** REQ          036242  FECHA 15/03/2018                  ***                                 </t>
  </si>
  <si>
    <t>0049.00</t>
  </si>
  <si>
    <t xml:space="preserve">     *** AUTOR        MARTIN ZEA                                ***                                 </t>
  </si>
  <si>
    <t>0050.00</t>
  </si>
  <si>
    <t xml:space="preserve">     *** DESCRIPCION  FASE2 PAGOS DE TERCERO,FIDEICOMISO,CESION ***                                 </t>
  </si>
  <si>
    <t>0051.00</t>
  </si>
  <si>
    <t>0052.00</t>
  </si>
  <si>
    <t xml:space="preserve">     ******************** CONTROL DE CAMBIOS ********************                                   </t>
  </si>
  <si>
    <t>0053.00</t>
  </si>
  <si>
    <t xml:space="preserve">     *** REQ          037036  FECHA 05/02/2018                ***                                   </t>
  </si>
  <si>
    <t>0054.00</t>
  </si>
  <si>
    <t xml:space="preserve">     *** AUTOR        MC0068 martin zea                       ***                                   </t>
  </si>
  <si>
    <t>0055.00</t>
  </si>
  <si>
    <t xml:space="preserve">     *** DESCRIPCION  abonos integrados                       ***                                   </t>
  </si>
  <si>
    <t>0056.00</t>
  </si>
  <si>
    <t>0057.00</t>
  </si>
  <si>
    <t>0058.00</t>
  </si>
  <si>
    <t xml:space="preserve">     *** REQ          037562  FECHA 02/04/2019                  ***                                 </t>
  </si>
  <si>
    <t>0059.00</t>
  </si>
  <si>
    <t>0060.00</t>
  </si>
  <si>
    <t xml:space="preserve">     *** DESCRIPCION  cambios varios para riesgos               ***                                 </t>
  </si>
  <si>
    <t>0061.00</t>
  </si>
  <si>
    <t>0062.00</t>
  </si>
  <si>
    <t>0063.00</t>
  </si>
  <si>
    <t xml:space="preserve">     *** PRY          313     FECHA 20/10/2020                  ***                                 </t>
  </si>
  <si>
    <t>0064.00</t>
  </si>
  <si>
    <t xml:space="preserve">     *** AUTOR        TR7963                                    ***                                 </t>
  </si>
  <si>
    <t>0065.00</t>
  </si>
  <si>
    <t xml:space="preserve">     *** DESCRIPCION  Lima Expresa                              ***                                 </t>
  </si>
  <si>
    <t>0066.00</t>
  </si>
  <si>
    <t>0067.00</t>
  </si>
  <si>
    <t xml:space="preserve">     *** PRY          REQ-5073      FECHA 07/06/2022            ***                                 </t>
  </si>
  <si>
    <t>0068.00</t>
  </si>
  <si>
    <t xml:space="preserve">     *** AUTOR        MC1733 Mario Reyes                        ***                                 </t>
  </si>
  <si>
    <t>0069.00</t>
  </si>
  <si>
    <t xml:space="preserve">     *** DESCRIPCION  Actualiza cuenta bco comercio pago pend.  ***                                 </t>
  </si>
  <si>
    <t>0070.00</t>
  </si>
  <si>
    <t xml:space="preserve">     ***            - Graba precont. PMP y SAP por reclasif.    ***                                 </t>
  </si>
  <si>
    <t>0071.00</t>
  </si>
  <si>
    <t>0072.00</t>
  </si>
  <si>
    <t xml:space="preserve">     *** JIRA         REQ-5073      FECHA 27/07/2022            ***                                 </t>
  </si>
  <si>
    <t>0073.00</t>
  </si>
  <si>
    <t xml:space="preserve">     *** AUTOR        INC-6517 Mario Reyes Elguera              ***                                 </t>
  </si>
  <si>
    <t>0074.00</t>
  </si>
  <si>
    <t xml:space="preserve">     *** DESCRIPCION  Setea fecha abono a 0 cuando comercio     ***                                 </t>
  </si>
  <si>
    <t>0075.00</t>
  </si>
  <si>
    <t xml:space="preserve">     ***              no tiene cuenta banco pagador             ***                                 </t>
  </si>
  <si>
    <t>0076.00</t>
  </si>
  <si>
    <t>0077.00</t>
  </si>
  <si>
    <t xml:space="preserve">     *** JIRA         MC1593        FECHA 27/07/2022            ***                                 </t>
  </si>
  <si>
    <t>0078.00</t>
  </si>
  <si>
    <t xml:space="preserve">     *** AUTOR        PRY-955  Reinaldo Egoavil                 ***                                 </t>
  </si>
  <si>
    <t>0079.00</t>
  </si>
  <si>
    <t xml:space="preserve">     *** DESCRIPCION  ASIGNA PESCOT 192 A TRNX 71               ***                                 </t>
  </si>
  <si>
    <t>0080.00</t>
  </si>
  <si>
    <t>0081.00</t>
  </si>
  <si>
    <t xml:space="preserve">     *** JIRA         REQ-5544      FECHA 17/08/2022            ***                                 </t>
  </si>
  <si>
    <t>0082.00</t>
  </si>
  <si>
    <t xml:space="preserve">     *** AUTOR        MC1733 Mario Reyes Elguera                ***                                 </t>
  </si>
  <si>
    <t>0083.00</t>
  </si>
  <si>
    <t xml:space="preserve">     *** DESCRIPCION  Actualiza cta bco pagador a pagos pend.   ***                                 </t>
  </si>
  <si>
    <t>0084.00</t>
  </si>
  <si>
    <t xml:space="preserve">     ***              con antiguedad mayor a 1 dia              ***                                 </t>
  </si>
  <si>
    <t>0085.00</t>
  </si>
  <si>
    <t>0086.00</t>
  </si>
  <si>
    <t>0087.00</t>
  </si>
  <si>
    <t xml:space="preserve">     *** JIRA         PRY-1325      FECHA 08/02/2023            ***                                 </t>
  </si>
  <si>
    <t>0088.00</t>
  </si>
  <si>
    <t xml:space="preserve">     *** AUTOR        TR9480 JUNIOR MEZA PALACIOS               ***                                 </t>
  </si>
  <si>
    <t>0089.00</t>
  </si>
  <si>
    <t xml:space="preserve">     *** DESCRIPCION  Comercios con condigo de longitud 9       ***                                 </t>
  </si>
  <si>
    <t>0090.00</t>
  </si>
  <si>
    <t xml:space="preserve">                                                                                                    </t>
  </si>
  <si>
    <t>0091.00</t>
  </si>
  <si>
    <t>0092.00</t>
  </si>
  <si>
    <t xml:space="preserve">     H* Requerimien.: REQ.006717                                           *                        </t>
  </si>
  <si>
    <t>0093.00</t>
  </si>
  <si>
    <t xml:space="preserve">     H*               Comercios sin cuenta de abono que aperturan cuenta   *                        </t>
  </si>
  <si>
    <t>0094.00</t>
  </si>
  <si>
    <t xml:space="preserve">     H*               debe denerar registro contable automático            *                        </t>
  </si>
  <si>
    <t>0095.00</t>
  </si>
  <si>
    <t xml:space="preserve">     H* Fecha       : 26/04/2023                                           *                        </t>
  </si>
  <si>
    <t>0096.00</t>
  </si>
  <si>
    <t xml:space="preserve">     H* Modifica    : MC1734 Hugo Espinoza                                 *                        </t>
  </si>
  <si>
    <t>0097.00</t>
  </si>
  <si>
    <t xml:space="preserve">     H* Descripcion : Al leer el MCFT044, para aquellos registros que      *                        </t>
  </si>
  <si>
    <t>0098.00</t>
  </si>
  <si>
    <t xml:space="preserve">     H*               cambien el campo PETPAG de CHQ a ACC, ahora se debe  *                        </t>
  </si>
  <si>
    <t>0099.00</t>
  </si>
  <si>
    <t xml:space="preserve">     H*               grabar un asiento contable en el MCFW010 y MCFT320   *                        </t>
  </si>
  <si>
    <t>0100.00</t>
  </si>
  <si>
    <t xml:space="preserve">     H*                                                                    *                        </t>
  </si>
  <si>
    <t>0101.00</t>
  </si>
  <si>
    <t>0102.00</t>
  </si>
  <si>
    <t xml:space="preserve">     H* Requerimien.: REQ-7865                                             *                        </t>
  </si>
  <si>
    <t>0103.00</t>
  </si>
  <si>
    <t xml:space="preserve">     H* Fecha       : 31/05/2023                                           *                        </t>
  </si>
  <si>
    <t>0104.00</t>
  </si>
  <si>
    <t xml:space="preserve">     H* Modifica    : MC1733 Mario Reyes                                   *                        </t>
  </si>
  <si>
    <t>0105.00</t>
  </si>
  <si>
    <t xml:space="preserve">     H* Descripcion : Filtrar transacciones de IzipayYa del abono regular  *                        </t>
  </si>
  <si>
    <t>0106.00</t>
  </si>
  <si>
    <t xml:space="preserve">     H*               y colocarlas en archivo MCFT044YA                    *                        </t>
  </si>
  <si>
    <t>0107.00</t>
  </si>
  <si>
    <t xml:space="preserve">     H*--------------------------------------------------------------------*                        </t>
  </si>
  <si>
    <t>0108.00</t>
  </si>
  <si>
    <t>0109.00</t>
  </si>
  <si>
    <t xml:space="preserve">     H* Requerimien.: REQ-4369                                             *                        </t>
  </si>
  <si>
    <t>0110.00</t>
  </si>
  <si>
    <t xml:space="preserve">     H* Fecha       : 22/08/2023                                           *                        </t>
  </si>
  <si>
    <t>0111.00</t>
  </si>
  <si>
    <t xml:space="preserve">     H* Modifica    : TR9007 Ronald Chavez                                 *                        </t>
  </si>
  <si>
    <t>0112.00</t>
  </si>
  <si>
    <t xml:space="preserve">     H* Descripcion : Division de abonos norvial                           *                        </t>
  </si>
  <si>
    <t>0113.00</t>
  </si>
  <si>
    <t>0114.00</t>
  </si>
  <si>
    <t xml:space="preserve">     /*** REQ          PRY-1324   FECHA 08/11/2023                 */                               </t>
  </si>
  <si>
    <t>0115.00</t>
  </si>
  <si>
    <t xml:space="preserve">     /*** AUTOR        TR1067 JESUS VEGAS ORDINOLA                 */                               </t>
  </si>
  <si>
    <t>0116.00</t>
  </si>
  <si>
    <t xml:space="preserve">     /*** DESCRIPCION: HABILITAR COD EMISO 193  Interbank Millas   */                               </t>
  </si>
  <si>
    <t>0117.00</t>
  </si>
  <si>
    <t xml:space="preserve">     /***              Benefit ADQ                                 */                               </t>
  </si>
  <si>
    <t>0118.00</t>
  </si>
  <si>
    <t xml:space="preserve">     /******************** CONTROL DE CAMBIOS **********************/                               </t>
  </si>
  <si>
    <t>0119.00</t>
  </si>
  <si>
    <t xml:space="preserve">     /*** REQ          GDTI-5418  FECHA 05/02/2024                 */                               </t>
  </si>
  <si>
    <t>0120.00</t>
  </si>
  <si>
    <t xml:space="preserve">     /*** AUTOR        TR9007 RONALD GEREDA CHAVEZ                 */                               </t>
  </si>
  <si>
    <t>0121.00</t>
  </si>
  <si>
    <t xml:space="preserve">     /*** DESCRIPCION: SE PASARÁ COMO RECOMPILACIÓN POR QUE        */                               </t>
  </si>
  <si>
    <t>0122.00</t>
  </si>
  <si>
    <t xml:space="preserve">     /***              SE CAMBIO LA ESTRUCTURA DE ARCHIVO MCFT003DX*/                               </t>
  </si>
  <si>
    <t>0123.00</t>
  </si>
  <si>
    <t>0124.00</t>
  </si>
  <si>
    <t xml:space="preserve">     /*** GDTI         009484     FECHA 20/03/2024                 */                               </t>
  </si>
  <si>
    <t>0125.00</t>
  </si>
  <si>
    <t xml:space="preserve">     /*** AUTOR        MC1879     JCARLOS NEIRA                    */                               </t>
  </si>
  <si>
    <t>0126.00</t>
  </si>
  <si>
    <t xml:space="preserve">     /*** DESCRIPCION: Se recompila por modificación de MCFT320    */                               </t>
  </si>
  <si>
    <t>0127.00</t>
  </si>
  <si>
    <t xml:space="preserve">     H***************************************************************                               </t>
  </si>
  <si>
    <t>0128.00</t>
  </si>
  <si>
    <t xml:space="preserve">     /*** GDTI         INC-15521  FECHA 02/05/2024                 */                               </t>
  </si>
  <si>
    <t>0129.00</t>
  </si>
  <si>
    <t xml:space="preserve">     /*** AUTOR        tr9007     Ronald Gereda                    */                               </t>
  </si>
  <si>
    <t>0130.00</t>
  </si>
  <si>
    <t xml:space="preserve">     /*** DESCRIPCION: Se mueve reporte indexado a programa        */                               </t>
  </si>
  <si>
    <t>0131.00</t>
  </si>
  <si>
    <t xml:space="preserve">     /***              MCPA011R                                    */                               </t>
  </si>
  <si>
    <t>0137.00</t>
  </si>
  <si>
    <t xml:space="preserve">     H************************************************************************                      </t>
  </si>
  <si>
    <t>0138.00</t>
  </si>
  <si>
    <t xml:space="preserve">     /*** REQ          GSTI-5335  FECHA 14/02/2025                          */                      </t>
  </si>
  <si>
    <t>0139.00</t>
  </si>
  <si>
    <t xml:space="preserve">     /*** AUTOR        TR10508    Deyvis Sanchez.                           */                      </t>
  </si>
  <si>
    <t>0140.00</t>
  </si>
  <si>
    <t xml:space="preserve">     /*** DESCRIPCION: Se agrega una nueva transaccion 152 y Scot 137 para  */                      </t>
  </si>
  <si>
    <t>0141.00</t>
  </si>
  <si>
    <t xml:space="preserve">     /***              Rebate.                                              */                      </t>
  </si>
  <si>
    <t>0142.00</t>
  </si>
  <si>
    <t>0143.00</t>
  </si>
  <si>
    <t xml:space="preserve">     H*  ARCHIVOS UTILIZADOS:                                                                       </t>
  </si>
  <si>
    <t>0144.00</t>
  </si>
  <si>
    <t>0145.00</t>
  </si>
  <si>
    <t xml:space="preserve">     H*  INDICADORES UTILIZADOS:                                                                    </t>
  </si>
  <si>
    <t>0146.00</t>
  </si>
  <si>
    <t xml:space="preserve">     H*****************************************************************                             </t>
  </si>
  <si>
    <t>0147.00</t>
  </si>
  <si>
    <t xml:space="preserve">     H*  SUBRUTINAS UTILIZADAS:                                                                     </t>
  </si>
  <si>
    <t>0148.00</t>
  </si>
  <si>
    <t>0149.00</t>
  </si>
  <si>
    <t xml:space="preserve">     H*  PROGRAMAS INVOCADOS  :                                                                     </t>
  </si>
  <si>
    <t>0150.00</t>
  </si>
  <si>
    <t>0151.00</t>
  </si>
  <si>
    <t xml:space="preserve">     H*  DESCRIPCION DEL CALCULO:                                                                   </t>
  </si>
  <si>
    <t>0152.00</t>
  </si>
  <si>
    <t>0153.00</t>
  </si>
  <si>
    <t>0154.00</t>
  </si>
  <si>
    <t>0155.00</t>
  </si>
  <si>
    <t xml:space="preserve">     H*************************  FINAL  *******************************                             </t>
  </si>
  <si>
    <t>0156.00</t>
  </si>
  <si>
    <t xml:space="preserve">     hdatedit(*dmy)  fixnbr(*zoned:*inputpacked)                                                    </t>
  </si>
  <si>
    <t>0157.00</t>
  </si>
  <si>
    <t xml:space="preserve">     HDFTACTGRP(*NO)                                                                                </t>
  </si>
  <si>
    <t>0158.00</t>
  </si>
  <si>
    <t xml:space="preserve">     fmcft003   if   e             disk                                                             </t>
  </si>
  <si>
    <t>0159.00</t>
  </si>
  <si>
    <t xml:space="preserve">     fmclt044ka uf a e           k disk                                                             </t>
  </si>
  <si>
    <t>0160.00</t>
  </si>
  <si>
    <t xml:space="preserve">     fmcft044ya if a e           k disk    rename(RMCFT044:r44ya)                                   </t>
  </si>
  <si>
    <t>0162.00</t>
  </si>
  <si>
    <t xml:space="preserve">     fmcfv004   if   e           k disk                                                             </t>
  </si>
  <si>
    <t>0163.00</t>
  </si>
  <si>
    <t xml:space="preserve">     fmcfm027   if   e           k disk                                                             </t>
  </si>
  <si>
    <t>0164.00</t>
  </si>
  <si>
    <t xml:space="preserve">     fmcfv075   if   e           k disk                                                             </t>
  </si>
  <si>
    <t>0166.00</t>
  </si>
  <si>
    <t xml:space="preserve">     fmcfm019   if   e           k disk                                                             </t>
  </si>
  <si>
    <t>0167.00</t>
  </si>
  <si>
    <t xml:space="preserve">     fmcfv017   if   e           k disk                                                             </t>
  </si>
  <si>
    <t>0168.00</t>
  </si>
  <si>
    <t xml:space="preserve">     fmclv002a  if   e           k disk                                                             </t>
  </si>
  <si>
    <t>0169.00</t>
  </si>
  <si>
    <t xml:space="preserve">     fmcfm200   uf   e           k disk    prefix(A_)                                               </t>
  </si>
  <si>
    <t>0170.00</t>
  </si>
  <si>
    <t xml:space="preserve">     fmcfv041   if   e           k disk                                                             </t>
  </si>
  <si>
    <t>0171.00</t>
  </si>
  <si>
    <t xml:space="preserve">     fMCFV086   if   e           k disk    prefix(c_)                                               </t>
  </si>
  <si>
    <t>0172.00</t>
  </si>
  <si>
    <t xml:space="preserve">     fmcft003DX if a e           k disk    rename(RMCFT03:RMCFT003DX)                               </t>
  </si>
  <si>
    <t>0173.00</t>
  </si>
  <si>
    <t xml:space="preserve">     fmcft601   if   e           k disk    PREFIX(d_)                                               </t>
  </si>
  <si>
    <t>0174.00</t>
  </si>
  <si>
    <t xml:space="preserve">     fmcft603   if   e           k disk    prefix(e_)                                               </t>
  </si>
  <si>
    <t>0175.00</t>
  </si>
  <si>
    <t xml:space="preserve">     fmcft320   o    e             disk                                                             </t>
  </si>
  <si>
    <t>0176.00</t>
  </si>
  <si>
    <t xml:space="preserve">     fmcfw010   o    e             disk                                                             </t>
  </si>
  <si>
    <t>0177.00</t>
  </si>
  <si>
    <t xml:space="preserve">     fqsysprt   o    f  256        printer oflind(*inov)                                            </t>
  </si>
  <si>
    <t>0178.00</t>
  </si>
  <si>
    <t xml:space="preserve">     d*-                                                                                            </t>
  </si>
  <si>
    <t>0179.00</t>
  </si>
  <si>
    <t xml:space="preserve">     d rcur2           ds                                                                           </t>
  </si>
  <si>
    <t>0180.00</t>
  </si>
  <si>
    <t xml:space="preserve">     d  r2prod                        2a                                                            </t>
  </si>
  <si>
    <t>0181.00</t>
  </si>
  <si>
    <t xml:space="preserve">     d  r2cest                        9s 0                                                          </t>
  </si>
  <si>
    <t>0182.00</t>
  </si>
  <si>
    <t xml:space="preserve">     d  r2ctra                        3s 0                                                          </t>
  </si>
  <si>
    <t>0183.00</t>
  </si>
  <si>
    <t xml:space="preserve">     d  r2fpro                        8s 0                                                          </t>
  </si>
  <si>
    <t>0184.00</t>
  </si>
  <si>
    <t xml:space="preserve">     d  r2fabo                        8s 0                                                          </t>
  </si>
  <si>
    <t>0185.00</t>
  </si>
  <si>
    <t xml:space="preserve">     d  r2numt                       15s 2                                                          </t>
  </si>
  <si>
    <t>0186.00</t>
  </si>
  <si>
    <t xml:space="preserve">     d  r2impo                       15s 2                                                          </t>
  </si>
  <si>
    <t>0187.00</t>
  </si>
  <si>
    <t xml:space="preserve">     d  r2comi                       15s 2                                                          </t>
  </si>
  <si>
    <t>0188.00</t>
  </si>
  <si>
    <t xml:space="preserve">     d  r2impr                       15s 2                                                          </t>
  </si>
  <si>
    <t>0189.00</t>
  </si>
  <si>
    <t xml:space="preserve">     d  r2net1                       15s 2                                                          </t>
  </si>
  <si>
    <t>0190.00</t>
  </si>
  <si>
    <t xml:space="preserve">      *-                                                                                            </t>
  </si>
  <si>
    <t>0191.00</t>
  </si>
  <si>
    <t xml:space="preserve">     d rcursor       e ds                  extname(mcft044)                                         </t>
  </si>
  <si>
    <t>0192.00</t>
  </si>
  <si>
    <t>0193.00</t>
  </si>
  <si>
    <t xml:space="preserve">     d                sds                                                                           </t>
  </si>
  <si>
    <t>0194.00</t>
  </si>
  <si>
    <t xml:space="preserve">     d pgid              *proc                                                                      </t>
  </si>
  <si>
    <t>0195.00</t>
  </si>
  <si>
    <t xml:space="preserve">     d  wsid                 244    253                                                             </t>
  </si>
  <si>
    <t>0196.00</t>
  </si>
  <si>
    <t xml:space="preserve">     d  usid                 254    263                                                             </t>
  </si>
  <si>
    <t>0197.00</t>
  </si>
  <si>
    <t xml:space="preserve">      *                                                                                             </t>
  </si>
  <si>
    <t>0198.00</t>
  </si>
  <si>
    <t xml:space="preserve">     d tit             s             80    dim(9) ctdata perrcd(1)                                  </t>
  </si>
  <si>
    <t>0199.00</t>
  </si>
  <si>
    <t xml:space="preserve">     d s               s              1    inz(X'7D')                                               </t>
  </si>
  <si>
    <t>0200.00</t>
  </si>
  <si>
    <t xml:space="preserve">     d*                                                                                             </t>
  </si>
  <si>
    <t>0201.00</t>
  </si>
  <si>
    <t xml:space="preserve">     d glosa           s             26    INZ('RECLASIF.')                                         </t>
  </si>
  <si>
    <t>0202.00</t>
  </si>
  <si>
    <t>0203.00</t>
  </si>
  <si>
    <t xml:space="preserve">     d   korg          s              3p 0 inz(105)                                                 </t>
  </si>
  <si>
    <t>0204.00</t>
  </si>
  <si>
    <t xml:space="preserve">     d   kcta          s              9p 0                                                          </t>
  </si>
  <si>
    <t>0205.00</t>
  </si>
  <si>
    <t xml:space="preserve">     d   ksec          s              2  0 inz(01)                                                  </t>
  </si>
  <si>
    <t>0206.00</t>
  </si>
  <si>
    <t xml:space="preserve">      * fecha interna sistema                                                                       </t>
  </si>
  <si>
    <t>0207.00</t>
  </si>
  <si>
    <t xml:space="preserve">     d hora_fecha      ds                                                                           </t>
  </si>
  <si>
    <t>0208.00</t>
  </si>
  <si>
    <t xml:space="preserve">     d  hora                   1      6  0                                                          </t>
  </si>
  <si>
    <t>0209.00</t>
  </si>
  <si>
    <t xml:space="preserve">     d  fecha                  7     14  0                                                          </t>
  </si>
  <si>
    <t>0210.00</t>
  </si>
  <si>
    <t xml:space="preserve">     d  dd                     7      8  0                                                          </t>
  </si>
  <si>
    <t>0211.00</t>
  </si>
  <si>
    <t xml:space="preserve">     d  mm                     9     10  0                                                          </t>
  </si>
  <si>
    <t>0212.00</t>
  </si>
  <si>
    <t xml:space="preserve">     d  aaaa                  11     14  0                                                          </t>
  </si>
  <si>
    <t>0213.00</t>
  </si>
  <si>
    <t>0214.00</t>
  </si>
  <si>
    <t xml:space="preserve">     d periodo         ds                                                                           </t>
  </si>
  <si>
    <t>0215.00</t>
  </si>
  <si>
    <t xml:space="preserve">     d  peri                   1      6  0                                                          </t>
  </si>
  <si>
    <t>0216.00</t>
  </si>
  <si>
    <t xml:space="preserve">     d  aaaap                  1      4  0                                                          </t>
  </si>
  <si>
    <t>0217.00</t>
  </si>
  <si>
    <t xml:space="preserve">     d  mmp                    5      6  0                                                          </t>
  </si>
  <si>
    <t>0218.00</t>
  </si>
  <si>
    <t>0219.00</t>
  </si>
  <si>
    <t xml:space="preserve">     d   dia           s              2  0                                                          </t>
  </si>
  <si>
    <t>0220.00</t>
  </si>
  <si>
    <t xml:space="preserve">     d   mes           s              2  0                                                          </t>
  </si>
  <si>
    <t>0221.00</t>
  </si>
  <si>
    <t xml:space="preserve">     d   anio          s              4  0                                                          </t>
  </si>
  <si>
    <t>0222.00</t>
  </si>
  <si>
    <t xml:space="preserve">     d   CIA           s              2  0 inz(99)                                                  </t>
  </si>
  <si>
    <t>0223.00</t>
  </si>
  <si>
    <t xml:space="preserve">     d   SUCURSAL      s              3  0 inz(1)                                                   </t>
  </si>
  <si>
    <t>0224.00</t>
  </si>
  <si>
    <t xml:space="preserve">     d   MONEDAC       s              2  0 inz(2)                                                   </t>
  </si>
  <si>
    <t>0225.00</t>
  </si>
  <si>
    <t xml:space="preserve">     d   PROMEDIO      s              2  0 inz(2)                                                   </t>
  </si>
  <si>
    <t>0226.00</t>
  </si>
  <si>
    <t xml:space="preserve">     d   tipoCambio    s              5  3                                                          </t>
  </si>
  <si>
    <t>0227.00</t>
  </si>
  <si>
    <t xml:space="preserve">     d   montoSoles    s             15  2                                                          </t>
  </si>
  <si>
    <t>0228.00</t>
  </si>
  <si>
    <t xml:space="preserve">     d moneda          s              3a                                                            </t>
  </si>
  <si>
    <t>0229.00</t>
  </si>
  <si>
    <t xml:space="preserve">     d numeroTraspaso...                                                                            </t>
  </si>
  <si>
    <t>0230.00</t>
  </si>
  <si>
    <t xml:space="preserve">     d                 s              5  0                                                          </t>
  </si>
  <si>
    <t>0231.00</t>
  </si>
  <si>
    <t xml:space="preserve">     d codigoSeccion   s              4  0                                                          </t>
  </si>
  <si>
    <t>0232.00</t>
  </si>
  <si>
    <t xml:space="preserve">     d                                                                                              </t>
  </si>
  <si>
    <t>0233.00</t>
  </si>
  <si>
    <t xml:space="preserve">     d IDISTIMPO       s               n                                                            </t>
  </si>
  <si>
    <t>0234.00</t>
  </si>
  <si>
    <t>0235.00</t>
  </si>
  <si>
    <t xml:space="preserve">     d arrTrxAbo       s              3  0 dim(99)                                                  </t>
  </si>
  <si>
    <t>0236.00</t>
  </si>
  <si>
    <t xml:space="preserve">     d nIndex          s              3  0                                                          </t>
  </si>
  <si>
    <t>0237.00</t>
  </si>
  <si>
    <t>0239.00</t>
  </si>
  <si>
    <t xml:space="preserve">     d TRX_REBATE      c                   const(152)                                               </t>
  </si>
  <si>
    <t>0240.00</t>
  </si>
  <si>
    <t xml:space="preserve">     d SCOT_REBATE     c                   const(137)                                               </t>
  </si>
  <si>
    <t>0241.00</t>
  </si>
  <si>
    <t xml:space="preserve">     c***************************************************************                               </t>
  </si>
  <si>
    <t>0242.00</t>
  </si>
  <si>
    <t xml:space="preserve">     c*                                                                                             </t>
  </si>
  <si>
    <t>0243.00</t>
  </si>
  <si>
    <t>0244.00</t>
  </si>
  <si>
    <t xml:space="preserve">     c/Exec Sql                                                                                     </t>
  </si>
  <si>
    <t>0245.00</t>
  </si>
  <si>
    <t xml:space="preserve">     c+   SET OPTION COMMIT = *NONE                                                                 </t>
  </si>
  <si>
    <t>0246.00</t>
  </si>
  <si>
    <t xml:space="preserve">     c/End-Exec                                                                                     </t>
  </si>
  <si>
    <t>0247.00</t>
  </si>
  <si>
    <t xml:space="preserve">     c                   exsr      srLoadTRX                                                        </t>
  </si>
  <si>
    <t>0248.00</t>
  </si>
  <si>
    <t xml:space="preserve">     c* carga                                                                                       </t>
  </si>
  <si>
    <t>0249.00</t>
  </si>
  <si>
    <t xml:space="preserve">     c                   if        %trim(ptotal) &lt;&gt; 'TOT'                                           </t>
  </si>
  <si>
    <t>0250.00</t>
  </si>
  <si>
    <t xml:space="preserve">     c                   clear                   rmcft044                                           </t>
  </si>
  <si>
    <t>0252.00</t>
  </si>
  <si>
    <t xml:space="preserve">     c                   read      mcft003                                31                        </t>
  </si>
  <si>
    <t>0253.00</t>
  </si>
  <si>
    <t xml:space="preserve">     c                   dow       not *in31                                                        </t>
  </si>
  <si>
    <t>0254.00</t>
  </si>
  <si>
    <t xml:space="preserve">      * actualiza cta bco pagador                                                                   </t>
  </si>
  <si>
    <t>0255.00</t>
  </si>
  <si>
    <t xml:space="preserve">     c                   exsr      buscue                                                           </t>
  </si>
  <si>
    <t>0256.00</t>
  </si>
  <si>
    <t xml:space="preserve">     c                   if        petpag = ptpag and                                               </t>
  </si>
  <si>
    <t>0257.00</t>
  </si>
  <si>
    <t xml:space="preserve">     c                             %lookup(pectra:arrTrxAbo)&gt;0                                      </t>
  </si>
  <si>
    <t>0258.00</t>
  </si>
  <si>
    <t xml:space="preserve">     c                             and petdot &lt;&gt; 'T'                                                </t>
  </si>
  <si>
    <t>0259.00</t>
  </si>
  <si>
    <t xml:space="preserve">     c                                                                                              </t>
  </si>
  <si>
    <t>0260.00</t>
  </si>
  <si>
    <t xml:space="preserve">     c                   Exsr      srVerifica                                                       </t>
  </si>
  <si>
    <t>0261.00</t>
  </si>
  <si>
    <t xml:space="preserve">     c                   Select                                                                     </t>
  </si>
  <si>
    <t>0262.00</t>
  </si>
  <si>
    <t xml:space="preserve">     c                   When      iDistImpo                                                        </t>
  </si>
  <si>
    <t>0263.00</t>
  </si>
  <si>
    <t xml:space="preserve">     c                   Exsr      sbrDistImpo                                                      </t>
  </si>
  <si>
    <t>0264.00</t>
  </si>
  <si>
    <t xml:space="preserve">     c                   Other                                                                      </t>
  </si>
  <si>
    <t>0265.00</t>
  </si>
  <si>
    <t xml:space="preserve">     c                   Exsr      sbrProcNor                                                       </t>
  </si>
  <si>
    <t>0266.00</t>
  </si>
  <si>
    <t xml:space="preserve">     c                   EndSl                                                                      </t>
  </si>
  <si>
    <t>0267.00</t>
  </si>
  <si>
    <t>0268.00</t>
  </si>
  <si>
    <t xml:space="preserve">     c                   endif                                                                      </t>
  </si>
  <si>
    <t>0269.00</t>
  </si>
  <si>
    <t>0271.00</t>
  </si>
  <si>
    <t>0272.00</t>
  </si>
  <si>
    <t xml:space="preserve">     c                   enddo                                                                      </t>
  </si>
  <si>
    <t>0273.00</t>
  </si>
  <si>
    <t>0274.00</t>
  </si>
  <si>
    <t xml:space="preserve">     c* reporte                                                                                     </t>
  </si>
  <si>
    <t>0275.00</t>
  </si>
  <si>
    <t xml:space="preserve">     c                   exsr      imprime                                                          </t>
  </si>
  <si>
    <t>0276.00</t>
  </si>
  <si>
    <t>0277.00</t>
  </si>
  <si>
    <t xml:space="preserve">     c                   seton                                        lr                            </t>
  </si>
  <si>
    <t>0278.00</t>
  </si>
  <si>
    <t xml:space="preserve">     c                   return                                                                     </t>
  </si>
  <si>
    <t>0279.00</t>
  </si>
  <si>
    <t xml:space="preserve">      *=========================================================*                                   </t>
  </si>
  <si>
    <t>0280.00</t>
  </si>
  <si>
    <t xml:space="preserve">      *  carga trx que generan abono                                                                </t>
  </si>
  <si>
    <t>0281.00</t>
  </si>
  <si>
    <t>0282.00</t>
  </si>
  <si>
    <t xml:space="preserve">     c     srLoadTRX     begsr                                                                      </t>
  </si>
  <si>
    <t>0283.00</t>
  </si>
  <si>
    <t xml:space="preserve">     c                   eval      PGTIPO = 'TRXABO'                                                </t>
  </si>
  <si>
    <t>0284.00</t>
  </si>
  <si>
    <t xml:space="preserve">     c                   eval      nIndex = 1                                                       </t>
  </si>
  <si>
    <t>0285.00</t>
  </si>
  <si>
    <t xml:space="preserve">     c     PGTIPO        setll     MCFV075                                                          </t>
  </si>
  <si>
    <t>0286.00</t>
  </si>
  <si>
    <t xml:space="preserve">     c     PGTIPO        reade     MCFV075                                                          </t>
  </si>
  <si>
    <t>0287.00</t>
  </si>
  <si>
    <t xml:space="preserve">     c                   dow       not %eof(MCFV075)                                                </t>
  </si>
  <si>
    <t>0288.00</t>
  </si>
  <si>
    <t xml:space="preserve">     c                   if        pgcodi&lt;&gt;''                                                       </t>
  </si>
  <si>
    <t>0289.00</t>
  </si>
  <si>
    <t xml:space="preserve">     c                   eval      arrTrxAbo(nIndex)=%int(pgcodi)                                   </t>
  </si>
  <si>
    <t>0290.00</t>
  </si>
  <si>
    <t xml:space="preserve">     c                   eval      nIndex += 1                                                      </t>
  </si>
  <si>
    <t>0291.00</t>
  </si>
  <si>
    <t xml:space="preserve">     c                   endIf                                                                      </t>
  </si>
  <si>
    <t>0292.00</t>
  </si>
  <si>
    <t>0293.00</t>
  </si>
  <si>
    <t xml:space="preserve">     c                   endDo                                                                      </t>
  </si>
  <si>
    <t>0294.00</t>
  </si>
  <si>
    <t xml:space="preserve">     c                   EndSr                                                                      </t>
  </si>
  <si>
    <t>0295.00</t>
  </si>
  <si>
    <t>0296.00</t>
  </si>
  <si>
    <t xml:space="preserve">      *  Verifica tipo de distribución                                                              </t>
  </si>
  <si>
    <t>0297.00</t>
  </si>
  <si>
    <t>0298.00</t>
  </si>
  <si>
    <t xml:space="preserve">     c     srVerifica    begsr                                                                      </t>
  </si>
  <si>
    <t>0299.00</t>
  </si>
  <si>
    <t>0300.00</t>
  </si>
  <si>
    <t xml:space="preserve">     c                   Eval      iDistImpo = *off                                                 </t>
  </si>
  <si>
    <t>0301.00</t>
  </si>
  <si>
    <t>0302.00</t>
  </si>
  <si>
    <t xml:space="preserve">     c                   If        ptpag &lt;&gt;'ACC'                                                    </t>
  </si>
  <si>
    <t>0303.00</t>
  </si>
  <si>
    <t xml:space="preserve">     c                   LeaveSr                                                                    </t>
  </si>
  <si>
    <t>0304.00</t>
  </si>
  <si>
    <t>0305.00</t>
  </si>
  <si>
    <t>0306.00</t>
  </si>
  <si>
    <t xml:space="preserve">     c     PERUCE        chain(n)  MCFT601                                                          </t>
  </si>
  <si>
    <t>0307.00</t>
  </si>
  <si>
    <t xml:space="preserve">     c                   If        %Found(MCFT601)                                                  </t>
  </si>
  <si>
    <t>0308.00</t>
  </si>
  <si>
    <t xml:space="preserve">     c                   Eval      iDistImpo = *on                                                  </t>
  </si>
  <si>
    <t>0309.00</t>
  </si>
  <si>
    <t>0310.00</t>
  </si>
  <si>
    <t xml:space="preserve">     c                   EndIf                                                                      </t>
  </si>
  <si>
    <t>0311.00</t>
  </si>
  <si>
    <t>0312.00</t>
  </si>
  <si>
    <t xml:space="preserve">     c     PECEST        chain(n)  MCFT603                                                          </t>
  </si>
  <si>
    <t>0313.00</t>
  </si>
  <si>
    <t xml:space="preserve">     c                   If        %Found(MCFT603)                                                  </t>
  </si>
  <si>
    <t>0314.00</t>
  </si>
  <si>
    <t>0315.00</t>
  </si>
  <si>
    <t>0316.00</t>
  </si>
  <si>
    <t>0317.00</t>
  </si>
  <si>
    <t>0318.00</t>
  </si>
  <si>
    <t>0319.00</t>
  </si>
  <si>
    <t>0320.00</t>
  </si>
  <si>
    <t xml:space="preserve">      *  Proceso Especial para distribuir importes                                                  </t>
  </si>
  <si>
    <t>0321.00</t>
  </si>
  <si>
    <t>0322.00</t>
  </si>
  <si>
    <t xml:space="preserve">     c     sbrDistImpo   begsr                                                                      </t>
  </si>
  <si>
    <t>0323.00</t>
  </si>
  <si>
    <t>0324.00</t>
  </si>
  <si>
    <t xml:space="preserve">     c                   Write     RMCFT003DX                                                       </t>
  </si>
  <si>
    <t>0325.00</t>
  </si>
  <si>
    <t>0326.00</t>
  </si>
  <si>
    <t>0327.00</t>
  </si>
  <si>
    <t>0328.00</t>
  </si>
  <si>
    <t xml:space="preserve">      *  Proceso Normal                                                                             </t>
  </si>
  <si>
    <t>0329.00</t>
  </si>
  <si>
    <t>0330.00</t>
  </si>
  <si>
    <t xml:space="preserve">     c     sbrProcNor    begsr                                                                      </t>
  </si>
  <si>
    <t>0331.00</t>
  </si>
  <si>
    <t>0332.00</t>
  </si>
  <si>
    <t xml:space="preserve">     c                   z-add     penet2        penet3                                             </t>
  </si>
  <si>
    <t>0333.00</t>
  </si>
  <si>
    <t xml:space="preserve">     c                   if        pefabo &gt; *zeros                                                  </t>
  </si>
  <si>
    <t>0334.00</t>
  </si>
  <si>
    <t xml:space="preserve">     c                   z-add     pefabo        pefabr                                             </t>
  </si>
  <si>
    <t>0335.00</t>
  </si>
  <si>
    <t>0336.00</t>
  </si>
  <si>
    <t>0337.00</t>
  </si>
  <si>
    <t xml:space="preserve">     c     pecest        chain     mcfm027                            30                            </t>
  </si>
  <si>
    <t>0338.00</t>
  </si>
  <si>
    <t xml:space="preserve">     c                   if        *in30='0'                                                        </t>
  </si>
  <si>
    <t>0339.00</t>
  </si>
  <si>
    <t xml:space="preserve">     c                   if        meabon = 'Y'                                                     </t>
  </si>
  <si>
    <t>0340.00</t>
  </si>
  <si>
    <t xml:space="preserve">     c                   z-add     peimpo        penet1                                             </t>
  </si>
  <si>
    <t>0341.00</t>
  </si>
  <si>
    <t xml:space="preserve">     c                   z-add     peimpo        penet2                                             </t>
  </si>
  <si>
    <t>0342.00</t>
  </si>
  <si>
    <t xml:space="preserve">     c                   z-add     peimpo        penet3                                             </t>
  </si>
  <si>
    <t>0343.00</t>
  </si>
  <si>
    <t xml:space="preserve">     c                   z-add     *zeros        pecomi                                             </t>
  </si>
  <si>
    <t>0344.00</t>
  </si>
  <si>
    <t xml:space="preserve">     c                   z-add     *zeros        peimpr                                             </t>
  </si>
  <si>
    <t>0345.00</t>
  </si>
  <si>
    <t xml:space="preserve">     c                   z-add     *zeros        peicdv                                             </t>
  </si>
  <si>
    <t>0346.00</t>
  </si>
  <si>
    <t xml:space="preserve">     c                   z-add     *zeros        peiret                                             </t>
  </si>
  <si>
    <t>0347.00</t>
  </si>
  <si>
    <t>0348.00</t>
  </si>
  <si>
    <t>0349.00</t>
  </si>
  <si>
    <t>0350.00</t>
  </si>
  <si>
    <t xml:space="preserve">     c                   if        conta &gt; *zeros                                                   </t>
  </si>
  <si>
    <t>0351.00</t>
  </si>
  <si>
    <t xml:space="preserve">     c                   exsr      gra010                                                           </t>
  </si>
  <si>
    <t>0352.00</t>
  </si>
  <si>
    <t xml:space="preserve">     c                   exsr      gra320                                                           </t>
  </si>
  <si>
    <t>0353.00</t>
  </si>
  <si>
    <t>0354.00</t>
  </si>
  <si>
    <t>0355.00</t>
  </si>
  <si>
    <t xml:space="preserve">     c                   Exsr      srFndScot                                                        </t>
  </si>
  <si>
    <t>0359.00</t>
  </si>
  <si>
    <t xml:space="preserve">     c                   Write     rmcft044                                                         </t>
  </si>
  <si>
    <t>0361.00</t>
  </si>
  <si>
    <t>0362.00</t>
  </si>
  <si>
    <t>0363.00</t>
  </si>
  <si>
    <t>0364.00</t>
  </si>
  <si>
    <t xml:space="preserve">      *  OBTIENE SCOT                                                                               </t>
  </si>
  <si>
    <t>0365.00</t>
  </si>
  <si>
    <t>0366.00</t>
  </si>
  <si>
    <t xml:space="preserve">     c     srFndScot     BegSr                                                                      </t>
  </si>
  <si>
    <t>0367.00</t>
  </si>
  <si>
    <t>0368.00</t>
  </si>
  <si>
    <t xml:space="preserve">     c                   IF        PECTRA = 71                                                      </t>
  </si>
  <si>
    <t>0369.00</t>
  </si>
  <si>
    <t xml:space="preserve">     c                   IF        PEPROD = 'BF'                                                    </t>
  </si>
  <si>
    <t>0370.00</t>
  </si>
  <si>
    <t xml:space="preserve">     c                   Z-ADD     193           PESCOT                                             </t>
  </si>
  <si>
    <t>0371.00</t>
  </si>
  <si>
    <t xml:space="preserve">     c                   ELSE                                                                       </t>
  </si>
  <si>
    <t>0372.00</t>
  </si>
  <si>
    <t xml:space="preserve">     c                   Z-ADD     192           PESCOT                                             </t>
  </si>
  <si>
    <t>0373.00</t>
  </si>
  <si>
    <t xml:space="preserve">     c                   ENDIF                                                                      </t>
  </si>
  <si>
    <t>0374.00</t>
  </si>
  <si>
    <t>0375.00</t>
  </si>
  <si>
    <t>0376.00</t>
  </si>
  <si>
    <t xml:space="preserve">     c                   If        PECTRA = TRX_REBATE                                              </t>
  </si>
  <si>
    <t>0377.00</t>
  </si>
  <si>
    <t xml:space="preserve">     c                   eval      PESCOT = SCOT_REBATE                                             </t>
  </si>
  <si>
    <t>0378.00</t>
  </si>
  <si>
    <t>0385.00</t>
  </si>
  <si>
    <t>0386.00</t>
  </si>
  <si>
    <t>0387.00</t>
  </si>
  <si>
    <t xml:space="preserve">      *----------------------------------------------------------                                   </t>
  </si>
  <si>
    <t>0388.00</t>
  </si>
  <si>
    <t xml:space="preserve">      *  OBTIENE FECHA PARA TIPO CAMBIO                                                             </t>
  </si>
  <si>
    <t>0389.00</t>
  </si>
  <si>
    <t>0390.00</t>
  </si>
  <si>
    <t xml:space="preserve">     c     sbrFecCambio  begsr                                                                      </t>
  </si>
  <si>
    <t>0391.00</t>
  </si>
  <si>
    <t xml:space="preserve">     c                   eval      dia = %dec(%subst(pfdia:1:2):2:0)                                </t>
  </si>
  <si>
    <t>0392.00</t>
  </si>
  <si>
    <t xml:space="preserve">     c                   eval      mes = %dec(%subst(pfdia:3:2):2:0)                                </t>
  </si>
  <si>
    <t>0393.00</t>
  </si>
  <si>
    <t xml:space="preserve">     c                   eval      anio =%dec(%subst(pfdia:5:4):4:0)                                </t>
  </si>
  <si>
    <t>0394.00</t>
  </si>
  <si>
    <t xml:space="preserve">     c                   endsr                                                                      </t>
  </si>
  <si>
    <t>0395.00</t>
  </si>
  <si>
    <t xml:space="preserve">     c*----------------------------------------------------------                                   </t>
  </si>
  <si>
    <t>0396.00</t>
  </si>
  <si>
    <t xml:space="preserve">     c*  OBTIENE TIPO CAMBIO VENTA                                                                  </t>
  </si>
  <si>
    <t>0397.00</t>
  </si>
  <si>
    <t>0398.00</t>
  </si>
  <si>
    <t xml:space="preserve">     c     sbrTipoCambio begsr                                                                      </t>
  </si>
  <si>
    <t>0399.00</t>
  </si>
  <si>
    <t xml:space="preserve">     c     kv017         chain     MCFV017                                                          </t>
  </si>
  <si>
    <t>0400.00</t>
  </si>
  <si>
    <t xml:space="preserve">     c                   if        %found()                                                         </t>
  </si>
  <si>
    <t>0401.00</t>
  </si>
  <si>
    <t xml:space="preserve">     c                   eval      tipoCambio  = OVVEN                                              </t>
  </si>
  <si>
    <t>0402.00</t>
  </si>
  <si>
    <t xml:space="preserve">     c                   else                                                                       </t>
  </si>
  <si>
    <t>0403.00</t>
  </si>
  <si>
    <t xml:space="preserve">     c     kv017         setgt     MCFV017                                                          </t>
  </si>
  <si>
    <t>0404.00</t>
  </si>
  <si>
    <t xml:space="preserve">     c                   readp     MCFV017                                                          </t>
  </si>
  <si>
    <t>0405.00</t>
  </si>
  <si>
    <t>0406.00</t>
  </si>
  <si>
    <t>0407.00</t>
  </si>
  <si>
    <t>0408.00</t>
  </si>
  <si>
    <t>0409.00</t>
  </si>
  <si>
    <t>0410.00</t>
  </si>
  <si>
    <t>0411.00</t>
  </si>
  <si>
    <t xml:space="preserve">     c     imprime       begsr                                                                      </t>
  </si>
  <si>
    <t>0412.00</t>
  </si>
  <si>
    <t xml:space="preserve">     c                   exsr      upd044                                                           </t>
  </si>
  <si>
    <t>0413.00</t>
  </si>
  <si>
    <t xml:space="preserve">      * obtiene pagos IzipayYa                                                                      </t>
  </si>
  <si>
    <t>0414.00</t>
  </si>
  <si>
    <t xml:space="preserve">     c                   exsr      getIziYa                                                         </t>
  </si>
  <si>
    <t>0415.00</t>
  </si>
  <si>
    <t xml:space="preserve">     c*-                                                                                            </t>
  </si>
  <si>
    <t>0416.00</t>
  </si>
  <si>
    <t>0417.00</t>
  </si>
  <si>
    <t>0418.00</t>
  </si>
  <si>
    <t xml:space="preserve">     c*  Busca cuenta para registro CHQ                                                             </t>
  </si>
  <si>
    <t>0419.00</t>
  </si>
  <si>
    <t>0420.00</t>
  </si>
  <si>
    <t xml:space="preserve">     c     busCue        begsr                                                                      </t>
  </si>
  <si>
    <t>0421.00</t>
  </si>
  <si>
    <t xml:space="preserve">     c                   z-add     *zeros        conta             1 0                              </t>
  </si>
  <si>
    <t>0422.00</t>
  </si>
  <si>
    <t xml:space="preserve">      * solo para CHQ                                                                               </t>
  </si>
  <si>
    <t>0423.00</t>
  </si>
  <si>
    <t xml:space="preserve">     c                   if        petpag = 'CHQ'                                                   </t>
  </si>
  <si>
    <t>0424.00</t>
  </si>
  <si>
    <t xml:space="preserve">     c                   z-add     *zeros        pefabo                                             </t>
  </si>
  <si>
    <t>0425.00</t>
  </si>
  <si>
    <t xml:space="preserve">     c     pecest        chain     mcfm019                                                          </t>
  </si>
  <si>
    <t>0426.00</t>
  </si>
  <si>
    <t xml:space="preserve">     c                   if        %found(mcfm019)                                                  </t>
  </si>
  <si>
    <t>0427.00</t>
  </si>
  <si>
    <t xml:space="preserve">     c                   move      *blanks       kvprod            2                                </t>
  </si>
  <si>
    <t>0428.00</t>
  </si>
  <si>
    <t xml:space="preserve">     c                   if        meemon = 'P' and mecafr &gt; 0                                      </t>
  </si>
  <si>
    <t>0429.00</t>
  </si>
  <si>
    <t xml:space="preserve">     c     mecafr        chain     mcfm019                            33                            </t>
  </si>
  <si>
    <t>0430.00</t>
  </si>
  <si>
    <t>0431.00</t>
  </si>
  <si>
    <t xml:space="preserve">     c     kv002a        chain     mclv002a                           33                            </t>
  </si>
  <si>
    <t>0432.00</t>
  </si>
  <si>
    <t xml:space="preserve">     c  n33              if        cectct &lt;&gt; ' '                                                    </t>
  </si>
  <si>
    <t>0433.00</t>
  </si>
  <si>
    <t xml:space="preserve">     c                   z-add     cecbco        pebcop                                             </t>
  </si>
  <si>
    <t>0434.00</t>
  </si>
  <si>
    <t xml:space="preserve">     c                   movel(p)  'ACC'         petpag                                             </t>
  </si>
  <si>
    <t>0435.00</t>
  </si>
  <si>
    <t xml:space="preserve">     c                   movel(p)  cectct        peccch                                             </t>
  </si>
  <si>
    <t>0436.00</t>
  </si>
  <si>
    <t xml:space="preserve">     c                   movel(p)  cetcta        petcta                                             </t>
  </si>
  <si>
    <t>0437.00</t>
  </si>
  <si>
    <t xml:space="preserve">     c                   movel(p)  ceagru        peagru                                             </t>
  </si>
  <si>
    <t>0438.00</t>
  </si>
  <si>
    <t xml:space="preserve">     c                   movel(p)  cefcta        pefcta                                             </t>
  </si>
  <si>
    <t>0439.00</t>
  </si>
  <si>
    <t xml:space="preserve">     c                   movel(p)  cectib        pectib                                             </t>
  </si>
  <si>
    <t>0440.00</t>
  </si>
  <si>
    <t xml:space="preserve">     c                   movel(p)  cepagt        pepagt                                             </t>
  </si>
  <si>
    <t>0441.00</t>
  </si>
  <si>
    <t xml:space="preserve">     c                   movel(p)  ceruct        peruct                                             </t>
  </si>
  <si>
    <t>0442.00</t>
  </si>
  <si>
    <t xml:space="preserve">     c                   movel(p)  cenomt        penomt                                             </t>
  </si>
  <si>
    <t>0443.00</t>
  </si>
  <si>
    <t xml:space="preserve">     c                   movel(p)  'Y'           peabom                                             </t>
  </si>
  <si>
    <t>0444.00</t>
  </si>
  <si>
    <t xml:space="preserve">     c                   movel(p)  pgid          peusac                                             </t>
  </si>
  <si>
    <t>0445.00</t>
  </si>
  <si>
    <t xml:space="preserve">     c                   eval      peobse = 'ABONO NO TENIA CUENTA'                                 </t>
  </si>
  <si>
    <t>0446.00</t>
  </si>
  <si>
    <t>0447.00</t>
  </si>
  <si>
    <t xml:space="preserve">     c                   z-add     1             diasr                                              </t>
  </si>
  <si>
    <t>0448.00</t>
  </si>
  <si>
    <t xml:space="preserve">     c                   z-add     2             format                                             </t>
  </si>
  <si>
    <t>0449.00</t>
  </si>
  <si>
    <t xml:space="preserve">     c                   z-add     w1fpro        fecini                                             </t>
  </si>
  <si>
    <t>0450.00</t>
  </si>
  <si>
    <t xml:space="preserve">     c                   z-add     0             fecfin                                             </t>
  </si>
  <si>
    <t>0451.00</t>
  </si>
  <si>
    <t xml:space="preserve">     c                   call      'MCPS004'     P6                                                 </t>
  </si>
  <si>
    <t>0452.00</t>
  </si>
  <si>
    <t xml:space="preserve">     c                   z-add     fecfin        pefabo                                             </t>
  </si>
  <si>
    <t>0453.00</t>
  </si>
  <si>
    <t xml:space="preserve">     c                   z-add     diasr         pendab                                             </t>
  </si>
  <si>
    <t>0454.00</t>
  </si>
  <si>
    <t xml:space="preserve">     c                   z-add     1             conta             1 0                              </t>
  </si>
  <si>
    <t>0455.00</t>
  </si>
  <si>
    <t>0456.00</t>
  </si>
  <si>
    <t>0457.00</t>
  </si>
  <si>
    <t>0458.00</t>
  </si>
  <si>
    <t>0459.00</t>
  </si>
  <si>
    <t>0460.00</t>
  </si>
  <si>
    <t xml:space="preserve">     c*  graba contabilidad reclasificacion                                                         </t>
  </si>
  <si>
    <t>0461.00</t>
  </si>
  <si>
    <t>0462.00</t>
  </si>
  <si>
    <t xml:space="preserve">     C     gra010        begsr                                                                      </t>
  </si>
  <si>
    <t>0463.00</t>
  </si>
  <si>
    <t>0464.00</t>
  </si>
  <si>
    <t xml:space="preserve">     c                   exsr      sbrNumTras                                                       </t>
  </si>
  <si>
    <t>0465.00</t>
  </si>
  <si>
    <t xml:space="preserve">      * arma valores subcampos                                                                      </t>
  </si>
  <si>
    <t>0466.00</t>
  </si>
  <si>
    <t xml:space="preserve">     c     pebcop        chain     mcfv004                                                          </t>
  </si>
  <si>
    <t>0467.00</t>
  </si>
  <si>
    <t xml:space="preserve">     c                   if        %found(mcfv004)                                                  </t>
  </si>
  <si>
    <t>0468.00</t>
  </si>
  <si>
    <t xml:space="preserve">     c                   movel(p)  badeco        xban              3                                </t>
  </si>
  <si>
    <t>0469.00</t>
  </si>
  <si>
    <t>0470.00</t>
  </si>
  <si>
    <t>0471.00</t>
  </si>
  <si>
    <t xml:space="preserve">     c                   if        pemone = '604'                                                   </t>
  </si>
  <si>
    <t>0472.00</t>
  </si>
  <si>
    <t xml:space="preserve">     c                   eval      moneda = 'PEN'                                                   </t>
  </si>
  <si>
    <t>0473.00</t>
  </si>
  <si>
    <t>0474.00</t>
  </si>
  <si>
    <t xml:space="preserve">     c                   eval      moneda = 'USD'                                                   </t>
  </si>
  <si>
    <t>0475.00</t>
  </si>
  <si>
    <t>0476.00</t>
  </si>
  <si>
    <t>0477.00</t>
  </si>
  <si>
    <t xml:space="preserve">     c                   z-add     penet2        imp1             15 2                              </t>
  </si>
  <si>
    <t>0478.00</t>
  </si>
  <si>
    <t xml:space="preserve">     c                   z-add     imp1          imp2             15 2                              </t>
  </si>
  <si>
    <t>0479.00</t>
  </si>
  <si>
    <t>0480.00</t>
  </si>
  <si>
    <t xml:space="preserve">      * Obtiene cuenta Cargo                                                                        </t>
  </si>
  <si>
    <t>0481.00</t>
  </si>
  <si>
    <t xml:space="preserve">     c                   z-add     5             cod                                                </t>
  </si>
  <si>
    <t>0482.00</t>
  </si>
  <si>
    <t xml:space="preserve">     c                   z-add     1             sec                                                </t>
  </si>
  <si>
    <t>0483.00</t>
  </si>
  <si>
    <t xml:space="preserve">     c     keycta        chain     mcfv041                            32                            </t>
  </si>
  <si>
    <t>0484.00</t>
  </si>
  <si>
    <t xml:space="preserve">     c                   if        moneda = 'PEN'                                                   </t>
  </si>
  <si>
    <t>0485.00</t>
  </si>
  <si>
    <t xml:space="preserve">     c  n32              movel     ctacar        cta1             20                                </t>
  </si>
  <si>
    <t>0486.00</t>
  </si>
  <si>
    <t>0487.00</t>
  </si>
  <si>
    <t xml:space="preserve">     c  n32              movel     ctaca$        cta1             20                                </t>
  </si>
  <si>
    <t>0488.00</t>
  </si>
  <si>
    <t>0489.00</t>
  </si>
  <si>
    <t>0490.00</t>
  </si>
  <si>
    <t xml:space="preserve">      * Obtiene cuenta Abono                                                                        </t>
  </si>
  <si>
    <t>0491.00</t>
  </si>
  <si>
    <t xml:space="preserve">     c                   z-add     9             cod                                                </t>
  </si>
  <si>
    <t>0492.00</t>
  </si>
  <si>
    <t xml:space="preserve">     c                   z-add     pebcop        sec                                                </t>
  </si>
  <si>
    <t>0493.00</t>
  </si>
  <si>
    <t>0494.00</t>
  </si>
  <si>
    <t>0495.00</t>
  </si>
  <si>
    <t xml:space="preserve">     c  n32              movel(p)  ctaabo        cta2             20                                </t>
  </si>
  <si>
    <t>0496.00</t>
  </si>
  <si>
    <t>0497.00</t>
  </si>
  <si>
    <t xml:space="preserve">     c  n32              movel(p)  ctaab$        cta2             20                                </t>
  </si>
  <si>
    <t>0498.00</t>
  </si>
  <si>
    <t>0499.00</t>
  </si>
  <si>
    <t>0500.00</t>
  </si>
  <si>
    <t xml:space="preserve">      * Armo Glosa                                                                                  </t>
  </si>
  <si>
    <t>0501.00</t>
  </si>
  <si>
    <t xml:space="preserve">     c                   move      *blanks       texto                                              </t>
  </si>
  <si>
    <t>0502.00</t>
  </si>
  <si>
    <t xml:space="preserve">     c     glosa         cat       ddmm:1        texto            30                                </t>
  </si>
  <si>
    <t>0503.00</t>
  </si>
  <si>
    <t xml:space="preserve">     c     texto         cat       xban:1        texto                                              </t>
  </si>
  <si>
    <t>0504.00</t>
  </si>
  <si>
    <t xml:space="preserve">     c     texto         cat       peprod:1      texto                                              </t>
  </si>
  <si>
    <t>0505.00</t>
  </si>
  <si>
    <t>0506.00</t>
  </si>
  <si>
    <t xml:space="preserve">     c     texto         cat       'S/.':1       texto                                              </t>
  </si>
  <si>
    <t>0507.00</t>
  </si>
  <si>
    <t>0508.00</t>
  </si>
  <si>
    <t xml:space="preserve">     c     texto         cat       'US$':1       texto                                              </t>
  </si>
  <si>
    <t>0509.00</t>
  </si>
  <si>
    <t>0510.00</t>
  </si>
  <si>
    <t>0511.00</t>
  </si>
  <si>
    <t xml:space="preserve">      * graba mcfw010                                                                               </t>
  </si>
  <si>
    <t>0512.00</t>
  </si>
  <si>
    <t xml:space="preserve">     c                   z-add     1             rcsecu                                             </t>
  </si>
  <si>
    <t>0513.00</t>
  </si>
  <si>
    <t xml:space="preserve">     c                   z-add     1             rcsuor                                             </t>
  </si>
  <si>
    <t>0514.00</t>
  </si>
  <si>
    <t xml:space="preserve">     c                   move      'TC'          rcapor                                             </t>
  </si>
  <si>
    <t>0515.00</t>
  </si>
  <si>
    <t xml:space="preserve">     c                   z-add     1             rcmoor                                             </t>
  </si>
  <si>
    <t>0516.00</t>
  </si>
  <si>
    <t xml:space="preserve">     c                   z-add     imp1          rcimor                                             </t>
  </si>
  <si>
    <t>0517.00</t>
  </si>
  <si>
    <t xml:space="preserve">     c                   movel     'C'           rctimo                                             </t>
  </si>
  <si>
    <t>0518.00</t>
  </si>
  <si>
    <t xml:space="preserve">     c                   movel(p)  texto         rcglos                                             </t>
  </si>
  <si>
    <t>0519.00</t>
  </si>
  <si>
    <t xml:space="preserve">     c                   movel(p)  cta1          rctaor                                             </t>
  </si>
  <si>
    <t>0520.00</t>
  </si>
  <si>
    <t xml:space="preserve">     c                   z-add     1             rcsude                                             </t>
  </si>
  <si>
    <t>0521.00</t>
  </si>
  <si>
    <t xml:space="preserve">     c                   move      'TC'          rcapde                                             </t>
  </si>
  <si>
    <t>0522.00</t>
  </si>
  <si>
    <t xml:space="preserve">     c                   z-add     1             rcmode                                             </t>
  </si>
  <si>
    <t>0523.00</t>
  </si>
  <si>
    <t xml:space="preserve">     c                   z-add     imp2          rcimde                                             </t>
  </si>
  <si>
    <t>0524.00</t>
  </si>
  <si>
    <t xml:space="preserve">     c                   movel(p)  cta2          rctade                                             </t>
  </si>
  <si>
    <t>0525.00</t>
  </si>
  <si>
    <t xml:space="preserve">     c                   z-add     hora          rchopr                                             </t>
  </si>
  <si>
    <t>0526.00</t>
  </si>
  <si>
    <t xml:space="preserve">     c                   z-add     dd            rcdipr                                             </t>
  </si>
  <si>
    <t>0527.00</t>
  </si>
  <si>
    <t xml:space="preserve">     c                   z-add     mm            rcmepr                                             </t>
  </si>
  <si>
    <t>0528.00</t>
  </si>
  <si>
    <t xml:space="preserve">     c                   z-add     aaaa          rcanpr                                             </t>
  </si>
  <si>
    <t>0529.00</t>
  </si>
  <si>
    <t xml:space="preserve">     c                   movel(p)  usid          rcuspr                                             </t>
  </si>
  <si>
    <t>0530.00</t>
  </si>
  <si>
    <t xml:space="preserve">     c                   movel(p)  wsid          rcpapr                                             </t>
  </si>
  <si>
    <t>0531.00</t>
  </si>
  <si>
    <t xml:space="preserve">     c                   movel(p)  pgid          rcprog                                             </t>
  </si>
  <si>
    <t>0532.00</t>
  </si>
  <si>
    <t xml:space="preserve">     c                   move      1             rcsupr                                             </t>
  </si>
  <si>
    <t>0533.00</t>
  </si>
  <si>
    <t xml:space="preserve">     c                   move      1             rcagpr                                             </t>
  </si>
  <si>
    <t>0534.00</t>
  </si>
  <si>
    <t xml:space="preserve">     c                   z-add     fecha         rcfpro                                             </t>
  </si>
  <si>
    <t>0535.00</t>
  </si>
  <si>
    <t xml:space="preserve">     c                   eval      rccodo='049 '                                                    </t>
  </si>
  <si>
    <t>0536.00</t>
  </si>
  <si>
    <t xml:space="preserve">     c                   eval      rcmonm = moneda                                                  </t>
  </si>
  <si>
    <t>0537.00</t>
  </si>
  <si>
    <t xml:space="preserve">     c                   eval      rcnudo = numeroTraspaso                                          </t>
  </si>
  <si>
    <t>0538.00</t>
  </si>
  <si>
    <t xml:space="preserve">     c                   z-add     fecha         rcfope                                             </t>
  </si>
  <si>
    <t>0539.00</t>
  </si>
  <si>
    <t xml:space="preserve">     c                   write     mcfw10r                                                          </t>
  </si>
  <si>
    <t>0540.00</t>
  </si>
  <si>
    <t>0541.00</t>
  </si>
  <si>
    <t>0542.00</t>
  </si>
  <si>
    <t>0543.00</t>
  </si>
  <si>
    <t xml:space="preserve">     c*  graba contabilidad reclasificacion - SAP                                                   </t>
  </si>
  <si>
    <t>0544.00</t>
  </si>
  <si>
    <t>0545.00</t>
  </si>
  <si>
    <t xml:space="preserve">     c     gra320        begsr                                                                      </t>
  </si>
  <si>
    <t>0546.00</t>
  </si>
  <si>
    <t>0547.00</t>
  </si>
  <si>
    <t xml:space="preserve">     c                   clear                   mcfT320r                                           </t>
  </si>
  <si>
    <t>0548.00</t>
  </si>
  <si>
    <t xml:space="preserve">      * cargo                                                                                       </t>
  </si>
  <si>
    <t>0549.00</t>
  </si>
  <si>
    <t xml:space="preserve">     c                   eval      spfope = rcfope                                                  </t>
  </si>
  <si>
    <t>0550.00</t>
  </si>
  <si>
    <t xml:space="preserve">     c                   eval      spmodu = *blanks                                                 </t>
  </si>
  <si>
    <t>0551.00</t>
  </si>
  <si>
    <t xml:space="preserve">     c                   eval      aaaap = aaaa                                                     </t>
  </si>
  <si>
    <t>0552.00</t>
  </si>
  <si>
    <t xml:space="preserve">     c                   eval      mmp = mm                                                         </t>
  </si>
  <si>
    <t>0553.00</t>
  </si>
  <si>
    <t xml:space="preserve">     c                   eval      spperd = peri                                                    </t>
  </si>
  <si>
    <t>0554.00</t>
  </si>
  <si>
    <t xml:space="preserve">     c                   eval      spCtaC = rctaor                                                  </t>
  </si>
  <si>
    <t>0555.00</t>
  </si>
  <si>
    <t xml:space="preserve">     c*-Busqueda de la nueva cuenta contable                                                        </t>
  </si>
  <si>
    <t>0556.00</t>
  </si>
  <si>
    <t xml:space="preserve">     c                   eval      spCtaSp = '0'                                                    </t>
  </si>
  <si>
    <t>0557.00</t>
  </si>
  <si>
    <t xml:space="preserve">     c                   eval      c_ASCTAS = %trim(rctaor)                                         </t>
  </si>
  <si>
    <t>0558.00</t>
  </si>
  <si>
    <t xml:space="preserve">     c     c_ASCTAS      chain(n)  MCFV086                                                          </t>
  </si>
  <si>
    <t>0559.00</t>
  </si>
  <si>
    <t xml:space="preserve">     c                   if        %FOUND(MCFV086)                                                  </t>
  </si>
  <si>
    <t>0560.00</t>
  </si>
  <si>
    <t xml:space="preserve">     c                   eval      spCtaSp = c_ASCTSP                                               </t>
  </si>
  <si>
    <t>0561.00</t>
  </si>
  <si>
    <t>0562.00</t>
  </si>
  <si>
    <t xml:space="preserve">     c                   eval      spGlos = rcGlos                                                  </t>
  </si>
  <si>
    <t>0563.00</t>
  </si>
  <si>
    <t xml:space="preserve">     c                   eval      spSecu = rcsecu                                                  </t>
  </si>
  <si>
    <t>0564.00</t>
  </si>
  <si>
    <t xml:space="preserve">     c                   eval      spimor = rcimor                                                  </t>
  </si>
  <si>
    <t>0565.00</t>
  </si>
  <si>
    <t xml:space="preserve">     c                   If        rcmonm = 'PEN'                                                   </t>
  </si>
  <si>
    <t>0566.00</t>
  </si>
  <si>
    <t xml:space="preserve">     c                   eval      spMone = 'SOL'                                                   </t>
  </si>
  <si>
    <t>0567.00</t>
  </si>
  <si>
    <t xml:space="preserve">     c                   eval      spimus = spimor                                                  </t>
  </si>
  <si>
    <t>0568.00</t>
  </si>
  <si>
    <t xml:space="preserve">     c                   Else                                                                       </t>
  </si>
  <si>
    <t>0569.00</t>
  </si>
  <si>
    <t xml:space="preserve">     c                   eval      spMone = 'USD'                                                   </t>
  </si>
  <si>
    <t>0570.00</t>
  </si>
  <si>
    <t xml:space="preserve">     c                   eval      spimus = spimor * tipoCambio                                     </t>
  </si>
  <si>
    <t>0571.00</t>
  </si>
  <si>
    <t>0572.00</t>
  </si>
  <si>
    <t xml:space="preserve">     c                   eval      spTiMo = 'C'                                                     </t>
  </si>
  <si>
    <t>0573.00</t>
  </si>
  <si>
    <t xml:space="preserve">     c                   eval      spnudo = rcnudo                                                  </t>
  </si>
  <si>
    <t>0574.00</t>
  </si>
  <si>
    <t xml:space="preserve">     c                   eval      spnrpg = pgid                                                    </t>
  </si>
  <si>
    <t>0575.00</t>
  </si>
  <si>
    <t xml:space="preserve">     c                   write     mcfT320r                                                         </t>
  </si>
  <si>
    <t>0576.00</t>
  </si>
  <si>
    <t xml:space="preserve">      * abono                                                                                       </t>
  </si>
  <si>
    <t>0577.00</t>
  </si>
  <si>
    <t xml:space="preserve">     c                   eval      spCtaC = rctade                                                  </t>
  </si>
  <si>
    <t>0578.00</t>
  </si>
  <si>
    <t>0579.00</t>
  </si>
  <si>
    <t>0580.00</t>
  </si>
  <si>
    <t xml:space="preserve">     c                   eval      c_ASCTAS = %trim(rctade)                                         </t>
  </si>
  <si>
    <t>0581.00</t>
  </si>
  <si>
    <t>0582.00</t>
  </si>
  <si>
    <t>0583.00</t>
  </si>
  <si>
    <t>0584.00</t>
  </si>
  <si>
    <t>0585.00</t>
  </si>
  <si>
    <t xml:space="preserve">     c                   eval      spTiMo = 'A'                                                     </t>
  </si>
  <si>
    <t>0586.00</t>
  </si>
  <si>
    <t>0587.00</t>
  </si>
  <si>
    <t>0588.00</t>
  </si>
  <si>
    <t>0589.00</t>
  </si>
  <si>
    <t xml:space="preserve">     c*----------------------------------------------------------*                                  </t>
  </si>
  <si>
    <t>0590.00</t>
  </si>
  <si>
    <t xml:space="preserve">     c*  Obtiene numero de traspaso                              *                                  </t>
  </si>
  <si>
    <t>0591.00</t>
  </si>
  <si>
    <t>0592.00</t>
  </si>
  <si>
    <t xml:space="preserve">     c     sbrNumTras    begsr                                                                      </t>
  </si>
  <si>
    <t>0593.00</t>
  </si>
  <si>
    <t xml:space="preserve">     c                   eval      codigoSeccion = 5                                                </t>
  </si>
  <si>
    <t>0594.00</t>
  </si>
  <si>
    <t xml:space="preserve">     c                   eval      numeroTraspaso = *zeros                                          </t>
  </si>
  <si>
    <t>0595.00</t>
  </si>
  <si>
    <t xml:space="preserve">     c     codigoSeccion chain     MCFM200                                                          </t>
  </si>
  <si>
    <t>0596.00</t>
  </si>
  <si>
    <t>0597.00</t>
  </si>
  <si>
    <t xml:space="preserve">     c                   eval      numeroTraspaso = A_NUMTRA                                        </t>
  </si>
  <si>
    <t>0598.00</t>
  </si>
  <si>
    <t xml:space="preserve">     c                   eval      numeroTraspaso = numeroTraspaso + 1                              </t>
  </si>
  <si>
    <t>0599.00</t>
  </si>
  <si>
    <t xml:space="preserve">     c                   eval      A_NUMTRA = numeroTraspaso                                        </t>
  </si>
  <si>
    <t>0600.00</t>
  </si>
  <si>
    <t xml:space="preserve">     c                   update    rec1                                                             </t>
  </si>
  <si>
    <t>0601.00</t>
  </si>
  <si>
    <t>0602.00</t>
  </si>
  <si>
    <t>0603.00</t>
  </si>
  <si>
    <t>0604.00</t>
  </si>
  <si>
    <t xml:space="preserve">     c* actualiza bco pagador en mcft044 pagos pendientes                                           </t>
  </si>
  <si>
    <t>0605.00</t>
  </si>
  <si>
    <t>0606.00</t>
  </si>
  <si>
    <t xml:space="preserve">     c     upd044        begsr                                                                      </t>
  </si>
  <si>
    <t>0607.00</t>
  </si>
  <si>
    <t xml:space="preserve">      * ejecutar solo una vez                                                                       </t>
  </si>
  <si>
    <t>0608.00</t>
  </si>
  <si>
    <t xml:space="preserve">     c                   if        ptpag = 'ACC' and                                                </t>
  </si>
  <si>
    <t>0609.00</t>
  </si>
  <si>
    <t xml:space="preserve">     c                             ptotal = *blanks                                                 </t>
  </si>
  <si>
    <t>0610.00</t>
  </si>
  <si>
    <t>0611.00</t>
  </si>
  <si>
    <t xml:space="preserve">     c     *loval        setll     mclt044ka                                                        </t>
  </si>
  <si>
    <t>0612.00</t>
  </si>
  <si>
    <t xml:space="preserve">     c                   read      mclt044ka                                                        </t>
  </si>
  <si>
    <t>0613.00</t>
  </si>
  <si>
    <t xml:space="preserve">     c                   dow       not %EoF(mclt044ka)                                              </t>
  </si>
  <si>
    <t>0614.00</t>
  </si>
  <si>
    <t xml:space="preserve">      * solo pagos pendientes                                                                       </t>
  </si>
  <si>
    <t>0615.00</t>
  </si>
  <si>
    <t>0616.00</t>
  </si>
  <si>
    <t>0617.00</t>
  </si>
  <si>
    <t>0618.00</t>
  </si>
  <si>
    <t xml:space="preserve">     c     pebcop        chain     mcfv004                            33                            </t>
  </si>
  <si>
    <t>0619.00</t>
  </si>
  <si>
    <t xml:space="preserve">     c  n33              if        pemone = '840'                                                   </t>
  </si>
  <si>
    <t>0620.00</t>
  </si>
  <si>
    <t xml:space="preserve">     c                   eval      peccmc = baccdo                                                  </t>
  </si>
  <si>
    <t>0621.00</t>
  </si>
  <si>
    <t>0622.00</t>
  </si>
  <si>
    <t xml:space="preserve">     c                   eval      peccmc = baccso                                                  </t>
  </si>
  <si>
    <t>0623.00</t>
  </si>
  <si>
    <t>0624.00</t>
  </si>
  <si>
    <t xml:space="preserve">     c                   update    rmcft044                                                         </t>
  </si>
  <si>
    <t>0625.00</t>
  </si>
  <si>
    <t xml:space="preserve">      * Graba asientos contables por apertura de cuenta                                             </t>
  </si>
  <si>
    <t>0626.00</t>
  </si>
  <si>
    <t>0627.00</t>
  </si>
  <si>
    <t>0628.00</t>
  </si>
  <si>
    <t>0629.00</t>
  </si>
  <si>
    <t>0630.00</t>
  </si>
  <si>
    <t>0631.00</t>
  </si>
  <si>
    <t>0632.00</t>
  </si>
  <si>
    <t>0633.00</t>
  </si>
  <si>
    <t>0634.00</t>
  </si>
  <si>
    <t>0635.00</t>
  </si>
  <si>
    <t>0636.00</t>
  </si>
  <si>
    <t>0637.00</t>
  </si>
  <si>
    <t>0638.00</t>
  </si>
  <si>
    <t xml:space="preserve">     c     *inzsr        begsr                                                                      </t>
  </si>
  <si>
    <t>0639.00</t>
  </si>
  <si>
    <t xml:space="preserve">     c     *entry        plist                                                                      </t>
  </si>
  <si>
    <t>0640.00</t>
  </si>
  <si>
    <t xml:space="preserve">     c                   parm                    pfdia             8                                </t>
  </si>
  <si>
    <t>0641.00</t>
  </si>
  <si>
    <t xml:space="preserve">     c                   parm                    ptpag             3                                </t>
  </si>
  <si>
    <t>0642.00</t>
  </si>
  <si>
    <t xml:space="preserve">     c                   parm                    ptotal            3                                </t>
  </si>
  <si>
    <t>0643.00</t>
  </si>
  <si>
    <t xml:space="preserve">     c     kv075         klist                                                                      </t>
  </si>
  <si>
    <t>0644.00</t>
  </si>
  <si>
    <t xml:space="preserve">     c                   kfld                    pgtipo                                             </t>
  </si>
  <si>
    <t>0645.00</t>
  </si>
  <si>
    <t xml:space="preserve">     c                   kfld                    pgcodi                                             </t>
  </si>
  <si>
    <t>0646.00</t>
  </si>
  <si>
    <t xml:space="preserve">     c*- mcft044k                                                                                   </t>
  </si>
  <si>
    <t>0647.00</t>
  </si>
  <si>
    <t xml:space="preserve">     c     kt044         klist                                                                      </t>
  </si>
  <si>
    <t>0648.00</t>
  </si>
  <si>
    <t xml:space="preserve">     c                   kfld                    r2prod                                             </t>
  </si>
  <si>
    <t>0649.00</t>
  </si>
  <si>
    <t xml:space="preserve">     c                   kfld                    r2cest                                             </t>
  </si>
  <si>
    <t>0650.00</t>
  </si>
  <si>
    <t xml:space="preserve">     C                   kfld                    r2ctra                                             </t>
  </si>
  <si>
    <t>0651.00</t>
  </si>
  <si>
    <t xml:space="preserve">     C                   kfld                    r2fpro                                             </t>
  </si>
  <si>
    <t>0652.00</t>
  </si>
  <si>
    <t xml:space="preserve">     C                   kfld                    r2fabo                                             </t>
  </si>
  <si>
    <t>0653.00</t>
  </si>
  <si>
    <t>0654.00</t>
  </si>
  <si>
    <t xml:space="preserve">     c     kv017         klist                                                                      </t>
  </si>
  <si>
    <t>0655.00</t>
  </si>
  <si>
    <t xml:space="preserve">     c                   kfld                    CIA                                                </t>
  </si>
  <si>
    <t>0656.00</t>
  </si>
  <si>
    <t xml:space="preserve">     c                   kfld                    SUCURSAL                                           </t>
  </si>
  <si>
    <t>0657.00</t>
  </si>
  <si>
    <t xml:space="preserve">     C                   kfld                    MONEDAC                                            </t>
  </si>
  <si>
    <t>0658.00</t>
  </si>
  <si>
    <t xml:space="preserve">     C                   kfld                    PROMEDIO                                           </t>
  </si>
  <si>
    <t>0659.00</t>
  </si>
  <si>
    <t xml:space="preserve">     C                   kfld                    anio                                               </t>
  </si>
  <si>
    <t>0660.00</t>
  </si>
  <si>
    <t xml:space="preserve">     C                   kfld                    mes                                                </t>
  </si>
  <si>
    <t>0661.00</t>
  </si>
  <si>
    <t xml:space="preserve">     C                   kfld                    dia                                                </t>
  </si>
  <si>
    <t>0662.00</t>
  </si>
  <si>
    <t>0663.00</t>
  </si>
  <si>
    <t xml:space="preserve">     c     kv002a        klist                                                                      </t>
  </si>
  <si>
    <t>0664.00</t>
  </si>
  <si>
    <t xml:space="preserve">     c                   kfld                    mecest                                             </t>
  </si>
  <si>
    <t>0665.00</t>
  </si>
  <si>
    <t xml:space="preserve">     c                   kfld                    kvprod                                             </t>
  </si>
  <si>
    <t>0666.00</t>
  </si>
  <si>
    <t>0667.00</t>
  </si>
  <si>
    <t xml:space="preserve">     c     keycta        klist                                                                      </t>
  </si>
  <si>
    <t>0668.00</t>
  </si>
  <si>
    <t xml:space="preserve">     c                   kfld                    cod               3 0                              </t>
  </si>
  <si>
    <t>0669.00</t>
  </si>
  <si>
    <t xml:space="preserve">     c                   kfld                    sec               2 0                              </t>
  </si>
  <si>
    <t>0670.00</t>
  </si>
  <si>
    <t>0671.00</t>
  </si>
  <si>
    <t xml:space="preserve">     c     p6            plist                                                                      </t>
  </si>
  <si>
    <t>0672.00</t>
  </si>
  <si>
    <t xml:space="preserve">     c                   parm                    format            1 0                              </t>
  </si>
  <si>
    <t>0673.00</t>
  </si>
  <si>
    <t xml:space="preserve">     c                   parm                    fecini            8 0                              </t>
  </si>
  <si>
    <t>0674.00</t>
  </si>
  <si>
    <t xml:space="preserve">     c                   parm                    fecfin            8 0                              </t>
  </si>
  <si>
    <t>0675.00</t>
  </si>
  <si>
    <t xml:space="preserve">     c                   parm                    diasr             7 0                              </t>
  </si>
  <si>
    <t>0676.00</t>
  </si>
  <si>
    <t xml:space="preserve">     C*-                                                                                            </t>
  </si>
  <si>
    <t>0677.00</t>
  </si>
  <si>
    <t xml:space="preserve">     c     ptpag         comp      'ACC'                                  81                        </t>
  </si>
  <si>
    <t>0678.00</t>
  </si>
  <si>
    <t xml:space="preserve">     c     ptotal        comp      'TOT'                                  83                        </t>
  </si>
  <si>
    <t>0679.00</t>
  </si>
  <si>
    <t>0680.00</t>
  </si>
  <si>
    <t xml:space="preserve">     c                   move      *blanks       pfpro             8                                </t>
  </si>
  <si>
    <t>0681.00</t>
  </si>
  <si>
    <t xml:space="preserve">     c                   movel     pfdia         wfdia            10                                </t>
  </si>
  <si>
    <t>0682.00</t>
  </si>
  <si>
    <t xml:space="preserve">     c                   eval      wfdia = %subst(wfdia:1:2) + '/'                                  </t>
  </si>
  <si>
    <t>0683.00</t>
  </si>
  <si>
    <t xml:space="preserve">     c                                   + %subst(wfdia:3:2) + '/'                                  </t>
  </si>
  <si>
    <t>0684.00</t>
  </si>
  <si>
    <t xml:space="preserve">     c                                   + %subst(wfdia:5:4)                                        </t>
  </si>
  <si>
    <t>0685.00</t>
  </si>
  <si>
    <t xml:space="preserve">     c                   eval      pfpro = %subst(pfdia:5:4) +                                      </t>
  </si>
  <si>
    <t>0686.00</t>
  </si>
  <si>
    <t xml:space="preserve">     c                                     %subst(pfdia:3:2) +                                      </t>
  </si>
  <si>
    <t>0687.00</t>
  </si>
  <si>
    <t xml:space="preserve">     c                                     %subst(pfdia:1:2)                                        </t>
  </si>
  <si>
    <t>0688.00</t>
  </si>
  <si>
    <t xml:space="preserve">     c                   movel     pfpro         w1fpro            8 0                              </t>
  </si>
  <si>
    <t>0689.00</t>
  </si>
  <si>
    <t>0690.00</t>
  </si>
  <si>
    <t xml:space="preserve">     c*                  time                    hora_fecha       14 0                              </t>
  </si>
  <si>
    <t>0691.00</t>
  </si>
  <si>
    <t xml:space="preserve">     c                   time                    hor_fec          14 0                              </t>
  </si>
  <si>
    <t>0692.00</t>
  </si>
  <si>
    <t xml:space="preserve">     c                   movel     hor_fec       hora                                               </t>
  </si>
  <si>
    <t>0693.00</t>
  </si>
  <si>
    <t xml:space="preserve">     c*                  movel     hora_fecha    hora              6 0                              </t>
  </si>
  <si>
    <t>0694.00</t>
  </si>
  <si>
    <t xml:space="preserve">     c                   z-add     *date         fecha             8 0                              </t>
  </si>
  <si>
    <t>0695.00</t>
  </si>
  <si>
    <t xml:space="preserve">     c                   move      '  /  '       ddmm              5                                </t>
  </si>
  <si>
    <t>0696.00</t>
  </si>
  <si>
    <t xml:space="preserve">     c                   move      mm            ddmm                                               </t>
  </si>
  <si>
    <t>0697.00</t>
  </si>
  <si>
    <t xml:space="preserve">     c                   movel     dd            ddmm                                               </t>
  </si>
  <si>
    <t>0698.00</t>
  </si>
  <si>
    <t>0699.00</t>
  </si>
  <si>
    <t xml:space="preserve">     c                   exsr      sbrFecCambio                                                     </t>
  </si>
  <si>
    <t>0700.00</t>
  </si>
  <si>
    <t xml:space="preserve">     c                   exsr      sbrTipoCambio                                                    </t>
  </si>
  <si>
    <t>0701.00</t>
  </si>
  <si>
    <t>0702.00</t>
  </si>
  <si>
    <t xml:space="preserve">     o*----------------------------------------------------------                                   </t>
  </si>
  <si>
    <t>0703.00</t>
  </si>
  <si>
    <t xml:space="preserve">     o*  obtiene detalle IzipayYa                                                                   </t>
  </si>
  <si>
    <t>0704.00</t>
  </si>
  <si>
    <t>0705.00</t>
  </si>
  <si>
    <t xml:space="preserve">     c     getIziYa      begsr                                                                      </t>
  </si>
  <si>
    <t>0706.00</t>
  </si>
  <si>
    <t xml:space="preserve">     c                   if        ptotal = ' '                                                     </t>
  </si>
  <si>
    <t>0707.00</t>
  </si>
  <si>
    <t>0708.00</t>
  </si>
  <si>
    <t xml:space="preserve">     c+ declare fcur2   scroll cursor for MySQL2                                                    </t>
  </si>
  <si>
    <t>0709.00</t>
  </si>
  <si>
    <t>0710.00</t>
  </si>
  <si>
    <t xml:space="preserve">     c                   move      *blanks       sqlstr          500                                </t>
  </si>
  <si>
    <t>0711.00</t>
  </si>
  <si>
    <t xml:space="preserve">      /FREE                                                                                         </t>
  </si>
  <si>
    <t>0712.00</t>
  </si>
  <si>
    <t xml:space="preserve">         sqlstr = 'SELECT PDPROD, PDCEST, PDCTRA, PDFPRO, PDFABO,' +                                </t>
  </si>
  <si>
    <t>0713.00</t>
  </si>
  <si>
    <t xml:space="preserve">           'COUNT(*),SUM(PDIMPO), SUM(PDCOMI), SUM(PDIMPR), ' +                                     </t>
  </si>
  <si>
    <t>0714.00</t>
  </si>
  <si>
    <t xml:space="preserve">           'SUM(PDNET1) ' +                                                                         </t>
  </si>
  <si>
    <t>0715.00</t>
  </si>
  <si>
    <t xml:space="preserve">           'FROM LIBMCP.MCFT005 WHERE PDPREM = ' + s + 'T' + s +                                    </t>
  </si>
  <si>
    <t>0716.00</t>
  </si>
  <si>
    <t xml:space="preserve">           ' AND (PDPROD, PDCEST, PDCTRA, PDFPRO, PDFABO) NOT IN ' +                                </t>
  </si>
  <si>
    <t>0717.00</t>
  </si>
  <si>
    <t xml:space="preserve">           '(SELECT PEPROD, PECEST, PECTRA, PEFPRO, PEFABO ' +                                      </t>
  </si>
  <si>
    <t>0718.00</t>
  </si>
  <si>
    <t xml:space="preserve">           'FROM LIBMCP.MCFT044YA) '  +                                                             </t>
  </si>
  <si>
    <t>0719.00</t>
  </si>
  <si>
    <t xml:space="preserve">           'GROUP BY PDPROD, PDCEST, PDCTRA, PDFPRO, PDFABO ';                                      </t>
  </si>
  <si>
    <t>0720.00</t>
  </si>
  <si>
    <t xml:space="preserve">      /END-FREE                                                                                     </t>
  </si>
  <si>
    <t>0721.00</t>
  </si>
  <si>
    <t>0722.00</t>
  </si>
  <si>
    <t xml:space="preserve">     c+ PREPARE MySQL2 FROM :sqlstr                                                                 </t>
  </si>
  <si>
    <t>0723.00</t>
  </si>
  <si>
    <t>0724.00</t>
  </si>
  <si>
    <t>0725.00</t>
  </si>
  <si>
    <t>0726.00</t>
  </si>
  <si>
    <t xml:space="preserve">     c+ close fcur2                                                                                 </t>
  </si>
  <si>
    <t>0727.00</t>
  </si>
  <si>
    <t>0728.00</t>
  </si>
  <si>
    <t>0729.00</t>
  </si>
  <si>
    <t>0730.00</t>
  </si>
  <si>
    <t xml:space="preserve">     c+ open fcur2                                                                                  </t>
  </si>
  <si>
    <t>0731.00</t>
  </si>
  <si>
    <t>0732.00</t>
  </si>
  <si>
    <t>0733.00</t>
  </si>
  <si>
    <t xml:space="preserve">      * Obtiene un registro desde el cursor                                                         </t>
  </si>
  <si>
    <t>0734.00</t>
  </si>
  <si>
    <t>0735.00</t>
  </si>
  <si>
    <t xml:space="preserve">     c+ fetch next from fcur2 into :rcur2                                                           </t>
  </si>
  <si>
    <t>0736.00</t>
  </si>
  <si>
    <t>0737.00</t>
  </si>
  <si>
    <t>0738.00</t>
  </si>
  <si>
    <t xml:space="preserve">     c                   dow       sqlcod &lt;&gt; 100 and sqlcod &gt;= 0                                    </t>
  </si>
  <si>
    <t>0739.00</t>
  </si>
  <si>
    <t xml:space="preserve">     c     kt044         chain     mclt044ka                                                        </t>
  </si>
  <si>
    <t>0740.00</t>
  </si>
  <si>
    <t xml:space="preserve">      * encontro registro                                                                           </t>
  </si>
  <si>
    <t>0741.00</t>
  </si>
  <si>
    <t xml:space="preserve">     c                   if        %found(mclt044ka)                                                </t>
  </si>
  <si>
    <t>0742.00</t>
  </si>
  <si>
    <t xml:space="preserve">      * actualiza saldo en mcft044                                                                  </t>
  </si>
  <si>
    <t>0743.00</t>
  </si>
  <si>
    <t xml:space="preserve">     c                   eval      peimpo = peimpo - r2impo                                         </t>
  </si>
  <si>
    <t>0744.00</t>
  </si>
  <si>
    <t xml:space="preserve">     c                   eval      pecomi = pecomi - r2comi                                         </t>
  </si>
  <si>
    <t>0745.00</t>
  </si>
  <si>
    <t xml:space="preserve">     c                   if        pecomi &lt; 0                                                       </t>
  </si>
  <si>
    <t>0746.00</t>
  </si>
  <si>
    <t xml:space="preserve">     c                   eval      pecomi = *zeros                                                  </t>
  </si>
  <si>
    <t>0747.00</t>
  </si>
  <si>
    <t>0748.00</t>
  </si>
  <si>
    <t xml:space="preserve">     c                   eval      peimpr = peimpr - r2impr                                         </t>
  </si>
  <si>
    <t>0749.00</t>
  </si>
  <si>
    <t xml:space="preserve">     c                   if        peimpr &lt; 0                                                       </t>
  </si>
  <si>
    <t>0750.00</t>
  </si>
  <si>
    <t xml:space="preserve">     c                   eval      peimpr = *zeros                                                  </t>
  </si>
  <si>
    <t>0751.00</t>
  </si>
  <si>
    <t>0752.00</t>
  </si>
  <si>
    <t xml:space="preserve">     c                   eval      penet1 = penet1 - r2net1                                         </t>
  </si>
  <si>
    <t>0753.00</t>
  </si>
  <si>
    <t xml:space="preserve">     c                   if        penet1 &lt; 0                                                       </t>
  </si>
  <si>
    <t>0754.00</t>
  </si>
  <si>
    <t xml:space="preserve">     c                   eval      penet1 = *zeros                                                  </t>
  </si>
  <si>
    <t>0755.00</t>
  </si>
  <si>
    <t>0756.00</t>
  </si>
  <si>
    <t xml:space="preserve">     c                   eval      penet2 = penet2 - r2net1                                         </t>
  </si>
  <si>
    <t>0757.00</t>
  </si>
  <si>
    <t xml:space="preserve">     c                   if        penet2 &lt; 0                                                       </t>
  </si>
  <si>
    <t>0758.00</t>
  </si>
  <si>
    <t xml:space="preserve">     c                   eval      penet2 = *zeros                                                  </t>
  </si>
  <si>
    <t>0759.00</t>
  </si>
  <si>
    <t>0760.00</t>
  </si>
  <si>
    <t xml:space="preserve">     c                   eval      penet3 = penet3 - r2net1                                         </t>
  </si>
  <si>
    <t>0761.00</t>
  </si>
  <si>
    <t xml:space="preserve">     c                   if        penet3 &lt; 0                                                       </t>
  </si>
  <si>
    <t>0762.00</t>
  </si>
  <si>
    <t xml:space="preserve">     c                   eval      penet3 = *zeros                                                  </t>
  </si>
  <si>
    <t>0763.00</t>
  </si>
  <si>
    <t>0764.00</t>
  </si>
  <si>
    <t xml:space="preserve">     c                   eval      peqopa = peqopa - r2numt                                         </t>
  </si>
  <si>
    <t>0765.00</t>
  </si>
  <si>
    <t xml:space="preserve">     c                   if        peqopa &lt; 0                                                       </t>
  </si>
  <si>
    <t>0766.00</t>
  </si>
  <si>
    <t xml:space="preserve">     c                   eval      peqopa = *zeros                                                  </t>
  </si>
  <si>
    <t>0767.00</t>
  </si>
  <si>
    <t>0768.00</t>
  </si>
  <si>
    <t xml:space="preserve">     c                   update    RMCFT044                                                         </t>
  </si>
  <si>
    <t>0769.00</t>
  </si>
  <si>
    <t xml:space="preserve">      * graba residuo en IzipayYa                                                                   </t>
  </si>
  <si>
    <t>0770.00</t>
  </si>
  <si>
    <t xml:space="preserve">     c                   eval      peimpo = r2impo                                                  </t>
  </si>
  <si>
    <t>0771.00</t>
  </si>
  <si>
    <t xml:space="preserve">     c                   eval      pecomi = r2comi                                                  </t>
  </si>
  <si>
    <t>0772.00</t>
  </si>
  <si>
    <t xml:space="preserve">     c                   eval      peimpr = r2impr                                                  </t>
  </si>
  <si>
    <t>0773.00</t>
  </si>
  <si>
    <t xml:space="preserve">     c                   eval      penet1 = r2net1                                                  </t>
  </si>
  <si>
    <t>0774.00</t>
  </si>
  <si>
    <t xml:space="preserve">     c                   eval      penet2 = r2net1                                                  </t>
  </si>
  <si>
    <t>0775.00</t>
  </si>
  <si>
    <t xml:space="preserve">     c                   eval      penet3 = r2net1                                                  </t>
  </si>
  <si>
    <t>0776.00</t>
  </si>
  <si>
    <t xml:space="preserve">     c                   eval      peiret = *zeros                                                  </t>
  </si>
  <si>
    <t>0777.00</t>
  </si>
  <si>
    <t xml:space="preserve">     c                   eval      peicdv = *zeros                                                  </t>
  </si>
  <si>
    <t>0778.00</t>
  </si>
  <si>
    <t xml:space="preserve">     c                   eval      peqopa = r2numt                                                  </t>
  </si>
  <si>
    <t>0779.00</t>
  </si>
  <si>
    <t xml:space="preserve">     c                   eval      petdot = 'T'                                                     </t>
  </si>
  <si>
    <t>0780.00</t>
  </si>
  <si>
    <t xml:space="preserve">     c                   write     r44ya                                                            </t>
  </si>
  <si>
    <t>0781.00</t>
  </si>
  <si>
    <t xml:space="preserve">      * no encontro registro, lo mueve completo a IzipayYa                                          </t>
  </si>
  <si>
    <t>0782.00</t>
  </si>
  <si>
    <t>0783.00</t>
  </si>
  <si>
    <t>0784.00</t>
  </si>
  <si>
    <t xml:space="preserve">     c+ insert into libmcp.mcft044ya                                                                </t>
  </si>
  <si>
    <t>0785.00</t>
  </si>
  <si>
    <t xml:space="preserve">     c+ (select * from libmcp.mcft044 where peprod = :r2prod and                                    </t>
  </si>
  <si>
    <t>0786.00</t>
  </si>
  <si>
    <t xml:space="preserve">     c+  pecest = :r2cest and pectra = :r2ctra and pefpro = :r2fpro)                                </t>
  </si>
  <si>
    <t>0787.00</t>
  </si>
  <si>
    <t>0788.00</t>
  </si>
  <si>
    <t>0789.00</t>
  </si>
  <si>
    <t xml:space="preserve">     c+ update libmcp.mcft044 set peimpo = 0, pecomi = 0,                                           </t>
  </si>
  <si>
    <t>0790.00</t>
  </si>
  <si>
    <t xml:space="preserve">     c+  peimpr = 0, penet1 = 0, penet2 = 0, penet3 = 0,                                            </t>
  </si>
  <si>
    <t>0791.00</t>
  </si>
  <si>
    <t xml:space="preserve">     c+  peicdv = 0, peiret = 0  where peprod = :r2prod and                                         </t>
  </si>
  <si>
    <t>0792.00</t>
  </si>
  <si>
    <t xml:space="preserve">     c+  pecest = :r2cest and pectra = :r2ctra and pefpro = :r2fpro                                 </t>
  </si>
  <si>
    <t>0793.00</t>
  </si>
  <si>
    <t>0794.00</t>
  </si>
  <si>
    <t>0795.00</t>
  </si>
  <si>
    <t>0796.00</t>
  </si>
  <si>
    <t>0797.00</t>
  </si>
  <si>
    <t>0798.00</t>
  </si>
  <si>
    <t xml:space="preserve">     c+ fetch next from fcur2   into :rcur2                                                         </t>
  </si>
  <si>
    <t>0799.00</t>
  </si>
  <si>
    <t>0800.00</t>
  </si>
  <si>
    <t>0801.00</t>
  </si>
  <si>
    <t>0802.00</t>
  </si>
  <si>
    <t>0803.00</t>
  </si>
  <si>
    <t xml:space="preserve">     c* Cierre del cursor                                                                           </t>
  </si>
  <si>
    <t>0804.00</t>
  </si>
  <si>
    <t>0805.00</t>
  </si>
  <si>
    <t>0806.00</t>
  </si>
  <si>
    <t>0807.00</t>
  </si>
  <si>
    <t>0808.00</t>
  </si>
  <si>
    <t>0809.00</t>
  </si>
  <si>
    <t>0895.00</t>
  </si>
  <si>
    <t xml:space="preserve">     c*--                                                                                           </t>
  </si>
  <si>
    <t>id</t>
  </si>
  <si>
    <t>nombre_tabla_query</t>
  </si>
  <si>
    <t>descripcion</t>
  </si>
  <si>
    <t>Observaciones</t>
  </si>
  <si>
    <t>tipo_tabla</t>
  </si>
  <si>
    <t>clasificacion_Tabla</t>
  </si>
  <si>
    <t>flag_gcp</t>
  </si>
  <si>
    <t>flag_en_azure</t>
  </si>
  <si>
    <t>estado</t>
  </si>
  <si>
    <t>as_002</t>
  </si>
  <si>
    <t>MCFV004</t>
  </si>
  <si>
    <t>Tabla de referencia de bancos. Contiene nombres y códigos de bancos relacionados a los códigos pebcop.</t>
  </si>
  <si>
    <t>Información complementaria para el reporte.</t>
  </si>
  <si>
    <t>física diaria</t>
  </si>
  <si>
    <t>referencia</t>
  </si>
  <si>
    <t>pendiente</t>
  </si>
  <si>
    <t>as_003</t>
  </si>
  <si>
    <t>MCFV017</t>
  </si>
  <si>
    <t>Tabla de tipo de cambio. Relacionada por OCCIA, OCSUC, OCMON, OLCOT, y fecha de proceso.</t>
  </si>
  <si>
    <t>Se utiliza para obtener el tipo de cambio del día.</t>
  </si>
  <si>
    <t>as_004</t>
  </si>
  <si>
    <t>MCFV075</t>
  </si>
  <si>
    <t>Transacciones configuradas que generan abonos. Campo clave: pgtipo = 'TRXABO'.</t>
  </si>
  <si>
    <t>Tabla de parametrización de transacciones válidas para el proceso.</t>
  </si>
  <si>
    <t>parametrización</t>
  </si>
  <si>
    <t>as_005</t>
  </si>
  <si>
    <t>MCFM019</t>
  </si>
  <si>
    <t>Tabla de información de comercios. Ayuda a obtener la razón social del comercio en caso de CHQ.</t>
  </si>
  <si>
    <t>Complementa información cuando no se encuentra en mcft003.</t>
  </si>
  <si>
    <t>--</t>
  </si>
  <si>
    <t>Parámetros</t>
  </si>
  <si>
    <t>de</t>
  </si>
  <si>
    <t>entrada</t>
  </si>
  <si>
    <t>SET</t>
  </si>
  <si>
    <t>@pfdia</t>
  </si>
  <si>
    <t>=</t>
  </si>
  <si>
    <t>'26052025';</t>
  </si>
  <si>
    <t>DDMMYYYY</t>
  </si>
  <si>
    <t>@ptpag</t>
  </si>
  <si>
    <t>'ACC';</t>
  </si>
  <si>
    <t>@wpescot</t>
  </si>
  <si>
    <t>'</t>
  </si>
  <si>
    <t>';</t>
  </si>
  <si>
    <t>1)</t>
  </si>
  <si>
    <t>Descompongo</t>
  </si>
  <si>
    <t>la</t>
  </si>
  <si>
    <t>fecha</t>
  </si>
  <si>
    <t>WITH</t>
  </si>
  <si>
    <t>AS</t>
  </si>
  <si>
    <t>(</t>
  </si>
  <si>
    <t>SELECT</t>
  </si>
  <si>
    <t>CAST(SUBSTRING(@pfdia,1,2)</t>
  </si>
  <si>
    <t>UNSIGNED)</t>
  </si>
  <si>
    <t>dia,</t>
  </si>
  <si>
    <t>CAST(SUBSTRING(@pfdia,3,2)</t>
  </si>
  <si>
    <t>mes,</t>
  </si>
  <si>
    <t>CAST(SUBSTRING(@pfdia,5,4)</t>
  </si>
  <si>
    <t>anio</t>
  </si>
  <si>
    <t>),</t>
  </si>
  <si>
    <t>2)</t>
  </si>
  <si>
    <t>Tipo</t>
  </si>
  <si>
    <t>cambio</t>
  </si>
  <si>
    <t>tc</t>
  </si>
  <si>
    <t>OVVEN</t>
  </si>
  <si>
    <t>tipoCambio</t>
  </si>
  <si>
    <t>FROM</t>
  </si>
  <si>
    <t>WHERE</t>
  </si>
  <si>
    <t>CIA</t>
  </si>
  <si>
    <t>'99'</t>
  </si>
  <si>
    <t>AND</t>
  </si>
  <si>
    <t>SUCURSAL</t>
  </si>
  <si>
    <t>'1'</t>
  </si>
  <si>
    <t>MONEDAC</t>
  </si>
  <si>
    <t>'2'</t>
  </si>
  <si>
    <t>(SELECT</t>
  </si>
  <si>
    <t>fecha)</t>
  </si>
  <si>
    <t>mes</t>
  </si>
  <si>
    <t>dia</t>
  </si>
  <si>
    <t>LIMIT</t>
  </si>
  <si>
    <t>3)</t>
  </si>
  <si>
    <t>Filtro</t>
  </si>
  <si>
    <t>autorizaciones</t>
  </si>
  <si>
    <t>aut</t>
  </si>
  <si>
    <t>*</t>
  </si>
  <si>
    <t>MCFT003</t>
  </si>
  <si>
    <t>petpag</t>
  </si>
  <si>
    <t>pectra</t>
  </si>
  <si>
    <t>BETWEEN</t>
  </si>
  <si>
    <t>COALESCE(pesitu,'')</t>
  </si>
  <si>
    <t>''</t>
  </si>
  <si>
    <t>pescot</t>
  </si>
  <si>
    <t>4)</t>
  </si>
  <si>
    <t>Calculo</t>
  </si>
  <si>
    <t>monto</t>
  </si>
  <si>
    <t>en</t>
  </si>
  <si>
    <t>soles</t>
  </si>
  <si>
    <t>calc</t>
  </si>
  <si>
    <t>a.pebcop</t>
  </si>
  <si>
    <t>BANCO,</t>
  </si>
  <si>
    <t>b.badeco</t>
  </si>
  <si>
    <t>NOMBRE,</t>
  </si>
  <si>
    <t>a.peruce</t>
  </si>
  <si>
    <t>RUC,</t>
  </si>
  <si>
    <t>a.cod_comercio</t>
  </si>
  <si>
    <t>CODIGO,</t>
  </si>
  <si>
    <t>a.razon_social</t>
  </si>
  <si>
    <t>`RAZON</t>
  </si>
  <si>
    <t>SOCIAL`,</t>
  </si>
  <si>
    <t>a.peccch</t>
  </si>
  <si>
    <t>`NRO</t>
  </si>
  <si>
    <t>DE</t>
  </si>
  <si>
    <t>CUENTA`,</t>
  </si>
  <si>
    <t>a.penet2</t>
  </si>
  <si>
    <t>IMPORTE,</t>
  </si>
  <si>
    <t>CASE</t>
  </si>
  <si>
    <t>WHEN</t>
  </si>
  <si>
    <t>a.pemone</t>
  </si>
  <si>
    <t>'840'</t>
  </si>
  <si>
    <t>THEN</t>
  </si>
  <si>
    <t>t.tipoCambio</t>
  </si>
  <si>
    <t>ELSE</t>
  </si>
  <si>
    <t>END</t>
  </si>
  <si>
    <t>`IMP.SOLES`,</t>
  </si>
  <si>
    <t>MON,</t>
  </si>
  <si>
    <t>a.peprod</t>
  </si>
  <si>
    <t>PR,</t>
  </si>
  <si>
    <t>a.pefpro</t>
  </si>
  <si>
    <t>`FEC.PRO.`,</t>
  </si>
  <si>
    <t>a.pefabo</t>
  </si>
  <si>
    <t>`FEC.ABO.`,</t>
  </si>
  <si>
    <t>a.petcta</t>
  </si>
  <si>
    <t>TIPO,</t>
  </si>
  <si>
    <t>a.pectes</t>
  </si>
  <si>
    <t>TERCERO,</t>
  </si>
  <si>
    <t>a.pecest</t>
  </si>
  <si>
    <t>CTAESP</t>
  </si>
  <si>
    <t>a</t>
  </si>
  <si>
    <t>CROSS</t>
  </si>
  <si>
    <t>JOIN</t>
  </si>
  <si>
    <t>t</t>
  </si>
  <si>
    <t>LEFT</t>
  </si>
  <si>
    <t>b</t>
  </si>
  <si>
    <t>ON</t>
  </si>
  <si>
    <t>b.CODBAN</t>
  </si>
  <si>
    <t>maestro</t>
  </si>
  <si>
    <t>bancos</t>
  </si>
  <si>
    <t>m</t>
  </si>
  <si>
    <t>m.PK</t>
  </si>
  <si>
    <t>cuentas/terceros</t>
  </si>
  <si>
    <t>ORDER</t>
  </si>
  <si>
    <t>BY</t>
  </si>
  <si>
    <t>a.pebcop,</t>
  </si>
  <si>
    <t>)</t>
  </si>
  <si>
    <t>calc;</t>
  </si>
  <si>
    <t>=-- Parametros definidos en el WITH inicial</t>
  </si>
  <si>
    <t>WITH parametros AS (</t>
  </si>
  <si>
    <t xml:space="preserve">    SELECT </t>
  </si>
  <si>
    <t xml:space="preserve">        'ACC' AS ptpag</t>
  </si>
  <si>
    <t xml:space="preserve">        -- Tipo de Pago</t>
  </si>
  <si>
    <t xml:space="preserve">        '26052025' AS pfdia</t>
  </si>
  <si>
    <t xml:space="preserve">    -- Fecha de Proceso proporcionada externamente (ejemplo)</t>
  </si>
  <si>
    <t xml:space="preserve">        'TOT' AS ptotal         -- Indicador de Totalización</t>
  </si>
  <si>
    <t>-- Cálculo de fecha de proceso y partición desde pfdia</t>
  </si>
  <si>
    <t>fecha_param AS (</t>
  </si>
  <si>
    <t xml:space="preserve">    SELECT</t>
  </si>
  <si>
    <t xml:space="preserve">        CAST(SUBSTR(pfdia</t>
  </si>
  <si>
    <t xml:space="preserve"> 4) AS INT64) AS anio</t>
  </si>
  <si>
    <t xml:space="preserve"> 2) AS INT64) AS mes</t>
  </si>
  <si>
    <t xml:space="preserve"> 2) AS INT64) AS dia</t>
  </si>
  <si>
    <t xml:space="preserve">        pfdia</t>
  </si>
  <si>
    <t xml:space="preserve">    FROM parametros</t>
  </si>
  <si>
    <t>-- Datos base desde mcft003</t>
  </si>
  <si>
    <t>base_abonos AS (</t>
  </si>
  <si>
    <t xml:space="preserve">        t.peprod</t>
  </si>
  <si>
    <t xml:space="preserve">        t.pecest</t>
  </si>
  <si>
    <t xml:space="preserve">        t.pectra</t>
  </si>
  <si>
    <t xml:space="preserve">        t.pefpro</t>
  </si>
  <si>
    <t xml:space="preserve">        t.pefabo</t>
  </si>
  <si>
    <t xml:space="preserve">        t.peimpo</t>
  </si>
  <si>
    <t xml:space="preserve">        t.pecomi</t>
  </si>
  <si>
    <t xml:space="preserve">        t.peimpr</t>
  </si>
  <si>
    <t xml:space="preserve">        t.penet1</t>
  </si>
  <si>
    <t xml:space="preserve">        t.penet2</t>
  </si>
  <si>
    <t xml:space="preserve">        t.penet3</t>
  </si>
  <si>
    <t xml:space="preserve">        t.peqopa</t>
  </si>
  <si>
    <t xml:space="preserve">        t.pemone</t>
  </si>
  <si>
    <t xml:space="preserve">        t.pebcop</t>
  </si>
  <si>
    <t xml:space="preserve">        t.peruce</t>
  </si>
  <si>
    <t xml:space="preserve">        t.petcta</t>
  </si>
  <si>
    <t xml:space="preserve">        t.pepagt</t>
  </si>
  <si>
    <t xml:space="preserve">        t.petpag</t>
  </si>
  <si>
    <t xml:space="preserve">        t.pesitu</t>
  </si>
  <si>
    <t xml:space="preserve">        t.peccch</t>
  </si>
  <si>
    <t xml:space="preserve">    FROM mcft003 t</t>
  </si>
  <si>
    <t>transacciones_abono AS (</t>
  </si>
  <si>
    <t xml:space="preserve">    SELECT DISTINCT</t>
  </si>
  <si>
    <t xml:space="preserve">        CAST(pgcodi AS INT64) AS cod_trx</t>
  </si>
  <si>
    <t xml:space="preserve">    FROM mcfv075</t>
  </si>
  <si>
    <t xml:space="preserve">    WHERE pgtipo = 'TRXABO'</t>
  </si>
  <si>
    <t>filtro_abonos AS (</t>
  </si>
  <si>
    <t xml:space="preserve">        t.*</t>
  </si>
  <si>
    <t xml:space="preserve">        COALESCE(m.mechqn</t>
  </si>
  <si>
    <t xml:space="preserve"> m.mersoc) AS razon_social</t>
  </si>
  <si>
    <t xml:space="preserve">        b.badeco AS nombre_banco</t>
  </si>
  <si>
    <t xml:space="preserve">    FROM base_abonos t</t>
  </si>
  <si>
    <t xml:space="preserve">    LEFT JOIN mcfv004 b ON t.pebcop = b.pebcop</t>
  </si>
  <si>
    <t xml:space="preserve">    LEFT JOIN mcfm019 m ON t.pecest = m.pecest</t>
  </si>
  <si>
    <t xml:space="preserve">    CROSS JOIN parametros p</t>
  </si>
  <si>
    <t xml:space="preserve">    WHERE t.petpag = p.ptpag</t>
  </si>
  <si>
    <t xml:space="preserve">      AND t.pesitu = ''</t>
  </si>
  <si>
    <t xml:space="preserve">      AND t.pectra IN (SELECT cod_trx FROM transacciones_abono)</t>
  </si>
  <si>
    <t>-- Obtención de tipo de cambio desde mcfv017 con clave compuesta completa</t>
  </si>
  <si>
    <t xml:space="preserve"> SUCURSAL=1</t>
  </si>
  <si>
    <t xml:space="preserve"> MONEDAC=2</t>
  </si>
  <si>
    <t xml:space="preserve"> PROMEDIO=2</t>
  </si>
  <si>
    <t>tipo_cambio AS (</t>
  </si>
  <si>
    <t xml:space="preserve">        IFNULL(OVVEN</t>
  </si>
  <si>
    <t xml:space="preserve"> 1) AS tipo_cambio</t>
  </si>
  <si>
    <t xml:space="preserve">        OFANO AS anio</t>
  </si>
  <si>
    <t xml:space="preserve">        OFMES AS mes</t>
  </si>
  <si>
    <t xml:space="preserve">        OFDIA AS dia</t>
  </si>
  <si>
    <t xml:space="preserve">    FROM mcfv017</t>
  </si>
  <si>
    <t xml:space="preserve">    WHERE OCCIA = 99</t>
  </si>
  <si>
    <t xml:space="preserve">      AND OCSUC = 1</t>
  </si>
  <si>
    <t xml:space="preserve">      AND OCMON = 2</t>
  </si>
  <si>
    <t xml:space="preserve">      AND OLCOT = 2</t>
  </si>
  <si>
    <t>-- Obtiene información adicional de contabilidad y cuentas desde mcfv041 y mcfv086</t>
  </si>
  <si>
    <t>cuentas_contables AS (</t>
  </si>
  <si>
    <t xml:space="preserve">        ctacod</t>
  </si>
  <si>
    <t xml:space="preserve">        ctacar</t>
  </si>
  <si>
    <t xml:space="preserve">        ctaca$</t>
  </si>
  <si>
    <t xml:space="preserve">        ctaabo</t>
  </si>
  <si>
    <t xml:space="preserve">        ctaab$</t>
  </si>
  <si>
    <t xml:space="preserve">    FROM mcfv041</t>
  </si>
  <si>
    <t>cuentas_adicionales AS (</t>
  </si>
  <si>
    <t xml:space="preserve">        asctas</t>
  </si>
  <si>
    <t xml:space="preserve">        asctsp</t>
  </si>
  <si>
    <t xml:space="preserve">    FROM mcfv086</t>
  </si>
  <si>
    <t>-- Relacionar reporte con tipo de cambio por la fecha particionada</t>
  </si>
  <si>
    <t>reporte_final AS (</t>
  </si>
  <si>
    <t xml:space="preserve">        fa.pebcop AS banco</t>
  </si>
  <si>
    <t xml:space="preserve">        fa.nombre_banco AS nombre</t>
  </si>
  <si>
    <t xml:space="preserve">        fa.peruce AS ruc</t>
  </si>
  <si>
    <t xml:space="preserve">        fa.pecest AS codigo</t>
  </si>
  <si>
    <t xml:space="preserve">        fa.razon_social</t>
  </si>
  <si>
    <t xml:space="preserve">        fa.peccch AS nro_cuenta</t>
  </si>
  <si>
    <t xml:space="preserve">        fa.penet3 AS importe</t>
  </si>
  <si>
    <t xml:space="preserve">        CASE</t>
  </si>
  <si>
    <t xml:space="preserve">            WHEN fa.pemone = '840' THEN ROUND(fa.penet3 * IFNULL(tc.tipo_cambio</t>
  </si>
  <si>
    <t xml:space="preserve"> 1)</t>
  </si>
  <si>
    <t xml:space="preserve"> 2)</t>
  </si>
  <si>
    <t xml:space="preserve">            ELSE ROUND(fa.penet3</t>
  </si>
  <si>
    <t xml:space="preserve">        END AS importe_soles</t>
  </si>
  <si>
    <t xml:space="preserve">        fa.pemone AS mon</t>
  </si>
  <si>
    <t xml:space="preserve">        fa.peprod AS pr</t>
  </si>
  <si>
    <t xml:space="preserve">        FORMAT_DATE('%Y/%m/%d'</t>
  </si>
  <si>
    <t xml:space="preserve"> PARSE_DATE('%Y%m%d'</t>
  </si>
  <si>
    <t xml:space="preserve"> CAST(fa.pefpro AS STRING))) AS fec_pro</t>
  </si>
  <si>
    <t xml:space="preserve"> CAST(fa.pefabo AS STRING))) AS fec_abo</t>
  </si>
  <si>
    <t xml:space="preserve">        fa.petcta AS tipo</t>
  </si>
  <si>
    <t xml:space="preserve">        fa.pepagt AS tercero</t>
  </si>
  <si>
    <t xml:space="preserve">        fa.pesitu AS ctaesp</t>
  </si>
  <si>
    <t xml:space="preserve">    FROM filtro_abonos fa</t>
  </si>
  <si>
    <t xml:space="preserve">    CROSS JOIN fecha_param fp</t>
  </si>
  <si>
    <t xml:space="preserve">    LEFT JOIN tipo_cambio tc</t>
  </si>
  <si>
    <t xml:space="preserve">        ON fp.anio = tc.anio</t>
  </si>
  <si>
    <t xml:space="preserve">       AND fp.mes = tc.mes</t>
  </si>
  <si>
    <t xml:space="preserve">       AND fp.dia = tc.dia</t>
  </si>
  <si>
    <t>SELECT *</t>
  </si>
  <si>
    <t>FROM reporte_final</t>
  </si>
  <si>
    <t>ORDER BY banco</t>
  </si>
  <si>
    <t xml:space="preserve"> nombre;</t>
  </si>
  <si>
    <t>--------------------------------------------------------------------------------</t>
  </si>
  <si>
    <t>-- 1. Códigos de transacción que **generan abono**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</si>
  <si>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transacciones_abono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</si>
  <si>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TRIM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pgcodi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codigo_transaccion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</si>
  <si>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  </t>
    </r>
    <r>
      <rPr>
        <sz val="9"/>
        <color rgb="FF000000"/>
        <rFont val="Consolas"/>
        <family val="3"/>
      </rPr>
      <t>`prd-izipay-data-storage-pv.raw_as400.mcfv075`</t>
    </r>
  </si>
  <si>
    <r>
      <t xml:space="preserve">  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 </t>
    </r>
    <r>
      <rPr>
        <sz val="9"/>
        <color rgb="FF1967D2"/>
        <rFont val="Consolas"/>
        <family val="3"/>
      </rPr>
      <t>UPPER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pgtipo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'TRXABO'</t>
    </r>
  </si>
  <si>
    <r>
      <t xml:space="preserve">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 </t>
    </r>
    <r>
      <rPr>
        <sz val="9"/>
        <color rgb="FF000000"/>
        <rFont val="Consolas"/>
        <family val="3"/>
      </rPr>
      <t>pgcodi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</si>
  <si>
    <r>
      <t>)</t>
    </r>
    <r>
      <rPr>
        <sz val="9"/>
        <color rgb="FF202124"/>
        <rFont val="Consolas"/>
        <family val="3"/>
      </rPr>
      <t>,</t>
    </r>
  </si>
  <si>
    <t>-- 2. Abonos leídos del archivo acumulado MCFT044  (incluye PECTIB)</t>
  </si>
  <si>
    <r>
      <t>abonos_procesados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</si>
  <si>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1967D2"/>
        <rFont val="Consolas"/>
        <family val="3"/>
      </rPr>
      <t>SELECT</t>
    </r>
  </si>
  <si>
    <r>
      <t xml:space="preserve">      </t>
    </r>
    <r>
      <rPr>
        <sz val="9"/>
        <color rgb="FF000000"/>
        <rFont val="Consolas"/>
        <family val="3"/>
      </rPr>
      <t>m044.peprod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m044.pecest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m044.pectra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</si>
  <si>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m044.pefpro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m044.pefabo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m044.penet2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</si>
  <si>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m044.pemone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m044.petpag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m044.pebcop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</si>
  <si>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m044.petcta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m044.peruct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m044.petdot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</si>
  <si>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m044.penomt</t>
    </r>
    <r>
      <rPr>
        <sz val="9"/>
        <color rgb="FF202124"/>
        <rFont val="Consolas"/>
        <family val="3"/>
      </rPr>
      <t>,  </t>
    </r>
    <r>
      <rPr>
        <sz val="9"/>
        <color rgb="FF000000"/>
        <rFont val="Consolas"/>
        <family val="3"/>
      </rPr>
      <t>m044.pectib</t>
    </r>
    <r>
      <rPr>
        <sz val="9"/>
        <color rgb="FF202124"/>
        <rFont val="Consolas"/>
        <family val="3"/>
      </rPr>
      <t xml:space="preserve">                       </t>
    </r>
    <r>
      <rPr>
        <sz val="9"/>
        <color rgb="FFB80672"/>
        <rFont val="Consolas"/>
        <family val="3"/>
      </rPr>
      <t>-- ← C / E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</si>
  <si>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`dev-izipay-data-storage.raw_as400_bk.mcft044`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m044</t>
    </r>
  </si>
  <si>
    <r>
      <t xml:space="preserve"> 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transacciones_abono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ta</t>
    </r>
  </si>
  <si>
    <r>
      <t>       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TRIM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m044.pectra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ta.codigo_transaccion</t>
    </r>
  </si>
  <si>
    <r>
      <t xml:space="preserve">  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UPPER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m044.petpag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'ACC'</t>
    </r>
  </si>
  <si>
    <r>
      <t xml:space="preserve">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UPPER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m044.petdot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&lt;&gt; </t>
    </r>
    <r>
      <rPr>
        <sz val="9"/>
        <color rgb="FF188038"/>
        <rFont val="Consolas"/>
        <family val="3"/>
      </rPr>
      <t>'T'</t>
    </r>
  </si>
  <si>
    <t>-- 5. Tipo de cambio venta (MCFV017)   &lt;&lt; NUEVO  para importe solarizado</t>
  </si>
  <si>
    <r>
      <t>tipo_cambio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</si>
  <si>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  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ovven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NUMERIC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tc_venta</t>
    </r>
    <r>
      <rPr>
        <sz val="9"/>
        <color rgb="FF202124"/>
        <rFont val="Consolas"/>
        <family val="3"/>
      </rPr>
      <t>,</t>
    </r>
  </si>
  <si>
    <r>
      <t xml:space="preserve">        </t>
    </r>
    <r>
      <rPr>
        <sz val="9"/>
        <color rgb="FF1967D2"/>
        <rFont val="Consolas"/>
        <family val="3"/>
      </rPr>
      <t>PARSE_DATE</t>
    </r>
    <r>
      <rPr>
        <sz val="9"/>
        <color rgb="FF3C4043"/>
        <rFont val="Consolas"/>
        <family val="3"/>
      </rPr>
      <t>(</t>
    </r>
  </si>
  <si>
    <r>
      <t xml:space="preserve">      </t>
    </r>
    <r>
      <rPr>
        <sz val="9"/>
        <color rgb="FF188038"/>
        <rFont val="Consolas"/>
        <family val="3"/>
      </rPr>
      <t>'%Y%m%d'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</si>
  <si>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1967D2"/>
        <rFont val="Consolas"/>
        <family val="3"/>
      </rPr>
      <t>CONCAT</t>
    </r>
    <r>
      <rPr>
        <sz val="9"/>
        <color rgb="FF3C4043"/>
        <rFont val="Consolas"/>
        <family val="3"/>
      </rPr>
      <t>(</t>
    </r>
  </si>
  <si>
    <r>
      <t xml:space="preserve">      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OFANO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>,</t>
    </r>
  </si>
  <si>
    <r>
      <t xml:space="preserve">        </t>
    </r>
    <r>
      <rPr>
        <sz val="9"/>
        <color rgb="FF1967D2"/>
        <rFont val="Consolas"/>
        <family val="3"/>
      </rPr>
      <t>LPAD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OFMES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'0'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>,</t>
    </r>
  </si>
  <si>
    <r>
      <t xml:space="preserve">        </t>
    </r>
    <r>
      <rPr>
        <sz val="9"/>
        <color rgb="FF1967D2"/>
        <rFont val="Consolas"/>
        <family val="3"/>
      </rPr>
      <t>LPAD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OFDIA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'0'</t>
    </r>
    <r>
      <rPr>
        <sz val="9"/>
        <color rgb="FF3C4043"/>
        <rFont val="Consolas"/>
        <family val="3"/>
      </rPr>
      <t>)</t>
    </r>
  </si>
  <si>
    <r>
      <t xml:space="preserve">      </t>
    </r>
    <r>
      <rPr>
        <sz val="9"/>
        <color rgb="FF3C4043"/>
        <rFont val="Consolas"/>
        <family val="3"/>
      </rPr>
      <t>)</t>
    </r>
  </si>
  <si>
    <r>
      <t xml:space="preserve">    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               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fecha_tc</t>
    </r>
    <r>
      <rPr>
        <sz val="9"/>
        <color rgb="FF202124"/>
        <rFont val="Consolas"/>
        <family val="3"/>
      </rPr>
      <t xml:space="preserve">          </t>
    </r>
    <r>
      <rPr>
        <sz val="9"/>
        <color rgb="FFB80672"/>
        <rFont val="Consolas"/>
        <family val="3"/>
      </rPr>
      <t>-- formato yyyymmdd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</si>
  <si>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dev-izipay-data-operation.raw_stage_as400.mcfv017</t>
    </r>
    <r>
      <rPr>
        <sz val="9"/>
        <color rgb="FF202124"/>
        <rFont val="Consolas"/>
        <family val="3"/>
      </rPr>
      <t xml:space="preserve"> </t>
    </r>
  </si>
  <si>
    <r>
      <t xml:space="preserve">  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OCCIA</t>
    </r>
    <r>
      <rPr>
        <sz val="9"/>
        <color rgb="FF202124"/>
        <rFont val="Consolas"/>
        <family val="3"/>
      </rPr>
      <t xml:space="preserve">   = </t>
    </r>
    <r>
      <rPr>
        <sz val="9"/>
        <color rgb="FFB06000"/>
        <rFont val="Consolas"/>
        <family val="3"/>
      </rPr>
      <t>99</t>
    </r>
  </si>
  <si>
    <r>
      <t xml:space="preserve">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OCSUC</t>
    </r>
    <r>
      <rPr>
        <sz val="9"/>
        <color rgb="FF202124"/>
        <rFont val="Consolas"/>
        <family val="3"/>
      </rPr>
      <t xml:space="preserve">   = </t>
    </r>
    <r>
      <rPr>
        <sz val="9"/>
        <color rgb="FFB06000"/>
        <rFont val="Consolas"/>
        <family val="3"/>
      </rPr>
      <t>1</t>
    </r>
  </si>
  <si>
    <r>
      <t xml:space="preserve">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OCMON</t>
    </r>
    <r>
      <rPr>
        <sz val="9"/>
        <color rgb="FF202124"/>
        <rFont val="Consolas"/>
        <family val="3"/>
      </rPr>
      <t xml:space="preserve">   = </t>
    </r>
    <r>
      <rPr>
        <sz val="9"/>
        <color rgb="FFB06000"/>
        <rFont val="Consolas"/>
        <family val="3"/>
      </rPr>
      <t>2</t>
    </r>
  </si>
  <si>
    <r>
      <t xml:space="preserve">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OLCOT</t>
    </r>
    <r>
      <rPr>
        <sz val="9"/>
        <color rgb="FF202124"/>
        <rFont val="Consolas"/>
        <family val="3"/>
      </rPr>
      <t xml:space="preserve">   = </t>
    </r>
    <r>
      <rPr>
        <sz val="9"/>
        <color rgb="FFB06000"/>
        <rFont val="Consolas"/>
        <family val="3"/>
      </rPr>
      <t>2</t>
    </r>
  </si>
  <si>
    <t>-- 7. Reporte final</t>
  </si>
  <si>
    <r>
      <t>reporte_final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</si>
  <si>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    </t>
    </r>
    <r>
      <rPr>
        <sz val="9"/>
        <color rgb="FF000000"/>
        <rFont val="Consolas"/>
        <family val="3"/>
      </rPr>
      <t>v004.bacodi</t>
    </r>
    <r>
      <rPr>
        <sz val="9"/>
        <color rgb="FF202124"/>
        <rFont val="Consolas"/>
        <family val="3"/>
      </rPr>
      <t xml:space="preserve">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banco_codigo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</si>
  <si>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v004.badesc</t>
    </r>
    <r>
      <rPr>
        <sz val="9"/>
        <color rgb="FF202124"/>
        <rFont val="Consolas"/>
        <family val="3"/>
      </rPr>
      <t xml:space="preserve">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nombre_banco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</si>
  <si>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ab.peruct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ruc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</si>
  <si>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ab.pecest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codigo_establecimiento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</si>
  <si>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ab.penomt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razon_social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</si>
  <si>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ab.petcta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numero_cuenta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</si>
  <si>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ab.penet2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importe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</si>
  <si>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B80672"/>
        <rFont val="Consolas"/>
        <family val="3"/>
      </rPr>
      <t>/* ---------- IMPORTE SOLARIZADO ---------- */</t>
    </r>
  </si>
  <si>
    <r>
      <t xml:space="preserve">      </t>
    </r>
    <r>
      <rPr>
        <sz val="9"/>
        <color rgb="FF1967D2"/>
        <rFont val="Consolas"/>
        <family val="3"/>
      </rPr>
      <t>ROUND</t>
    </r>
    <r>
      <rPr>
        <sz val="9"/>
        <color rgb="FF3C4043"/>
        <rFont val="Consolas"/>
        <family val="3"/>
      </rPr>
      <t>(</t>
    </r>
  </si>
  <si>
    <r>
      <t xml:space="preserve">        </t>
    </r>
    <r>
      <rPr>
        <sz val="9"/>
        <color rgb="FF1967D2"/>
        <rFont val="Consolas"/>
        <family val="3"/>
      </rPr>
      <t>CASE</t>
    </r>
  </si>
  <si>
    <r>
      <t xml:space="preserve">      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ab.pemone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'604'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ab.penet2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float64</t>
    </r>
    <r>
      <rPr>
        <sz val="9"/>
        <color rgb="FF3C4043"/>
        <rFont val="Consolas"/>
        <family val="3"/>
      </rPr>
      <t>)</t>
    </r>
  </si>
  <si>
    <r>
      <t xml:space="preserve">      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ab.pemone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'840'</t>
    </r>
  </si>
  <si>
    <r>
      <t>                 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ab.penet2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float64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COALESCE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tc.tc_venta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float64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1</t>
    </r>
    <r>
      <rPr>
        <sz val="9"/>
        <color rgb="FF3C4043"/>
        <rFont val="Consolas"/>
        <family val="3"/>
      </rPr>
      <t>)</t>
    </r>
  </si>
  <si>
    <r>
      <t xml:space="preserve">        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ab.penet2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float64</t>
    </r>
    <r>
      <rPr>
        <sz val="9"/>
        <color rgb="FF3C4043"/>
        <rFont val="Consolas"/>
        <family val="3"/>
      </rPr>
      <t>)</t>
    </r>
  </si>
  <si>
    <r>
      <t xml:space="preserve">        </t>
    </r>
    <r>
      <rPr>
        <sz val="9"/>
        <color rgb="FF1967D2"/>
        <rFont val="Consolas"/>
        <family val="3"/>
      </rPr>
      <t>END</t>
    </r>
  </si>
  <si>
    <r>
      <t>      ,</t>
    </r>
    <r>
      <rPr>
        <sz val="9"/>
        <color rgb="FFB06000"/>
        <rFont val="Consolas"/>
        <family val="3"/>
      </rPr>
      <t>2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   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imp_soles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</si>
  <si>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B80672"/>
        <rFont val="Consolas"/>
        <family val="3"/>
      </rPr>
      <t>/* ---------------------------------------- */</t>
    </r>
  </si>
  <si>
    <r>
      <t xml:space="preserve">      </t>
    </r>
    <r>
      <rPr>
        <sz val="9"/>
        <color rgb="FF000000"/>
        <rFont val="Consolas"/>
        <family val="3"/>
      </rPr>
      <t>ab.pemone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moneda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</si>
  <si>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ab.peprod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producto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</si>
  <si>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ab.pefpro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fecha_proceso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</si>
  <si>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ab.pefabo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fecha_abono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</si>
  <si>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000000"/>
        <rFont val="Consolas"/>
        <family val="3"/>
      </rPr>
      <t>ab.petpag</t>
    </r>
    <r>
      <rPr>
        <sz val="9"/>
        <color rgb="FF202124"/>
        <rFont val="Consolas"/>
        <family val="3"/>
      </rPr>
      <t xml:space="preserve">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tipo_pago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</si>
  <si>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1967D2"/>
        <rFont val="Consolas"/>
        <family val="3"/>
      </rPr>
      <t>CASE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ab.petdot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'T'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'S'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'N'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tercero</t>
    </r>
    <r>
      <rPr>
        <sz val="9"/>
        <color rgb="FF202124"/>
        <rFont val="Consolas"/>
        <family val="3"/>
      </rPr>
      <t>,</t>
    </r>
  </si>
  <si>
    <r>
      <t xml:space="preserve">      </t>
    </r>
    <r>
      <rPr>
        <sz val="9"/>
        <color rgb="FFB80672"/>
        <rFont val="Consolas"/>
        <family val="3"/>
      </rPr>
      <t>/* CTAESP: letra C / E de PECTIB */</t>
    </r>
  </si>
  <si>
    <r>
      <t xml:space="preserve">      </t>
    </r>
    <r>
      <rPr>
        <sz val="9"/>
        <color rgb="FF1967D2"/>
        <rFont val="Consolas"/>
        <family val="3"/>
      </rPr>
      <t>COALESCE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NULLIF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TRIM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ab.pectib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>,</t>
    </r>
    <r>
      <rPr>
        <sz val="9"/>
        <color rgb="FF188038"/>
        <rFont val="Consolas"/>
        <family val="3"/>
      </rPr>
      <t>''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'-'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ctaesp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</si>
  <si>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abonos_procesados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</t>
    </r>
  </si>
  <si>
    <r>
      <t xml:space="preserve">  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`prd-izipay-data-storage-pv.raw_as400.mcfm027`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m027</t>
    </r>
  </si>
  <si>
    <r>
      <t>         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ab.pecest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m027.mecest</t>
    </r>
  </si>
  <si>
    <r>
      <t xml:space="preserve">  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`prd-izipay-data-storage-pv.raw_as400.mcfv004`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v004</t>
    </r>
  </si>
  <si>
    <r>
      <t>         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ab.pebcop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v004.bacodi</t>
    </r>
  </si>
  <si>
    <r>
      <t xml:space="preserve">  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tipo_cambio</t>
    </r>
    <r>
      <rPr>
        <sz val="9"/>
        <color rgb="FF202124"/>
        <rFont val="Consolas"/>
        <family val="3"/>
      </rPr>
      <t xml:space="preserve">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tc</t>
    </r>
  </si>
  <si>
    <r>
      <t xml:space="preserve">    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 </t>
    </r>
    <r>
      <rPr>
        <sz val="9"/>
        <color rgb="FF1967D2"/>
        <rFont val="Consolas"/>
        <family val="3"/>
      </rPr>
      <t>FORMAT_DATE</t>
    </r>
    <r>
      <rPr>
        <sz val="9"/>
        <color rgb="FF3C4043"/>
        <rFont val="Consolas"/>
        <family val="3"/>
      </rPr>
      <t>(</t>
    </r>
    <r>
      <rPr>
        <sz val="9"/>
        <color rgb="FF188038"/>
        <rFont val="Consolas"/>
        <family val="3"/>
      </rPr>
      <t>"%Y%m%d"</t>
    </r>
    <r>
      <rPr>
        <sz val="9"/>
        <color rgb="FF202124"/>
        <rFont val="Consolas"/>
        <family val="3"/>
      </rPr>
      <t xml:space="preserve">  ,</t>
    </r>
    <r>
      <rPr>
        <sz val="9"/>
        <color rgb="FF000000"/>
        <rFont val="Consolas"/>
        <family val="3"/>
      </rPr>
      <t>tc.fecha_tc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ab.pefabo</t>
    </r>
    <r>
      <rPr>
        <sz val="9"/>
        <color rgb="FF202124"/>
        <rFont val="Consolas"/>
        <family val="3"/>
      </rPr>
      <t xml:space="preserve">            </t>
    </r>
    <r>
      <rPr>
        <sz val="9"/>
        <color rgb="FFB80672"/>
        <rFont val="Consolas"/>
        <family val="3"/>
      </rPr>
      <t>-- mismo día del abono</t>
    </r>
  </si>
  <si>
    <r>
      <t> </t>
    </r>
    <r>
      <rPr>
        <sz val="9"/>
        <color rgb="FFB80672"/>
        <rFont val="Consolas"/>
        <family val="3"/>
      </rPr>
      <t>-- FORMAT_DATE("%Y%m%d"</t>
    </r>
  </si>
  <si>
    <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</si>
  <si>
    <r>
      <t>FROM</t>
    </r>
    <r>
      <rPr>
        <sz val="9"/>
        <color rgb="FF202124"/>
        <rFont val="Consolas"/>
        <family val="3"/>
      </rPr>
      <t xml:space="preserve">   </t>
    </r>
    <r>
      <rPr>
        <sz val="9"/>
        <color rgb="FF000000"/>
        <rFont val="Consolas"/>
        <family val="3"/>
      </rPr>
      <t>reporte_final</t>
    </r>
  </si>
  <si>
    <r>
      <t>ORDER</t>
    </r>
    <r>
      <rPr>
        <sz val="9"/>
        <color rgb="FF202124"/>
        <rFont val="Consolas"/>
        <family val="3"/>
      </rPr>
      <t xml:space="preserve">  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banco_codigo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codigo_establecimiento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fecha_proceso</t>
    </r>
    <r>
      <rPr>
        <sz val="9"/>
        <color rgb="FF202124"/>
        <rFont val="Consolas"/>
        <family val="3"/>
      </rPr>
      <t>;</t>
    </r>
  </si>
  <si>
    <t>tabla</t>
  </si>
  <si>
    <t>proyecto</t>
  </si>
  <si>
    <t>dataset</t>
  </si>
  <si>
    <r>
      <t> 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TRIM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pgcodi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codigo_transaccion</t>
    </r>
  </si>
  <si>
    <t>mcfv075</t>
  </si>
  <si>
    <t>dev-izipay-data-storage</t>
  </si>
  <si>
    <t>raw_as400</t>
  </si>
  <si>
    <r>
      <rPr>
        <sz val="9"/>
        <color rgb="FF202124"/>
        <rFont val="Consolas"/>
        <family val="3"/>
      </rPr>
      <t> 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 </t>
    </r>
    <r>
      <rPr>
        <sz val="9"/>
        <color rgb="FF000000"/>
        <rFont val="Consolas"/>
        <family val="3"/>
      </rPr>
      <t>`prd-izipay-data-storage-pv.raw_as400.mcfv075`</t>
    </r>
  </si>
  <si>
    <t>mcft044</t>
  </si>
  <si>
    <t>raw_as400_bk</t>
  </si>
  <si>
    <r>
      <t> 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UPPER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pgtipo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'TRXABO'</t>
    </r>
  </si>
  <si>
    <t>mcfv017</t>
  </si>
  <si>
    <t>dev-izipay-data-operation</t>
  </si>
  <si>
    <t>raw_stage_as400</t>
  </si>
  <si>
    <r>
      <rPr>
        <sz val="9"/>
        <color rgb="FF202124"/>
        <rFont val="Consolas"/>
        <family val="3"/>
      </rPr>
      <t xml:space="preserve">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pgcodi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</si>
  <si>
    <t>mcfm027</t>
  </si>
  <si>
    <t>mcfv004</t>
  </si>
  <si>
    <t>mclv002a</t>
  </si>
  <si>
    <t>-- 2. Abonos leídos del archivo acumulado MCFT044 (incluye PECTIB)</t>
  </si>
  <si>
    <r>
      <rPr>
        <sz val="9"/>
        <color rgb="FF000000"/>
        <rFont val="Consolas"/>
        <family val="3"/>
      </rPr>
      <t>abonos_procesados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</si>
  <si>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> </t>
    </r>
    <r>
      <rPr>
        <sz val="9"/>
        <color rgb="FF1967D2"/>
        <rFont val="Consolas"/>
        <family val="3"/>
      </rPr>
      <t>SELECT</t>
    </r>
  </si>
  <si>
    <r>
      <t>   </t>
    </r>
    <r>
      <rPr>
        <sz val="9"/>
        <color rgb="FF000000"/>
        <rFont val="Consolas"/>
        <family val="3"/>
      </rPr>
      <t>m044.peprod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m044.pecest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m044.pectra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</si>
  <si>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m044.pefpro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m044.pefabo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m044.penet2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</si>
  <si>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m044.pemone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m044.petpag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m044.pebcop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</si>
  <si>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m044.petcta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m044.peruct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m044.petdot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</si>
  <si>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m044.penomt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m044.pectib</t>
    </r>
    <r>
      <rPr>
        <sz val="9"/>
        <color rgb="FF202124"/>
        <rFont val="Consolas"/>
        <family val="3"/>
      </rPr>
      <t xml:space="preserve">            </t>
    </r>
    <r>
      <rPr>
        <sz val="9"/>
        <color rgb="FFB80672"/>
        <rFont val="Consolas"/>
        <family val="3"/>
      </rPr>
      <t>-- ← C / E</t>
    </r>
  </si>
  <si>
    <r>
      <rPr>
        <sz val="9"/>
        <color rgb="FF202124"/>
        <rFont val="Consolas"/>
        <family val="3"/>
      </rPr>
      <t> 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`dev-izipay-data-storage.raw_as400_bk.mcft044`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m044</t>
    </r>
  </si>
  <si>
    <r>
      <t> </t>
    </r>
    <r>
      <rPr>
        <sz val="9"/>
        <color rgb="FFB80672"/>
        <rFont val="Consolas"/>
        <family val="3"/>
      </rPr>
      <t xml:space="preserve">---- dev-izipay-data-operation.raw_stage_as400.mcft044 &lt;-- probar </t>
    </r>
  </si>
  <si>
    <r>
      <t> 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transacciones_abono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ta</t>
    </r>
  </si>
  <si>
    <r>
      <t>   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TRIM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m044.pectra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ta.codigo_transaccion</t>
    </r>
  </si>
  <si>
    <r>
      <t> 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UPPER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m044.petpag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'ACC'</t>
    </r>
  </si>
  <si>
    <r>
      <t xml:space="preserve">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UPPER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m044.petdot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&lt;&gt; </t>
    </r>
    <r>
      <rPr>
        <sz val="9"/>
        <color rgb="FF188038"/>
        <rFont val="Consolas"/>
        <family val="3"/>
      </rPr>
      <t>'T'</t>
    </r>
  </si>
  <si>
    <t>-- 3. Tipo de cambio venta (MCFV017)  &lt;&lt; NUEVO para importe solarizado</t>
  </si>
  <si>
    <r>
      <t>   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ovven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NUMERIC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tc_venta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</si>
  <si>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PARSE_DATE</t>
    </r>
    <r>
      <rPr>
        <sz val="9"/>
        <color rgb="FF3C4043"/>
        <rFont val="Consolas"/>
        <family val="3"/>
      </rPr>
      <t>(</t>
    </r>
  </si>
  <si>
    <r>
      <t>   </t>
    </r>
    <r>
      <rPr>
        <sz val="9"/>
        <color rgb="FF188038"/>
        <rFont val="Consolas"/>
        <family val="3"/>
      </rPr>
      <t>'%Y%m%d'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</si>
  <si>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1967D2"/>
        <rFont val="Consolas"/>
        <family val="3"/>
      </rPr>
      <t>CONCAT</t>
    </r>
    <r>
      <rPr>
        <sz val="9"/>
        <color rgb="FF3C4043"/>
        <rFont val="Consolas"/>
        <family val="3"/>
      </rPr>
      <t>(</t>
    </r>
  </si>
  <si>
    <r>
      <t xml:space="preserve">   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OFANO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</si>
  <si>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LPAD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OFMES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'0'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</si>
  <si>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LPAD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OFDIA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STRING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, </t>
    </r>
    <r>
      <rPr>
        <sz val="9"/>
        <color rgb="FF188038"/>
        <rFont val="Consolas"/>
        <family val="3"/>
      </rPr>
      <t>'0'</t>
    </r>
    <r>
      <rPr>
        <sz val="9"/>
        <color rgb="FF3C4043"/>
        <rFont val="Consolas"/>
        <family val="3"/>
      </rPr>
      <t>)</t>
    </r>
  </si>
  <si>
    <r>
      <t>   </t>
    </r>
    <r>
      <rPr>
        <sz val="9"/>
        <color rgb="FF3C4043"/>
        <rFont val="Consolas"/>
        <family val="3"/>
      </rPr>
      <t>)</t>
    </r>
  </si>
  <si>
    <r>
      <t xml:space="preserve">  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fecha_tc</t>
    </r>
    <r>
      <rPr>
        <sz val="9"/>
        <color rgb="FF202124"/>
        <rFont val="Consolas"/>
        <family val="3"/>
      </rPr>
      <t xml:space="preserve">     </t>
    </r>
    <r>
      <rPr>
        <sz val="9"/>
        <color rgb="FFB80672"/>
        <rFont val="Consolas"/>
        <family val="3"/>
      </rPr>
      <t>-- formato yyyymmdd</t>
    </r>
  </si>
  <si>
    <r>
      <rPr>
        <sz val="9"/>
        <color rgb="FF202124"/>
        <rFont val="Consolas"/>
        <family val="3"/>
      </rPr>
      <t> 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dev-izipay-data-operation.raw_stage_as400.mcfv017</t>
    </r>
    <r>
      <rPr>
        <sz val="9"/>
        <color rgb="FF202124"/>
        <rFont val="Consolas"/>
        <family val="3"/>
      </rPr>
      <t xml:space="preserve"> </t>
    </r>
  </si>
  <si>
    <r>
      <t> 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OCCIA</t>
    </r>
    <r>
      <rPr>
        <sz val="9"/>
        <color rgb="FF202124"/>
        <rFont val="Consolas"/>
        <family val="3"/>
      </rPr>
      <t xml:space="preserve">  = </t>
    </r>
    <r>
      <rPr>
        <sz val="9"/>
        <color rgb="FFB06000"/>
        <rFont val="Consolas"/>
        <family val="3"/>
      </rPr>
      <t>99</t>
    </r>
  </si>
  <si>
    <r>
      <t xml:space="preserve">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OCSUC</t>
    </r>
    <r>
      <rPr>
        <sz val="9"/>
        <color rgb="FF202124"/>
        <rFont val="Consolas"/>
        <family val="3"/>
      </rPr>
      <t xml:space="preserve">  = </t>
    </r>
    <r>
      <rPr>
        <sz val="9"/>
        <color rgb="FFB06000"/>
        <rFont val="Consolas"/>
        <family val="3"/>
      </rPr>
      <t>1</t>
    </r>
  </si>
  <si>
    <r>
      <t xml:space="preserve">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OCMON</t>
    </r>
    <r>
      <rPr>
        <sz val="9"/>
        <color rgb="FF202124"/>
        <rFont val="Consolas"/>
        <family val="3"/>
      </rPr>
      <t xml:space="preserve">  = </t>
    </r>
    <r>
      <rPr>
        <sz val="9"/>
        <color rgb="FFB06000"/>
        <rFont val="Consolas"/>
        <family val="3"/>
      </rPr>
      <t>2</t>
    </r>
  </si>
  <si>
    <r>
      <t xml:space="preserve">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OLCOT</t>
    </r>
    <r>
      <rPr>
        <sz val="9"/>
        <color rgb="FF202124"/>
        <rFont val="Consolas"/>
        <family val="3"/>
      </rPr>
      <t xml:space="preserve">  = </t>
    </r>
    <r>
      <rPr>
        <sz val="9"/>
        <color rgb="FFB06000"/>
        <rFont val="Consolas"/>
        <family val="3"/>
      </rPr>
      <t>2</t>
    </r>
  </si>
  <si>
    <t>-- 4. Reporte final</t>
  </si>
  <si>
    <r>
      <t>   </t>
    </r>
    <r>
      <rPr>
        <sz val="9"/>
        <color rgb="FF000000"/>
        <rFont val="Consolas"/>
        <family val="3"/>
      </rPr>
      <t>v004.bacodi</t>
    </r>
    <r>
      <rPr>
        <sz val="9"/>
        <color rgb="FF202124"/>
        <rFont val="Consolas"/>
        <family val="3"/>
      </rPr>
      <t xml:space="preserve">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banco_codigo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</si>
  <si>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v004.badesc</t>
    </r>
    <r>
      <rPr>
        <sz val="9"/>
        <color rgb="FF202124"/>
        <rFont val="Consolas"/>
        <family val="3"/>
      </rPr>
      <t xml:space="preserve">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nombre_banco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</si>
  <si>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ab.peruct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ruc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</si>
  <si>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ab.pecest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codigo_establecimiento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</si>
  <si>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ab.penomt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razon_social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</si>
  <si>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ab.petcta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numero_cuenta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</si>
  <si>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ab.penet2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importe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</si>
  <si>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B80672"/>
        <rFont val="Consolas"/>
        <family val="3"/>
      </rPr>
      <t>/* ---------- IMPORTE SOLARIZADO ---------- */</t>
    </r>
  </si>
  <si>
    <r>
      <t>   </t>
    </r>
    <r>
      <rPr>
        <sz val="9"/>
        <color rgb="FF1967D2"/>
        <rFont val="Consolas"/>
        <family val="3"/>
      </rPr>
      <t>ROUND</t>
    </r>
    <r>
      <rPr>
        <sz val="9"/>
        <color rgb="FF3C4043"/>
        <rFont val="Consolas"/>
        <family val="3"/>
      </rPr>
      <t>(</t>
    </r>
  </si>
  <si>
    <r>
      <t xml:space="preserve">    </t>
    </r>
    <r>
      <rPr>
        <sz val="9"/>
        <color rgb="FF1967D2"/>
        <rFont val="Consolas"/>
        <family val="3"/>
      </rPr>
      <t>CASE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</si>
  <si>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ab.pemone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'604'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ab.penet2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float64</t>
    </r>
    <r>
      <rPr>
        <sz val="9"/>
        <color rgb="FF3C4043"/>
        <rFont val="Consolas"/>
        <family val="3"/>
      </rPr>
      <t>)</t>
    </r>
  </si>
  <si>
    <r>
      <t xml:space="preserve">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ab.pemone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'840'</t>
    </r>
  </si>
  <si>
    <r>
      <t xml:space="preserve">       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ab.penet2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float64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COALESCE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tc.tc_venta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float64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1</t>
    </r>
    <r>
      <rPr>
        <sz val="9"/>
        <color rgb="FF3C4043"/>
        <rFont val="Consolas"/>
        <family val="3"/>
      </rPr>
      <t>)</t>
    </r>
  </si>
  <si>
    <r>
      <t xml:space="preserve">  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ab.penet2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float64</t>
    </r>
    <r>
      <rPr>
        <sz val="9"/>
        <color rgb="FF3C4043"/>
        <rFont val="Consolas"/>
        <family val="3"/>
      </rPr>
      <t>)</t>
    </r>
  </si>
  <si>
    <r>
      <t xml:space="preserve">    </t>
    </r>
    <r>
      <rPr>
        <sz val="9"/>
        <color rgb="FF1967D2"/>
        <rFont val="Consolas"/>
        <family val="3"/>
      </rPr>
      <t>END</t>
    </r>
  </si>
  <si>
    <r>
      <t>   ,</t>
    </r>
    <r>
      <rPr>
        <sz val="9"/>
        <color rgb="FFB06000"/>
        <rFont val="Consolas"/>
        <family val="3"/>
      </rPr>
      <t>2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imp_soles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</si>
  <si>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B80672"/>
        <rFont val="Consolas"/>
        <family val="3"/>
      </rPr>
      <t>/* ---------------------------------------- */</t>
    </r>
  </si>
  <si>
    <r>
      <t>   </t>
    </r>
    <r>
      <rPr>
        <sz val="9"/>
        <color rgb="FF000000"/>
        <rFont val="Consolas"/>
        <family val="3"/>
      </rPr>
      <t>ab.pemone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moneda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</si>
  <si>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ab.peprod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producto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</si>
  <si>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ab.pefpro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fecha_proceso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</si>
  <si>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ab.pefabo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fecha_abono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</si>
  <si>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000000"/>
        <rFont val="Consolas"/>
        <family val="3"/>
      </rPr>
      <t>ab.petpag</t>
    </r>
    <r>
      <rPr>
        <sz val="9"/>
        <color rgb="FF202124"/>
        <rFont val="Consolas"/>
        <family val="3"/>
      </rPr>
      <t xml:space="preserve">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tipo_pago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</si>
  <si>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1967D2"/>
        <rFont val="Consolas"/>
        <family val="3"/>
      </rPr>
      <t>CASE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ab.petdot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'T'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'S'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'N'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tercero</t>
    </r>
    <r>
      <rPr>
        <sz val="9"/>
        <color rgb="FF202124"/>
        <rFont val="Consolas"/>
        <family val="3"/>
      </rPr>
      <t>,</t>
    </r>
  </si>
  <si>
    <r>
      <t>   </t>
    </r>
    <r>
      <rPr>
        <sz val="9"/>
        <color rgb="FFB80672"/>
        <rFont val="Consolas"/>
        <family val="3"/>
      </rPr>
      <t>/* CTAESP: letra C / E de PECTIB */</t>
    </r>
  </si>
  <si>
    <r>
      <t> </t>
    </r>
    <r>
      <rPr>
        <sz val="9"/>
        <color rgb="FFB80672"/>
        <rFont val="Consolas"/>
        <family val="3"/>
      </rPr>
      <t>--  COALESCE(NULLIF(TRIM(ab.pectib),''), '-')   AS ctaesp</t>
    </r>
  </si>
  <si>
    <r>
      <t xml:space="preserve">      </t>
    </r>
    <r>
      <rPr>
        <sz val="9"/>
        <color rgb="FF1967D2"/>
        <rFont val="Consolas"/>
        <family val="3"/>
      </rPr>
      <t>CASE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TRIM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v.CETCTA</t>
    </r>
    <r>
      <rPr>
        <sz val="9"/>
        <color rgb="FF3C4043"/>
        <rFont val="Consolas"/>
        <family val="3"/>
      </rPr>
      <t>)</t>
    </r>
  </si>
  <si>
    <r>
      <t xml:space="preserve">         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'CC'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'C'</t>
    </r>
  </si>
  <si>
    <r>
      <t xml:space="preserve">         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'E'</t>
    </r>
    <r>
      <rPr>
        <sz val="9"/>
        <color rgb="FF202124"/>
        <rFont val="Consolas"/>
        <family val="3"/>
      </rPr>
      <t xml:space="preserve">  </t>
    </r>
    <r>
      <rPr>
        <sz val="9"/>
        <color rgb="FFB80672"/>
        <rFont val="Consolas"/>
        <family val="3"/>
      </rPr>
      <t>-- AH, MA y otros tipos se representan como 'E'</t>
    </r>
  </si>
  <si>
    <r>
      <t xml:space="preserve">     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ctaesp</t>
    </r>
  </si>
  <si>
    <r>
      <t> 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abonos_procesados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</t>
    </r>
  </si>
  <si>
    <r>
      <rPr>
        <sz val="9"/>
        <color rgb="FF202124"/>
        <rFont val="Consolas"/>
        <family val="3"/>
      </rPr>
      <t> 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`prd-izipay-data-storage-pv.raw_as400.mcfm027`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m027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</si>
  <si>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ab.pecest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m027.mecest</t>
    </r>
  </si>
  <si>
    <r>
      <rPr>
        <sz val="9"/>
        <color rgb="FF202124"/>
        <rFont val="Consolas"/>
        <family val="3"/>
      </rPr>
      <t> 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`prd-izipay-data-storage-pv.raw_as400.mcfv004`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v004</t>
    </r>
  </si>
  <si>
    <r>
      <t xml:space="preserve">   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ab.pebcop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v004.bacodi</t>
    </r>
  </si>
  <si>
    <r>
      <t> 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tipo_cambio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tc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FORMAT_DATE</t>
    </r>
    <r>
      <rPr>
        <sz val="9"/>
        <color rgb="FF3C4043"/>
        <rFont val="Consolas"/>
        <family val="3"/>
      </rPr>
      <t>(</t>
    </r>
    <r>
      <rPr>
        <sz val="9"/>
        <color rgb="FF188038"/>
        <rFont val="Consolas"/>
        <family val="3"/>
      </rPr>
      <t>"%Y%m%d"</t>
    </r>
    <r>
      <rPr>
        <sz val="9"/>
        <color rgb="FF202124"/>
        <rFont val="Consolas"/>
        <family val="3"/>
      </rPr>
      <t xml:space="preserve"> ,</t>
    </r>
    <r>
      <rPr>
        <sz val="9"/>
        <color rgb="FF000000"/>
        <rFont val="Consolas"/>
        <family val="3"/>
      </rPr>
      <t>tc.fecha_tc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ab.pefabo</t>
    </r>
    <r>
      <rPr>
        <sz val="9"/>
        <color rgb="FF202124"/>
        <rFont val="Consolas"/>
        <family val="3"/>
      </rPr>
      <t xml:space="preserve">      </t>
    </r>
    <r>
      <rPr>
        <sz val="9"/>
        <color rgb="FFB80672"/>
        <rFont val="Consolas"/>
        <family val="3"/>
      </rPr>
      <t xml:space="preserve">-- mismo día del abono </t>
    </r>
  </si>
  <si>
    <r>
      <rPr>
        <sz val="9"/>
        <color rgb="FF202124"/>
        <rFont val="Consolas"/>
        <family val="3"/>
      </rPr>
      <t> </t>
    </r>
    <r>
      <rPr>
        <sz val="9"/>
        <color rgb="FF1967D2"/>
        <rFont val="Consolas"/>
        <family val="3"/>
      </rP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 </t>
    </r>
    <r>
      <rPr>
        <sz val="9"/>
        <color rgb="FF000000"/>
        <rFont val="Consolas"/>
        <family val="3"/>
      </rPr>
      <t>dev-izipay-data-operation.raw_stage_as400.mclv002a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v</t>
    </r>
  </si>
  <si>
    <r>
      <t>         </t>
    </r>
    <r>
      <rPr>
        <sz val="9"/>
        <color rgb="FF1967D2"/>
        <rFont val="Consolas"/>
        <family val="3"/>
      </rP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cast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ab.pecest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int64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v.CECEST</t>
    </r>
  </si>
  <si>
    <r>
      <t xml:space="preserve">    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TRIM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v.CEPROD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''</t>
    </r>
  </si>
  <si>
    <r>
      <t>SELECT</t>
    </r>
    <r>
      <rPr>
        <sz val="9"/>
        <color rgb="FF202124"/>
        <rFont val="Consolas"/>
        <family val="3"/>
      </rPr>
      <t xml:space="preserve">  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</si>
  <si>
    <r>
      <t>FROM</t>
    </r>
    <r>
      <rPr>
        <sz val="9"/>
        <color rgb="FF202124"/>
        <rFont val="Consolas"/>
        <family val="3"/>
      </rPr>
      <t xml:space="preserve">  </t>
    </r>
    <r>
      <rPr>
        <sz val="9"/>
        <color rgb="FF000000"/>
        <rFont val="Consolas"/>
        <family val="3"/>
      </rPr>
      <t>reporte_final</t>
    </r>
  </si>
  <si>
    <t>si cheque: fechaabono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</si>
</sst>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  <font>
      <sz val="9"/>
      <color theme="1"/>
      <name val="Consolas"/>
      <family val="3"/>
    </font>
    <font>
      <b/>
      <sz val="10"/>
      <name val="Courier New"/>
      <family val="3"/>
    </font>
    <font>
      <sz val="10"/>
      <color rgb="FF286428"/>
      <name val="Courier New"/>
      <family val="3"/>
    </font>
    <font>
      <sz val="10"/>
      <color rgb="FF000000"/>
      <name val="Courier New"/>
      <family val="3"/>
    </font>
    <font>
      <sz val="10"/>
      <color rgb="FF0000CE"/>
      <name val="Courier New"/>
      <family val="3"/>
    </font>
    <font>
      <sz val="10"/>
      <color rgb="FF99CCFF"/>
      <name val="Courier New"/>
      <family val="3"/>
    </font>
    <font>
      <sz val="10"/>
      <color rgb="FFFF2000"/>
      <name val="Courier New"/>
      <family val="3"/>
    </font>
    <font>
      <sz val="10"/>
      <color rgb="FF800000"/>
      <name val="Courier New"/>
      <family val="3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9"/>
      <color rgb="FFB80672"/>
      <name val="Consolas"/>
      <family val="3"/>
    </font>
    <font>
      <sz val="9"/>
      <color rgb="FF1967D2"/>
      <name val="Consolas"/>
      <family val="3"/>
    </font>
    <font>
      <sz val="9"/>
      <color rgb="FF000000"/>
      <name val="Consolas"/>
      <family val="3"/>
    </font>
    <font>
      <sz val="9"/>
      <color rgb="FF3C4043"/>
      <name val="Consolas"/>
      <family val="3"/>
    </font>
    <font>
      <sz val="9"/>
      <color rgb="FF188038"/>
      <name val="Consolas"/>
      <family val="3"/>
    </font>
    <font>
      <sz val="9"/>
      <color rgb="FFB06000"/>
      <name val="Consolas"/>
      <family val="3"/>
    </font>
    <font>
      <sz val="11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quotePrefix="1"/>
    <xf numFmtId="0" fontId="4" fillId="2" borderId="1" xfId="0" applyFont="1" applyFill="1" applyBorder="1" applyAlignment="1">
      <alignment vertical="center"/>
    </xf>
    <xf numFmtId="0" fontId="5" fillId="0" borderId="0" xfId="0" applyFont="1"/>
    <xf numFmtId="0" fontId="8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quotePrefix="1" applyFont="1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5" fillId="0" borderId="0" xfId="0" applyNumberFormat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5635A0-58D4-4555-A4A4-97C38E0E9A39}" name="Tabla1" displayName="Tabla1" ref="B1:J5" totalsRowShown="0" headerRowDxfId="10" dataDxfId="9">
  <autoFilter ref="B1:J5" xr:uid="{0B5635A0-58D4-4555-A4A4-97C38E0E9A39}"/>
  <tableColumns count="9">
    <tableColumn id="5" xr3:uid="{A4B2E4C5-B704-4B17-A027-AA8AC08806CC}" name="id" dataDxfId="8"/>
    <tableColumn id="1" xr3:uid="{A2FD6E14-1208-4EFB-B400-3D0BC357BB49}" name="nombre_tabla_query" dataDxfId="7"/>
    <tableColumn id="2" xr3:uid="{8AC1EF93-3F17-4A32-81D6-7F17D32E8694}" name="descripcion" dataDxfId="6"/>
    <tableColumn id="9" xr3:uid="{7B52A9DB-4781-45E7-8BA7-7484F9B62F6E}" name="Observaciones" dataDxfId="5"/>
    <tableColumn id="6" xr3:uid="{B80751D5-B06F-493B-9FAF-9C9D6BE89BC7}" name="tipo_tabla" dataDxfId="4"/>
    <tableColumn id="11" xr3:uid="{4564D6B3-833B-4404-A468-208D7BA6E3D6}" name="clasificacion_Tabla" dataDxfId="3"/>
    <tableColumn id="3" xr3:uid="{8EF11838-8402-4F8E-B0B5-8E9568BEBB60}" name="flag_gcp" dataDxfId="2"/>
    <tableColumn id="4" xr3:uid="{72A6105F-44D2-47FD-8D8D-050CAB4BECEC}" name="flag_en_azure" dataDxfId="1"/>
    <tableColumn id="10" xr3:uid="{D5EBD70A-D277-442E-B63C-AC858F510EA0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F594-07A5-4481-8300-5FB0754BA412}">
  <dimension ref="A1:E791"/>
  <sheetViews>
    <sheetView tabSelected="1" topLeftCell="A407" zoomScale="120" zoomScaleNormal="120" workbookViewId="0">
      <selection activeCell="E423" sqref="E423"/>
    </sheetView>
  </sheetViews>
  <sheetFormatPr baseColWidth="10" defaultColWidth="11.42578125" defaultRowHeight="15" x14ac:dyDescent="0.25"/>
  <cols>
    <col min="1" max="1" width="9.42578125" bestFit="1" customWidth="1"/>
    <col min="2" max="2" width="103.28515625" customWidth="1"/>
    <col min="3" max="3" width="15.28515625" bestFit="1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8" t="s">
        <v>3</v>
      </c>
      <c r="B2" s="8" t="s">
        <v>4</v>
      </c>
      <c r="C2" s="8" t="s">
        <v>5</v>
      </c>
    </row>
    <row r="3" spans="1:3" x14ac:dyDescent="0.25">
      <c r="A3" s="8" t="s">
        <v>6</v>
      </c>
      <c r="B3" s="8" t="s">
        <v>7</v>
      </c>
      <c r="C3" s="8" t="s">
        <v>5</v>
      </c>
    </row>
    <row r="4" spans="1:3" x14ac:dyDescent="0.25">
      <c r="A4" s="8" t="s">
        <v>8</v>
      </c>
      <c r="B4" s="23" t="s">
        <v>9</v>
      </c>
      <c r="C4" s="8" t="s">
        <v>5</v>
      </c>
    </row>
    <row r="5" spans="1:3" x14ac:dyDescent="0.25">
      <c r="A5" s="8" t="s">
        <v>10</v>
      </c>
      <c r="B5" s="8" t="s">
        <v>11</v>
      </c>
      <c r="C5" s="8" t="s">
        <v>5</v>
      </c>
    </row>
    <row r="6" spans="1:3" x14ac:dyDescent="0.25">
      <c r="A6" s="8" t="s">
        <v>12</v>
      </c>
      <c r="B6" s="23" t="s">
        <v>13</v>
      </c>
      <c r="C6" s="8" t="s">
        <v>5</v>
      </c>
    </row>
    <row r="7" spans="1:3" x14ac:dyDescent="0.25">
      <c r="A7" s="8" t="s">
        <v>14</v>
      </c>
      <c r="B7" s="8" t="s">
        <v>15</v>
      </c>
      <c r="C7" s="8" t="s">
        <v>5</v>
      </c>
    </row>
    <row r="8" spans="1:3" x14ac:dyDescent="0.25">
      <c r="A8" s="8" t="s">
        <v>16</v>
      </c>
      <c r="B8" s="8" t="s">
        <v>17</v>
      </c>
      <c r="C8" s="8" t="s">
        <v>5</v>
      </c>
    </row>
    <row r="9" spans="1:3" x14ac:dyDescent="0.25">
      <c r="A9" s="8" t="s">
        <v>18</v>
      </c>
      <c r="B9" s="23" t="s">
        <v>19</v>
      </c>
      <c r="C9" s="8" t="s">
        <v>5</v>
      </c>
    </row>
    <row r="10" spans="1:3" x14ac:dyDescent="0.25">
      <c r="A10" s="8" t="s">
        <v>20</v>
      </c>
      <c r="B10" s="8" t="s">
        <v>21</v>
      </c>
      <c r="C10" s="8" t="s">
        <v>5</v>
      </c>
    </row>
    <row r="11" spans="1:3" x14ac:dyDescent="0.25">
      <c r="A11" s="8" t="s">
        <v>22</v>
      </c>
      <c r="B11" s="8" t="s">
        <v>23</v>
      </c>
      <c r="C11" s="8" t="s">
        <v>5</v>
      </c>
    </row>
    <row r="12" spans="1:3" x14ac:dyDescent="0.25">
      <c r="A12" s="8" t="s">
        <v>24</v>
      </c>
      <c r="B12" s="8" t="s">
        <v>25</v>
      </c>
      <c r="C12" s="8" t="s">
        <v>5</v>
      </c>
    </row>
    <row r="13" spans="1:3" x14ac:dyDescent="0.25">
      <c r="A13" s="8" t="s">
        <v>26</v>
      </c>
      <c r="B13" s="8" t="s">
        <v>27</v>
      </c>
      <c r="C13" s="8" t="s">
        <v>5</v>
      </c>
    </row>
    <row r="14" spans="1:3" x14ac:dyDescent="0.25">
      <c r="A14" s="8" t="s">
        <v>28</v>
      </c>
      <c r="B14" s="8" t="s">
        <v>21</v>
      </c>
      <c r="C14" s="8" t="s">
        <v>5</v>
      </c>
    </row>
    <row r="15" spans="1:3" x14ac:dyDescent="0.25">
      <c r="A15" s="8" t="s">
        <v>29</v>
      </c>
      <c r="B15" s="8" t="s">
        <v>21</v>
      </c>
      <c r="C15" s="8" t="s">
        <v>5</v>
      </c>
    </row>
    <row r="16" spans="1:3" x14ac:dyDescent="0.25">
      <c r="A16" s="8" t="s">
        <v>30</v>
      </c>
      <c r="B16" s="8" t="s">
        <v>31</v>
      </c>
      <c r="C16" s="8" t="s">
        <v>5</v>
      </c>
    </row>
    <row r="17" spans="1:3" x14ac:dyDescent="0.25">
      <c r="A17" s="8" t="s">
        <v>32</v>
      </c>
      <c r="B17" s="8" t="s">
        <v>25</v>
      </c>
      <c r="C17" s="8" t="s">
        <v>5</v>
      </c>
    </row>
    <row r="18" spans="1:3" x14ac:dyDescent="0.25">
      <c r="A18" s="8" t="s">
        <v>33</v>
      </c>
      <c r="B18" s="8" t="s">
        <v>34</v>
      </c>
      <c r="C18" s="8" t="s">
        <v>5</v>
      </c>
    </row>
    <row r="19" spans="1:3" x14ac:dyDescent="0.25">
      <c r="A19" s="8" t="s">
        <v>35</v>
      </c>
      <c r="B19" s="8" t="s">
        <v>21</v>
      </c>
      <c r="C19" s="8" t="s">
        <v>5</v>
      </c>
    </row>
    <row r="20" spans="1:3" x14ac:dyDescent="0.25">
      <c r="A20" s="8" t="s">
        <v>36</v>
      </c>
      <c r="B20" s="8" t="s">
        <v>21</v>
      </c>
      <c r="C20" s="8" t="s">
        <v>5</v>
      </c>
    </row>
    <row r="21" spans="1:3" x14ac:dyDescent="0.25">
      <c r="A21" s="8" t="s">
        <v>37</v>
      </c>
      <c r="B21" s="8" t="s">
        <v>38</v>
      </c>
      <c r="C21" s="8" t="s">
        <v>5</v>
      </c>
    </row>
    <row r="22" spans="1:3" x14ac:dyDescent="0.25">
      <c r="A22" s="8" t="s">
        <v>39</v>
      </c>
      <c r="B22" s="8" t="s">
        <v>25</v>
      </c>
      <c r="C22" s="8" t="s">
        <v>5</v>
      </c>
    </row>
    <row r="23" spans="1:3" x14ac:dyDescent="0.25">
      <c r="A23" s="8" t="s">
        <v>40</v>
      </c>
      <c r="B23" s="8" t="s">
        <v>41</v>
      </c>
      <c r="C23" s="8" t="s">
        <v>5</v>
      </c>
    </row>
    <row r="24" spans="1:3" x14ac:dyDescent="0.25">
      <c r="A24" s="8" t="s">
        <v>42</v>
      </c>
      <c r="B24" s="8" t="s">
        <v>21</v>
      </c>
      <c r="C24" s="8" t="s">
        <v>5</v>
      </c>
    </row>
    <row r="25" spans="1:3" x14ac:dyDescent="0.25">
      <c r="A25" s="8" t="s">
        <v>43</v>
      </c>
      <c r="B25" s="8" t="s">
        <v>21</v>
      </c>
      <c r="C25" s="8" t="s">
        <v>5</v>
      </c>
    </row>
    <row r="26" spans="1:3" x14ac:dyDescent="0.25">
      <c r="A26" s="8" t="s">
        <v>44</v>
      </c>
      <c r="B26" s="8" t="s">
        <v>45</v>
      </c>
      <c r="C26" s="8" t="s">
        <v>5</v>
      </c>
    </row>
    <row r="27" spans="1:3" x14ac:dyDescent="0.25">
      <c r="A27" s="8" t="s">
        <v>46</v>
      </c>
      <c r="B27" s="8" t="s">
        <v>25</v>
      </c>
      <c r="C27" s="8" t="s">
        <v>5</v>
      </c>
    </row>
    <row r="28" spans="1:3" x14ac:dyDescent="0.25">
      <c r="A28" s="8" t="s">
        <v>47</v>
      </c>
      <c r="B28" s="8" t="s">
        <v>48</v>
      </c>
      <c r="C28" s="8" t="s">
        <v>5</v>
      </c>
    </row>
    <row r="29" spans="1:3" x14ac:dyDescent="0.25">
      <c r="A29" s="8" t="s">
        <v>49</v>
      </c>
      <c r="B29" s="8" t="s">
        <v>21</v>
      </c>
      <c r="C29" s="8" t="s">
        <v>5</v>
      </c>
    </row>
    <row r="30" spans="1:3" x14ac:dyDescent="0.25">
      <c r="A30" s="8" t="s">
        <v>50</v>
      </c>
      <c r="B30" s="8" t="s">
        <v>21</v>
      </c>
      <c r="C30" s="8" t="s">
        <v>5</v>
      </c>
    </row>
    <row r="31" spans="1:3" x14ac:dyDescent="0.25">
      <c r="A31" s="8" t="s">
        <v>51</v>
      </c>
      <c r="B31" s="8" t="s">
        <v>52</v>
      </c>
      <c r="C31" s="8" t="s">
        <v>5</v>
      </c>
    </row>
    <row r="32" spans="1:3" x14ac:dyDescent="0.25">
      <c r="A32" s="8" t="s">
        <v>53</v>
      </c>
      <c r="B32" s="8" t="s">
        <v>25</v>
      </c>
      <c r="C32" s="8" t="s">
        <v>5</v>
      </c>
    </row>
    <row r="33" spans="1:3" x14ac:dyDescent="0.25">
      <c r="A33" s="8" t="s">
        <v>54</v>
      </c>
      <c r="B33" s="8" t="s">
        <v>55</v>
      </c>
      <c r="C33" s="8" t="s">
        <v>5</v>
      </c>
    </row>
    <row r="34" spans="1:3" x14ac:dyDescent="0.25">
      <c r="A34" s="8" t="s">
        <v>56</v>
      </c>
      <c r="B34" s="8" t="s">
        <v>21</v>
      </c>
      <c r="C34" s="8" t="s">
        <v>5</v>
      </c>
    </row>
    <row r="35" spans="1:3" x14ac:dyDescent="0.25">
      <c r="A35" s="8" t="s">
        <v>57</v>
      </c>
      <c r="B35" s="8" t="s">
        <v>58</v>
      </c>
      <c r="C35" s="8" t="s">
        <v>5</v>
      </c>
    </row>
    <row r="36" spans="1:3" x14ac:dyDescent="0.25">
      <c r="A36" s="8" t="s">
        <v>59</v>
      </c>
      <c r="B36" s="8" t="s">
        <v>60</v>
      </c>
      <c r="C36" s="8" t="s">
        <v>5</v>
      </c>
    </row>
    <row r="37" spans="1:3" x14ac:dyDescent="0.25">
      <c r="A37" s="8" t="s">
        <v>61</v>
      </c>
      <c r="B37" s="8" t="s">
        <v>62</v>
      </c>
      <c r="C37" s="8" t="s">
        <v>5</v>
      </c>
    </row>
    <row r="38" spans="1:3" x14ac:dyDescent="0.25">
      <c r="A38" s="8" t="s">
        <v>63</v>
      </c>
      <c r="B38" s="8" t="s">
        <v>21</v>
      </c>
      <c r="C38" s="8" t="s">
        <v>5</v>
      </c>
    </row>
    <row r="39" spans="1:3" x14ac:dyDescent="0.25">
      <c r="A39" s="8" t="s">
        <v>64</v>
      </c>
      <c r="B39" s="8" t="s">
        <v>65</v>
      </c>
      <c r="C39" s="8" t="s">
        <v>5</v>
      </c>
    </row>
    <row r="40" spans="1:3" x14ac:dyDescent="0.25">
      <c r="A40" s="8" t="s">
        <v>66</v>
      </c>
      <c r="B40" s="8" t="s">
        <v>60</v>
      </c>
      <c r="C40" s="8" t="s">
        <v>5</v>
      </c>
    </row>
    <row r="41" spans="1:3" x14ac:dyDescent="0.25">
      <c r="A41" s="8" t="s">
        <v>67</v>
      </c>
      <c r="B41" s="8" t="s">
        <v>68</v>
      </c>
      <c r="C41" s="8" t="s">
        <v>5</v>
      </c>
    </row>
    <row r="42" spans="1:3" x14ac:dyDescent="0.25">
      <c r="A42" s="8" t="s">
        <v>69</v>
      </c>
      <c r="B42" s="8" t="s">
        <v>21</v>
      </c>
      <c r="C42" s="8" t="s">
        <v>5</v>
      </c>
    </row>
    <row r="43" spans="1:3" x14ac:dyDescent="0.25">
      <c r="A43" s="8" t="s">
        <v>70</v>
      </c>
      <c r="B43" s="8" t="s">
        <v>71</v>
      </c>
      <c r="C43" s="8" t="s">
        <v>5</v>
      </c>
    </row>
    <row r="44" spans="1:3" x14ac:dyDescent="0.25">
      <c r="A44" s="8" t="s">
        <v>72</v>
      </c>
      <c r="B44" s="8" t="s">
        <v>73</v>
      </c>
      <c r="C44" s="8" t="s">
        <v>5</v>
      </c>
    </row>
    <row r="45" spans="1:3" x14ac:dyDescent="0.25">
      <c r="A45" s="8" t="s">
        <v>74</v>
      </c>
      <c r="B45" s="8" t="s">
        <v>75</v>
      </c>
      <c r="C45" s="8" t="s">
        <v>5</v>
      </c>
    </row>
    <row r="46" spans="1:3" x14ac:dyDescent="0.25">
      <c r="A46" s="8" t="s">
        <v>76</v>
      </c>
      <c r="B46" s="8" t="s">
        <v>77</v>
      </c>
      <c r="C46" s="8" t="s">
        <v>5</v>
      </c>
    </row>
    <row r="47" spans="1:3" x14ac:dyDescent="0.25">
      <c r="A47" s="8" t="s">
        <v>78</v>
      </c>
      <c r="B47" s="8" t="s">
        <v>71</v>
      </c>
      <c r="C47" s="8" t="s">
        <v>5</v>
      </c>
    </row>
    <row r="48" spans="1:3" x14ac:dyDescent="0.25">
      <c r="A48" s="8" t="s">
        <v>79</v>
      </c>
      <c r="B48" s="8" t="s">
        <v>80</v>
      </c>
      <c r="C48" s="8" t="s">
        <v>5</v>
      </c>
    </row>
    <row r="49" spans="1:3" x14ac:dyDescent="0.25">
      <c r="A49" s="8" t="s">
        <v>81</v>
      </c>
      <c r="B49" s="8" t="s">
        <v>82</v>
      </c>
      <c r="C49" s="8" t="s">
        <v>5</v>
      </c>
    </row>
    <row r="50" spans="1:3" x14ac:dyDescent="0.25">
      <c r="A50" s="8" t="s">
        <v>83</v>
      </c>
      <c r="B50" s="8" t="s">
        <v>84</v>
      </c>
      <c r="C50" s="8" t="s">
        <v>5</v>
      </c>
    </row>
    <row r="51" spans="1:3" x14ac:dyDescent="0.25">
      <c r="A51" s="8" t="s">
        <v>85</v>
      </c>
      <c r="B51" s="8" t="s">
        <v>86</v>
      </c>
      <c r="C51" s="8" t="s">
        <v>5</v>
      </c>
    </row>
    <row r="52" spans="1:3" x14ac:dyDescent="0.25">
      <c r="A52" s="8" t="s">
        <v>87</v>
      </c>
      <c r="B52" s="8" t="s">
        <v>80</v>
      </c>
      <c r="C52" s="8" t="s">
        <v>5</v>
      </c>
    </row>
    <row r="53" spans="1:3" x14ac:dyDescent="0.25">
      <c r="A53" s="8" t="s">
        <v>88</v>
      </c>
      <c r="B53" s="8" t="s">
        <v>89</v>
      </c>
      <c r="C53" s="8" t="s">
        <v>5</v>
      </c>
    </row>
    <row r="54" spans="1:3" x14ac:dyDescent="0.25">
      <c r="A54" s="8" t="s">
        <v>90</v>
      </c>
      <c r="B54" s="8" t="s">
        <v>91</v>
      </c>
      <c r="C54" s="8" t="s">
        <v>5</v>
      </c>
    </row>
    <row r="55" spans="1:3" x14ac:dyDescent="0.25">
      <c r="A55" s="8" t="s">
        <v>92</v>
      </c>
      <c r="B55" s="8" t="s">
        <v>93</v>
      </c>
      <c r="C55" s="8" t="s">
        <v>5</v>
      </c>
    </row>
    <row r="56" spans="1:3" x14ac:dyDescent="0.25">
      <c r="A56" s="8" t="s">
        <v>94</v>
      </c>
      <c r="B56" s="8" t="s">
        <v>95</v>
      </c>
      <c r="C56" s="8" t="s">
        <v>5</v>
      </c>
    </row>
    <row r="57" spans="1:3" x14ac:dyDescent="0.25">
      <c r="A57" s="8" t="s">
        <v>96</v>
      </c>
      <c r="B57" s="8" t="s">
        <v>89</v>
      </c>
      <c r="C57" s="8" t="s">
        <v>5</v>
      </c>
    </row>
    <row r="58" spans="1:3" x14ac:dyDescent="0.25">
      <c r="A58" s="8" t="s">
        <v>97</v>
      </c>
      <c r="B58" s="8" t="s">
        <v>71</v>
      </c>
      <c r="C58" s="8" t="s">
        <v>5</v>
      </c>
    </row>
    <row r="59" spans="1:3" x14ac:dyDescent="0.25">
      <c r="A59" s="8" t="s">
        <v>98</v>
      </c>
      <c r="B59" s="8" t="s">
        <v>99</v>
      </c>
      <c r="C59" s="8" t="s">
        <v>5</v>
      </c>
    </row>
    <row r="60" spans="1:3" x14ac:dyDescent="0.25">
      <c r="A60" s="8" t="s">
        <v>100</v>
      </c>
      <c r="B60" s="8" t="s">
        <v>84</v>
      </c>
      <c r="C60" s="8" t="s">
        <v>5</v>
      </c>
    </row>
    <row r="61" spans="1:3" x14ac:dyDescent="0.25">
      <c r="A61" s="8" t="s">
        <v>101</v>
      </c>
      <c r="B61" s="8" t="s">
        <v>102</v>
      </c>
      <c r="C61" s="8" t="s">
        <v>5</v>
      </c>
    </row>
    <row r="62" spans="1:3" x14ac:dyDescent="0.25">
      <c r="A62" s="8" t="s">
        <v>103</v>
      </c>
      <c r="B62" s="8" t="s">
        <v>71</v>
      </c>
      <c r="C62" s="8" t="s">
        <v>5</v>
      </c>
    </row>
    <row r="63" spans="1:3" x14ac:dyDescent="0.25">
      <c r="A63" s="8" t="s">
        <v>104</v>
      </c>
      <c r="B63" s="8" t="s">
        <v>71</v>
      </c>
      <c r="C63" s="8" t="s">
        <v>5</v>
      </c>
    </row>
    <row r="64" spans="1:3" x14ac:dyDescent="0.25">
      <c r="A64" s="8" t="s">
        <v>105</v>
      </c>
      <c r="B64" s="8" t="s">
        <v>106</v>
      </c>
      <c r="C64" s="8" t="s">
        <v>5</v>
      </c>
    </row>
    <row r="65" spans="1:3" x14ac:dyDescent="0.25">
      <c r="A65" s="8" t="s">
        <v>107</v>
      </c>
      <c r="B65" s="8" t="s">
        <v>108</v>
      </c>
      <c r="C65" s="8" t="s">
        <v>5</v>
      </c>
    </row>
    <row r="66" spans="1:3" x14ac:dyDescent="0.25">
      <c r="A66" s="8" t="s">
        <v>109</v>
      </c>
      <c r="B66" s="8" t="s">
        <v>110</v>
      </c>
      <c r="C66" s="8" t="s">
        <v>5</v>
      </c>
    </row>
    <row r="67" spans="1:3" x14ac:dyDescent="0.25">
      <c r="A67" s="8" t="s">
        <v>111</v>
      </c>
      <c r="B67" s="8" t="s">
        <v>71</v>
      </c>
      <c r="C67" s="8" t="s">
        <v>5</v>
      </c>
    </row>
    <row r="68" spans="1:3" x14ac:dyDescent="0.25">
      <c r="A68" s="8" t="s">
        <v>112</v>
      </c>
      <c r="B68" s="8" t="s">
        <v>113</v>
      </c>
      <c r="C68" s="8" t="s">
        <v>5</v>
      </c>
    </row>
    <row r="69" spans="1:3" x14ac:dyDescent="0.25">
      <c r="A69" s="8" t="s">
        <v>114</v>
      </c>
      <c r="B69" s="8" t="s">
        <v>115</v>
      </c>
      <c r="C69" s="8" t="s">
        <v>5</v>
      </c>
    </row>
    <row r="70" spans="1:3" x14ac:dyDescent="0.25">
      <c r="A70" s="8" t="s">
        <v>116</v>
      </c>
      <c r="B70" s="8" t="s">
        <v>117</v>
      </c>
      <c r="C70" s="8" t="s">
        <v>5</v>
      </c>
    </row>
    <row r="71" spans="1:3" x14ac:dyDescent="0.25">
      <c r="A71" s="8" t="s">
        <v>118</v>
      </c>
      <c r="B71" s="8" t="s">
        <v>119</v>
      </c>
      <c r="C71" s="8" t="s">
        <v>5</v>
      </c>
    </row>
    <row r="72" spans="1:3" x14ac:dyDescent="0.25">
      <c r="A72" s="8" t="s">
        <v>120</v>
      </c>
      <c r="B72" s="8" t="s">
        <v>71</v>
      </c>
      <c r="C72" s="8" t="s">
        <v>5</v>
      </c>
    </row>
    <row r="73" spans="1:3" x14ac:dyDescent="0.25">
      <c r="A73" s="8" t="s">
        <v>121</v>
      </c>
      <c r="B73" s="8" t="s">
        <v>122</v>
      </c>
      <c r="C73" s="8" t="s">
        <v>5</v>
      </c>
    </row>
    <row r="74" spans="1:3" x14ac:dyDescent="0.25">
      <c r="A74" s="8" t="s">
        <v>123</v>
      </c>
      <c r="B74" s="8" t="s">
        <v>124</v>
      </c>
      <c r="C74" s="8" t="s">
        <v>5</v>
      </c>
    </row>
    <row r="75" spans="1:3" x14ac:dyDescent="0.25">
      <c r="A75" s="8" t="s">
        <v>125</v>
      </c>
      <c r="B75" s="8" t="s">
        <v>126</v>
      </c>
      <c r="C75" s="8" t="s">
        <v>5</v>
      </c>
    </row>
    <row r="76" spans="1:3" x14ac:dyDescent="0.25">
      <c r="A76" s="8" t="s">
        <v>127</v>
      </c>
      <c r="B76" s="8" t="s">
        <v>128</v>
      </c>
      <c r="C76" s="8" t="s">
        <v>5</v>
      </c>
    </row>
    <row r="77" spans="1:3" x14ac:dyDescent="0.25">
      <c r="A77" s="8" t="s">
        <v>129</v>
      </c>
      <c r="B77" s="8" t="s">
        <v>71</v>
      </c>
      <c r="C77" s="8" t="s">
        <v>5</v>
      </c>
    </row>
    <row r="78" spans="1:3" x14ac:dyDescent="0.25">
      <c r="A78" s="8" t="s">
        <v>130</v>
      </c>
      <c r="B78" s="8" t="s">
        <v>131</v>
      </c>
      <c r="C78" s="8" t="s">
        <v>5</v>
      </c>
    </row>
    <row r="79" spans="1:3" x14ac:dyDescent="0.25">
      <c r="A79" s="8" t="s">
        <v>132</v>
      </c>
      <c r="B79" s="8" t="s">
        <v>133</v>
      </c>
      <c r="C79" s="8" t="s">
        <v>5</v>
      </c>
    </row>
    <row r="80" spans="1:3" x14ac:dyDescent="0.25">
      <c r="A80" s="8" t="s">
        <v>134</v>
      </c>
      <c r="B80" s="8" t="s">
        <v>135</v>
      </c>
      <c r="C80" s="8" t="s">
        <v>5</v>
      </c>
    </row>
    <row r="81" spans="1:3" x14ac:dyDescent="0.25">
      <c r="A81" s="8" t="s">
        <v>136</v>
      </c>
      <c r="B81" s="8" t="s">
        <v>71</v>
      </c>
      <c r="C81" s="8" t="s">
        <v>5</v>
      </c>
    </row>
    <row r="82" spans="1:3" x14ac:dyDescent="0.25">
      <c r="A82" s="8" t="s">
        <v>137</v>
      </c>
      <c r="B82" s="8" t="s">
        <v>138</v>
      </c>
      <c r="C82" s="8" t="s">
        <v>5</v>
      </c>
    </row>
    <row r="83" spans="1:3" x14ac:dyDescent="0.25">
      <c r="A83" s="8" t="s">
        <v>139</v>
      </c>
      <c r="B83" s="8" t="s">
        <v>140</v>
      </c>
      <c r="C83" s="8" t="s">
        <v>5</v>
      </c>
    </row>
    <row r="84" spans="1:3" x14ac:dyDescent="0.25">
      <c r="A84" s="8" t="s">
        <v>141</v>
      </c>
      <c r="B84" s="8" t="s">
        <v>142</v>
      </c>
      <c r="C84" s="8" t="s">
        <v>5</v>
      </c>
    </row>
    <row r="85" spans="1:3" x14ac:dyDescent="0.25">
      <c r="A85" s="8" t="s">
        <v>143</v>
      </c>
      <c r="B85" s="8" t="s">
        <v>144</v>
      </c>
      <c r="C85" s="8" t="s">
        <v>5</v>
      </c>
    </row>
    <row r="86" spans="1:3" x14ac:dyDescent="0.25">
      <c r="A86" s="8" t="s">
        <v>145</v>
      </c>
      <c r="B86" s="8" t="s">
        <v>71</v>
      </c>
      <c r="C86" s="8" t="s">
        <v>5</v>
      </c>
    </row>
    <row r="87" spans="1:3" x14ac:dyDescent="0.25">
      <c r="A87" s="8" t="s">
        <v>146</v>
      </c>
      <c r="B87" s="8" t="s">
        <v>71</v>
      </c>
      <c r="C87" s="8" t="s">
        <v>5</v>
      </c>
    </row>
    <row r="88" spans="1:3" x14ac:dyDescent="0.25">
      <c r="A88" s="8" t="s">
        <v>147</v>
      </c>
      <c r="B88" s="8" t="s">
        <v>148</v>
      </c>
      <c r="C88" s="8" t="s">
        <v>5</v>
      </c>
    </row>
    <row r="89" spans="1:3" x14ac:dyDescent="0.25">
      <c r="A89" s="8" t="s">
        <v>149</v>
      </c>
      <c r="B89" s="8" t="s">
        <v>150</v>
      </c>
      <c r="C89" s="8" t="s">
        <v>5</v>
      </c>
    </row>
    <row r="90" spans="1:3" x14ac:dyDescent="0.25">
      <c r="A90" s="8" t="s">
        <v>151</v>
      </c>
      <c r="B90" s="8" t="s">
        <v>152</v>
      </c>
      <c r="C90" s="8" t="s">
        <v>5</v>
      </c>
    </row>
    <row r="91" spans="1:3" x14ac:dyDescent="0.25">
      <c r="A91" s="9" t="s">
        <v>153</v>
      </c>
      <c r="B91" s="9" t="s">
        <v>154</v>
      </c>
      <c r="C91" s="9" t="s">
        <v>5</v>
      </c>
    </row>
    <row r="92" spans="1:3" x14ac:dyDescent="0.25">
      <c r="A92" s="8" t="s">
        <v>155</v>
      </c>
      <c r="B92" s="8" t="s">
        <v>71</v>
      </c>
      <c r="C92" s="8" t="s">
        <v>5</v>
      </c>
    </row>
    <row r="93" spans="1:3" x14ac:dyDescent="0.25">
      <c r="A93" s="8" t="s">
        <v>156</v>
      </c>
      <c r="B93" s="8" t="s">
        <v>157</v>
      </c>
      <c r="C93" s="8" t="s">
        <v>5</v>
      </c>
    </row>
    <row r="94" spans="1:3" x14ac:dyDescent="0.25">
      <c r="A94" s="8" t="s">
        <v>158</v>
      </c>
      <c r="B94" s="8" t="s">
        <v>159</v>
      </c>
      <c r="C94" s="8" t="s">
        <v>5</v>
      </c>
    </row>
    <row r="95" spans="1:3" x14ac:dyDescent="0.25">
      <c r="A95" s="8" t="s">
        <v>160</v>
      </c>
      <c r="B95" s="8" t="s">
        <v>161</v>
      </c>
      <c r="C95" s="8" t="s">
        <v>5</v>
      </c>
    </row>
    <row r="96" spans="1:3" x14ac:dyDescent="0.25">
      <c r="A96" s="8" t="s">
        <v>162</v>
      </c>
      <c r="B96" s="8" t="s">
        <v>163</v>
      </c>
      <c r="C96" s="8" t="s">
        <v>5</v>
      </c>
    </row>
    <row r="97" spans="1:3" x14ac:dyDescent="0.25">
      <c r="A97" s="8" t="s">
        <v>164</v>
      </c>
      <c r="B97" s="8" t="s">
        <v>165</v>
      </c>
      <c r="C97" s="8" t="s">
        <v>5</v>
      </c>
    </row>
    <row r="98" spans="1:3" x14ac:dyDescent="0.25">
      <c r="A98" s="8" t="s">
        <v>166</v>
      </c>
      <c r="B98" s="8" t="s">
        <v>167</v>
      </c>
      <c r="C98" s="8" t="s">
        <v>5</v>
      </c>
    </row>
    <row r="99" spans="1:3" x14ac:dyDescent="0.25">
      <c r="A99" s="8" t="s">
        <v>168</v>
      </c>
      <c r="B99" s="8" t="s">
        <v>169</v>
      </c>
      <c r="C99" s="8" t="s">
        <v>5</v>
      </c>
    </row>
    <row r="100" spans="1:3" x14ac:dyDescent="0.25">
      <c r="A100" s="8" t="s">
        <v>170</v>
      </c>
      <c r="B100" s="8" t="s">
        <v>171</v>
      </c>
      <c r="C100" s="8" t="s">
        <v>5</v>
      </c>
    </row>
    <row r="101" spans="1:3" x14ac:dyDescent="0.25">
      <c r="A101" s="8" t="s">
        <v>172</v>
      </c>
      <c r="B101" s="8" t="s">
        <v>173</v>
      </c>
      <c r="C101" s="8" t="s">
        <v>5</v>
      </c>
    </row>
    <row r="102" spans="1:3" x14ac:dyDescent="0.25">
      <c r="A102" s="8" t="s">
        <v>174</v>
      </c>
      <c r="B102" s="8" t="s">
        <v>71</v>
      </c>
      <c r="C102" s="8" t="s">
        <v>5</v>
      </c>
    </row>
    <row r="103" spans="1:3" x14ac:dyDescent="0.25">
      <c r="A103" s="8" t="s">
        <v>175</v>
      </c>
      <c r="B103" s="8" t="s">
        <v>176</v>
      </c>
      <c r="C103" s="8" t="s">
        <v>5</v>
      </c>
    </row>
    <row r="104" spans="1:3" x14ac:dyDescent="0.25">
      <c r="A104" s="8" t="s">
        <v>177</v>
      </c>
      <c r="B104" s="8" t="s">
        <v>178</v>
      </c>
      <c r="C104" s="8" t="s">
        <v>5</v>
      </c>
    </row>
    <row r="105" spans="1:3" x14ac:dyDescent="0.25">
      <c r="A105" s="8" t="s">
        <v>179</v>
      </c>
      <c r="B105" s="8" t="s">
        <v>180</v>
      </c>
      <c r="C105" s="8" t="s">
        <v>5</v>
      </c>
    </row>
    <row r="106" spans="1:3" x14ac:dyDescent="0.25">
      <c r="A106" s="8" t="s">
        <v>181</v>
      </c>
      <c r="B106" s="8" t="s">
        <v>182</v>
      </c>
      <c r="C106" s="8" t="s">
        <v>5</v>
      </c>
    </row>
    <row r="107" spans="1:3" x14ac:dyDescent="0.25">
      <c r="A107" s="8" t="s">
        <v>183</v>
      </c>
      <c r="B107" s="8" t="s">
        <v>184</v>
      </c>
      <c r="C107" s="8" t="s">
        <v>5</v>
      </c>
    </row>
    <row r="108" spans="1:3" x14ac:dyDescent="0.25">
      <c r="A108" s="8" t="s">
        <v>185</v>
      </c>
      <c r="B108" s="8" t="s">
        <v>186</v>
      </c>
      <c r="C108" s="8" t="s">
        <v>5</v>
      </c>
    </row>
    <row r="109" spans="1:3" x14ac:dyDescent="0.25">
      <c r="A109" s="8" t="s">
        <v>187</v>
      </c>
      <c r="B109" s="8" t="s">
        <v>71</v>
      </c>
      <c r="C109" s="8" t="s">
        <v>5</v>
      </c>
    </row>
    <row r="110" spans="1:3" x14ac:dyDescent="0.25">
      <c r="A110" s="8" t="s">
        <v>188</v>
      </c>
      <c r="B110" s="8" t="s">
        <v>189</v>
      </c>
      <c r="C110" s="8" t="s">
        <v>5</v>
      </c>
    </row>
    <row r="111" spans="1:3" x14ac:dyDescent="0.25">
      <c r="A111" s="8" t="s">
        <v>190</v>
      </c>
      <c r="B111" s="8" t="s">
        <v>191</v>
      </c>
      <c r="C111" s="8" t="s">
        <v>5</v>
      </c>
    </row>
    <row r="112" spans="1:3" x14ac:dyDescent="0.25">
      <c r="A112" s="8" t="s">
        <v>192</v>
      </c>
      <c r="B112" s="8" t="s">
        <v>193</v>
      </c>
      <c r="C112" s="8" t="s">
        <v>5</v>
      </c>
    </row>
    <row r="113" spans="1:3" x14ac:dyDescent="0.25">
      <c r="A113" s="8" t="s">
        <v>194</v>
      </c>
      <c r="B113" s="8" t="s">
        <v>195</v>
      </c>
      <c r="C113" s="8" t="s">
        <v>5</v>
      </c>
    </row>
    <row r="114" spans="1:3" x14ac:dyDescent="0.25">
      <c r="A114" s="8" t="s">
        <v>196</v>
      </c>
      <c r="B114" s="8" t="s">
        <v>186</v>
      </c>
      <c r="C114" s="8" t="s">
        <v>5</v>
      </c>
    </row>
    <row r="115" spans="1:3" x14ac:dyDescent="0.25">
      <c r="A115" s="8" t="s">
        <v>197</v>
      </c>
      <c r="B115" s="8" t="s">
        <v>198</v>
      </c>
      <c r="C115" s="8" t="s">
        <v>5</v>
      </c>
    </row>
    <row r="116" spans="1:3" x14ac:dyDescent="0.25">
      <c r="A116" s="8" t="s">
        <v>199</v>
      </c>
      <c r="B116" s="8" t="s">
        <v>200</v>
      </c>
      <c r="C116" s="8" t="s">
        <v>5</v>
      </c>
    </row>
    <row r="117" spans="1:3" x14ac:dyDescent="0.25">
      <c r="A117" s="8" t="s">
        <v>201</v>
      </c>
      <c r="B117" s="8" t="s">
        <v>202</v>
      </c>
      <c r="C117" s="8" t="s">
        <v>5</v>
      </c>
    </row>
    <row r="118" spans="1:3" x14ac:dyDescent="0.25">
      <c r="A118" s="8" t="s">
        <v>203</v>
      </c>
      <c r="B118" s="8" t="s">
        <v>204</v>
      </c>
      <c r="C118" s="8" t="s">
        <v>5</v>
      </c>
    </row>
    <row r="119" spans="1:3" x14ac:dyDescent="0.25">
      <c r="A119" s="8" t="s">
        <v>205</v>
      </c>
      <c r="B119" s="8" t="s">
        <v>206</v>
      </c>
      <c r="C119" s="8" t="s">
        <v>5</v>
      </c>
    </row>
    <row r="120" spans="1:3" x14ac:dyDescent="0.25">
      <c r="A120" s="8" t="s">
        <v>207</v>
      </c>
      <c r="B120" s="8" t="s">
        <v>208</v>
      </c>
      <c r="C120" s="8" t="s">
        <v>5</v>
      </c>
    </row>
    <row r="121" spans="1:3" x14ac:dyDescent="0.25">
      <c r="A121" s="8" t="s">
        <v>209</v>
      </c>
      <c r="B121" s="8" t="s">
        <v>210</v>
      </c>
      <c r="C121" s="8" t="s">
        <v>5</v>
      </c>
    </row>
    <row r="122" spans="1:3" x14ac:dyDescent="0.25">
      <c r="A122" s="8" t="s">
        <v>211</v>
      </c>
      <c r="B122" s="8" t="s">
        <v>212</v>
      </c>
      <c r="C122" s="8" t="s">
        <v>5</v>
      </c>
    </row>
    <row r="123" spans="1:3" x14ac:dyDescent="0.25">
      <c r="A123" s="8" t="s">
        <v>213</v>
      </c>
      <c r="B123" s="8" t="s">
        <v>214</v>
      </c>
      <c r="C123" s="8" t="s">
        <v>5</v>
      </c>
    </row>
    <row r="124" spans="1:3" x14ac:dyDescent="0.25">
      <c r="A124" s="8" t="s">
        <v>215</v>
      </c>
      <c r="B124" s="8" t="s">
        <v>206</v>
      </c>
      <c r="C124" s="8" t="s">
        <v>5</v>
      </c>
    </row>
    <row r="125" spans="1:3" x14ac:dyDescent="0.25">
      <c r="A125" s="8" t="s">
        <v>216</v>
      </c>
      <c r="B125" s="8" t="s">
        <v>217</v>
      </c>
      <c r="C125" s="8" t="s">
        <v>5</v>
      </c>
    </row>
    <row r="126" spans="1:3" x14ac:dyDescent="0.25">
      <c r="A126" s="8" t="s">
        <v>218</v>
      </c>
      <c r="B126" s="8" t="s">
        <v>219</v>
      </c>
      <c r="C126" s="8" t="s">
        <v>5</v>
      </c>
    </row>
    <row r="127" spans="1:3" x14ac:dyDescent="0.25">
      <c r="A127" s="8" t="s">
        <v>220</v>
      </c>
      <c r="B127" s="8" t="s">
        <v>221</v>
      </c>
      <c r="C127" s="8" t="s">
        <v>5</v>
      </c>
    </row>
    <row r="128" spans="1:3" x14ac:dyDescent="0.25">
      <c r="A128" s="8" t="s">
        <v>222</v>
      </c>
      <c r="B128" s="8" t="s">
        <v>223</v>
      </c>
      <c r="C128" s="8" t="s">
        <v>5</v>
      </c>
    </row>
    <row r="129" spans="1:3" x14ac:dyDescent="0.25">
      <c r="A129" s="8" t="s">
        <v>224</v>
      </c>
      <c r="B129" s="8" t="s">
        <v>225</v>
      </c>
      <c r="C129" s="8" t="s">
        <v>5</v>
      </c>
    </row>
    <row r="130" spans="1:3" x14ac:dyDescent="0.25">
      <c r="A130" s="8" t="s">
        <v>226</v>
      </c>
      <c r="B130" s="8" t="s">
        <v>227</v>
      </c>
      <c r="C130" s="8" t="s">
        <v>5</v>
      </c>
    </row>
    <row r="131" spans="1:3" x14ac:dyDescent="0.25">
      <c r="A131" s="8" t="s">
        <v>228</v>
      </c>
      <c r="B131" s="8" t="s">
        <v>229</v>
      </c>
      <c r="C131" s="8" t="s">
        <v>5</v>
      </c>
    </row>
    <row r="132" spans="1:3" x14ac:dyDescent="0.25">
      <c r="A132" s="8" t="s">
        <v>230</v>
      </c>
      <c r="B132" s="8" t="s">
        <v>231</v>
      </c>
      <c r="C132" s="8" t="s">
        <v>5</v>
      </c>
    </row>
    <row r="133" spans="1:3" x14ac:dyDescent="0.25">
      <c r="A133" s="8" t="s">
        <v>232</v>
      </c>
      <c r="B133" s="8" t="s">
        <v>233</v>
      </c>
      <c r="C133" s="8" t="s">
        <v>5</v>
      </c>
    </row>
    <row r="134" spans="1:3" x14ac:dyDescent="0.25">
      <c r="A134" s="8" t="s">
        <v>234</v>
      </c>
      <c r="B134" s="8" t="s">
        <v>235</v>
      </c>
      <c r="C134" s="8" t="s">
        <v>5</v>
      </c>
    </row>
    <row r="135" spans="1:3" x14ac:dyDescent="0.25">
      <c r="A135" s="8" t="s">
        <v>236</v>
      </c>
      <c r="B135" s="8" t="s">
        <v>237</v>
      </c>
      <c r="C135" s="8" t="s">
        <v>5</v>
      </c>
    </row>
    <row r="136" spans="1:3" x14ac:dyDescent="0.25">
      <c r="A136" s="8" t="s">
        <v>238</v>
      </c>
      <c r="B136" s="8" t="s">
        <v>239</v>
      </c>
      <c r="C136" s="8" t="s">
        <v>5</v>
      </c>
    </row>
    <row r="137" spans="1:3" x14ac:dyDescent="0.25">
      <c r="A137" s="8" t="s">
        <v>240</v>
      </c>
      <c r="B137" s="8" t="s">
        <v>241</v>
      </c>
      <c r="C137" s="8" t="s">
        <v>5</v>
      </c>
    </row>
    <row r="138" spans="1:3" x14ac:dyDescent="0.25">
      <c r="A138" s="8" t="s">
        <v>242</v>
      </c>
      <c r="B138" s="8" t="s">
        <v>233</v>
      </c>
      <c r="C138" s="8" t="s">
        <v>5</v>
      </c>
    </row>
    <row r="139" spans="1:3" x14ac:dyDescent="0.25">
      <c r="A139" s="8" t="s">
        <v>243</v>
      </c>
      <c r="B139" s="8" t="s">
        <v>244</v>
      </c>
      <c r="C139" s="8" t="s">
        <v>5</v>
      </c>
    </row>
    <row r="140" spans="1:3" x14ac:dyDescent="0.25">
      <c r="A140" s="8" t="s">
        <v>245</v>
      </c>
      <c r="B140" s="8" t="s">
        <v>17</v>
      </c>
      <c r="C140" s="8" t="s">
        <v>5</v>
      </c>
    </row>
    <row r="141" spans="1:3" x14ac:dyDescent="0.25">
      <c r="A141" s="8" t="s">
        <v>246</v>
      </c>
      <c r="B141" s="8" t="s">
        <v>247</v>
      </c>
      <c r="C141" s="8" t="s">
        <v>5</v>
      </c>
    </row>
    <row r="142" spans="1:3" x14ac:dyDescent="0.25">
      <c r="A142" s="8" t="s">
        <v>248</v>
      </c>
      <c r="B142" s="8" t="s">
        <v>249</v>
      </c>
      <c r="C142" s="8" t="s">
        <v>5</v>
      </c>
    </row>
    <row r="143" spans="1:3" x14ac:dyDescent="0.25">
      <c r="A143" s="8" t="s">
        <v>250</v>
      </c>
      <c r="B143" s="8" t="s">
        <v>251</v>
      </c>
      <c r="C143" s="8" t="s">
        <v>5</v>
      </c>
    </row>
    <row r="144" spans="1:3" x14ac:dyDescent="0.25">
      <c r="A144" s="8" t="s">
        <v>252</v>
      </c>
      <c r="B144" s="8" t="s">
        <v>17</v>
      </c>
      <c r="C144" s="8" t="s">
        <v>5</v>
      </c>
    </row>
    <row r="145" spans="1:3" x14ac:dyDescent="0.25">
      <c r="A145" s="8" t="s">
        <v>253</v>
      </c>
      <c r="B145" s="8" t="s">
        <v>254</v>
      </c>
      <c r="C145" s="8" t="s">
        <v>5</v>
      </c>
    </row>
    <row r="146" spans="1:3" x14ac:dyDescent="0.25">
      <c r="A146" s="8" t="s">
        <v>255</v>
      </c>
      <c r="B146" s="8" t="s">
        <v>17</v>
      </c>
      <c r="C146" s="8" t="s">
        <v>5</v>
      </c>
    </row>
    <row r="147" spans="1:3" x14ac:dyDescent="0.25">
      <c r="A147" s="8" t="s">
        <v>256</v>
      </c>
      <c r="B147" s="8" t="s">
        <v>257</v>
      </c>
      <c r="C147" s="8" t="s">
        <v>5</v>
      </c>
    </row>
    <row r="148" spans="1:3" x14ac:dyDescent="0.25">
      <c r="A148" s="8" t="s">
        <v>258</v>
      </c>
      <c r="B148" s="8" t="s">
        <v>17</v>
      </c>
      <c r="C148" s="8" t="s">
        <v>5</v>
      </c>
    </row>
    <row r="149" spans="1:3" x14ac:dyDescent="0.25">
      <c r="A149" s="8" t="s">
        <v>259</v>
      </c>
      <c r="B149" s="8" t="s">
        <v>17</v>
      </c>
      <c r="C149" s="8" t="s">
        <v>5</v>
      </c>
    </row>
    <row r="150" spans="1:3" x14ac:dyDescent="0.25">
      <c r="A150" s="8" t="s">
        <v>260</v>
      </c>
      <c r="B150" s="8" t="s">
        <v>17</v>
      </c>
      <c r="C150" s="8" t="s">
        <v>5</v>
      </c>
    </row>
    <row r="151" spans="1:3" x14ac:dyDescent="0.25">
      <c r="A151" s="8" t="s">
        <v>261</v>
      </c>
      <c r="B151" s="8" t="s">
        <v>262</v>
      </c>
      <c r="C151" s="8" t="s">
        <v>5</v>
      </c>
    </row>
    <row r="152" spans="1:3" x14ac:dyDescent="0.25">
      <c r="A152" s="10" t="s">
        <v>263</v>
      </c>
      <c r="B152" s="10" t="s">
        <v>264</v>
      </c>
      <c r="C152" s="10" t="s">
        <v>5</v>
      </c>
    </row>
    <row r="153" spans="1:3" x14ac:dyDescent="0.25">
      <c r="A153" s="10" t="s">
        <v>265</v>
      </c>
      <c r="B153" s="10" t="s">
        <v>266</v>
      </c>
      <c r="C153" s="10" t="s">
        <v>5</v>
      </c>
    </row>
    <row r="154" spans="1:3" x14ac:dyDescent="0.25">
      <c r="A154" s="10" t="s">
        <v>267</v>
      </c>
      <c r="B154" s="10" t="s">
        <v>268</v>
      </c>
      <c r="C154" s="10" t="s">
        <v>5</v>
      </c>
    </row>
    <row r="155" spans="1:3" x14ac:dyDescent="0.25">
      <c r="A155" s="10" t="s">
        <v>269</v>
      </c>
      <c r="B155" s="10" t="s">
        <v>270</v>
      </c>
      <c r="C155" s="10" t="s">
        <v>5</v>
      </c>
    </row>
    <row r="156" spans="1:3" x14ac:dyDescent="0.25">
      <c r="A156" s="10" t="s">
        <v>271</v>
      </c>
      <c r="B156" s="10" t="s">
        <v>272</v>
      </c>
      <c r="C156" s="10" t="s">
        <v>5</v>
      </c>
    </row>
    <row r="157" spans="1:3" x14ac:dyDescent="0.25">
      <c r="A157" s="10" t="s">
        <v>273</v>
      </c>
      <c r="B157" s="10" t="s">
        <v>274</v>
      </c>
      <c r="C157" s="10" t="s">
        <v>5</v>
      </c>
    </row>
    <row r="158" spans="1:3" x14ac:dyDescent="0.25">
      <c r="A158" s="10" t="s">
        <v>275</v>
      </c>
      <c r="B158" s="10" t="s">
        <v>276</v>
      </c>
      <c r="C158" s="10" t="s">
        <v>5</v>
      </c>
    </row>
    <row r="159" spans="1:3" x14ac:dyDescent="0.25">
      <c r="A159" s="10" t="s">
        <v>277</v>
      </c>
      <c r="B159" s="10" t="s">
        <v>278</v>
      </c>
      <c r="C159" s="10" t="s">
        <v>5</v>
      </c>
    </row>
    <row r="160" spans="1:3" x14ac:dyDescent="0.25">
      <c r="A160" s="10" t="s">
        <v>279</v>
      </c>
      <c r="B160" s="10" t="s">
        <v>280</v>
      </c>
      <c r="C160" s="10" t="s">
        <v>5</v>
      </c>
    </row>
    <row r="161" spans="1:3" x14ac:dyDescent="0.25">
      <c r="A161" s="10" t="s">
        <v>281</v>
      </c>
      <c r="B161" s="10" t="s">
        <v>282</v>
      </c>
      <c r="C161" s="10" t="s">
        <v>5</v>
      </c>
    </row>
    <row r="162" spans="1:3" x14ac:dyDescent="0.25">
      <c r="A162" s="10" t="s">
        <v>283</v>
      </c>
      <c r="B162" s="10" t="s">
        <v>284</v>
      </c>
      <c r="C162" s="10" t="s">
        <v>5</v>
      </c>
    </row>
    <row r="163" spans="1:3" x14ac:dyDescent="0.25">
      <c r="A163" s="10" t="s">
        <v>285</v>
      </c>
      <c r="B163" s="10" t="s">
        <v>286</v>
      </c>
      <c r="C163" s="10" t="s">
        <v>5</v>
      </c>
    </row>
    <row r="164" spans="1:3" x14ac:dyDescent="0.25">
      <c r="A164" s="10" t="s">
        <v>287</v>
      </c>
      <c r="B164" s="10" t="s">
        <v>288</v>
      </c>
      <c r="C164" s="10" t="s">
        <v>5</v>
      </c>
    </row>
    <row r="165" spans="1:3" x14ac:dyDescent="0.25">
      <c r="A165" s="10" t="s">
        <v>289</v>
      </c>
      <c r="B165" s="10" t="s">
        <v>290</v>
      </c>
      <c r="C165" s="10" t="s">
        <v>5</v>
      </c>
    </row>
    <row r="166" spans="1:3" x14ac:dyDescent="0.25">
      <c r="A166" s="10" t="s">
        <v>291</v>
      </c>
      <c r="B166" s="10" t="s">
        <v>292</v>
      </c>
      <c r="C166" s="10" t="s">
        <v>5</v>
      </c>
    </row>
    <row r="167" spans="1:3" x14ac:dyDescent="0.25">
      <c r="A167" s="10" t="s">
        <v>293</v>
      </c>
      <c r="B167" s="10" t="s">
        <v>294</v>
      </c>
      <c r="C167" s="10" t="s">
        <v>5</v>
      </c>
    </row>
    <row r="168" spans="1:3" x14ac:dyDescent="0.25">
      <c r="A168" s="10" t="s">
        <v>295</v>
      </c>
      <c r="B168" s="10" t="s">
        <v>296</v>
      </c>
      <c r="C168" s="10" t="s">
        <v>5</v>
      </c>
    </row>
    <row r="169" spans="1:3" x14ac:dyDescent="0.25">
      <c r="A169" s="10" t="s">
        <v>297</v>
      </c>
      <c r="B169" s="10" t="s">
        <v>298</v>
      </c>
      <c r="C169" s="10" t="s">
        <v>5</v>
      </c>
    </row>
    <row r="170" spans="1:3" x14ac:dyDescent="0.25">
      <c r="A170" s="10" t="s">
        <v>299</v>
      </c>
      <c r="B170" s="10" t="s">
        <v>300</v>
      </c>
      <c r="C170" s="10" t="s">
        <v>5</v>
      </c>
    </row>
    <row r="171" spans="1:3" x14ac:dyDescent="0.25">
      <c r="A171" s="10" t="s">
        <v>301</v>
      </c>
      <c r="B171" s="10" t="s">
        <v>302</v>
      </c>
      <c r="C171" s="10" t="s">
        <v>5</v>
      </c>
    </row>
    <row r="172" spans="1:3" x14ac:dyDescent="0.25">
      <c r="A172" s="8" t="s">
        <v>303</v>
      </c>
      <c r="B172" s="8" t="s">
        <v>304</v>
      </c>
      <c r="C172" s="8" t="s">
        <v>5</v>
      </c>
    </row>
    <row r="173" spans="1:3" x14ac:dyDescent="0.25">
      <c r="A173" s="11" t="s">
        <v>305</v>
      </c>
      <c r="B173" s="11" t="s">
        <v>306</v>
      </c>
      <c r="C173" s="11" t="s">
        <v>5</v>
      </c>
    </row>
    <row r="174" spans="1:3" x14ac:dyDescent="0.25">
      <c r="A174" s="11" t="s">
        <v>307</v>
      </c>
      <c r="B174" s="11" t="s">
        <v>308</v>
      </c>
      <c r="C174" s="11" t="s">
        <v>5</v>
      </c>
    </row>
    <row r="175" spans="1:3" x14ac:dyDescent="0.25">
      <c r="A175" s="11" t="s">
        <v>309</v>
      </c>
      <c r="B175" s="11" t="s">
        <v>310</v>
      </c>
      <c r="C175" s="11" t="s">
        <v>5</v>
      </c>
    </row>
    <row r="176" spans="1:3" x14ac:dyDescent="0.25">
      <c r="A176" s="11" t="s">
        <v>311</v>
      </c>
      <c r="B176" s="11" t="s">
        <v>312</v>
      </c>
      <c r="C176" s="11" t="s">
        <v>5</v>
      </c>
    </row>
    <row r="177" spans="1:3" x14ac:dyDescent="0.25">
      <c r="A177" s="11" t="s">
        <v>313</v>
      </c>
      <c r="B177" s="11" t="s">
        <v>314</v>
      </c>
      <c r="C177" s="11" t="s">
        <v>5</v>
      </c>
    </row>
    <row r="178" spans="1:3" x14ac:dyDescent="0.25">
      <c r="A178" s="11" t="s">
        <v>315</v>
      </c>
      <c r="B178" s="11" t="s">
        <v>316</v>
      </c>
      <c r="C178" s="11" t="s">
        <v>5</v>
      </c>
    </row>
    <row r="179" spans="1:3" x14ac:dyDescent="0.25">
      <c r="A179" s="11" t="s">
        <v>317</v>
      </c>
      <c r="B179" s="11" t="s">
        <v>318</v>
      </c>
      <c r="C179" s="11" t="s">
        <v>5</v>
      </c>
    </row>
    <row r="180" spans="1:3" x14ac:dyDescent="0.25">
      <c r="A180" s="11" t="s">
        <v>319</v>
      </c>
      <c r="B180" s="11" t="s">
        <v>320</v>
      </c>
      <c r="C180" s="11" t="s">
        <v>5</v>
      </c>
    </row>
    <row r="181" spans="1:3" x14ac:dyDescent="0.25">
      <c r="A181" s="11" t="s">
        <v>321</v>
      </c>
      <c r="B181" s="11" t="s">
        <v>322</v>
      </c>
      <c r="C181" s="11" t="s">
        <v>5</v>
      </c>
    </row>
    <row r="182" spans="1:3" x14ac:dyDescent="0.25">
      <c r="A182" s="11" t="s">
        <v>323</v>
      </c>
      <c r="B182" s="11" t="s">
        <v>324</v>
      </c>
      <c r="C182" s="11" t="s">
        <v>5</v>
      </c>
    </row>
    <row r="183" spans="1:3" x14ac:dyDescent="0.25">
      <c r="A183" s="11" t="s">
        <v>325</v>
      </c>
      <c r="B183" s="11" t="s">
        <v>326</v>
      </c>
      <c r="C183" s="11" t="s">
        <v>5</v>
      </c>
    </row>
    <row r="184" spans="1:3" x14ac:dyDescent="0.25">
      <c r="A184" s="8" t="s">
        <v>327</v>
      </c>
      <c r="B184" s="8" t="s">
        <v>328</v>
      </c>
      <c r="C184" s="8" t="s">
        <v>5</v>
      </c>
    </row>
    <row r="185" spans="1:3" x14ac:dyDescent="0.25">
      <c r="A185" s="11" t="s">
        <v>329</v>
      </c>
      <c r="B185" s="11" t="s">
        <v>330</v>
      </c>
      <c r="C185" s="11" t="s">
        <v>5</v>
      </c>
    </row>
    <row r="186" spans="1:3" x14ac:dyDescent="0.25">
      <c r="A186" s="8" t="s">
        <v>331</v>
      </c>
      <c r="B186" s="8" t="s">
        <v>304</v>
      </c>
      <c r="C186" s="8" t="s">
        <v>5</v>
      </c>
    </row>
    <row r="187" spans="1:3" x14ac:dyDescent="0.25">
      <c r="A187" s="11" t="s">
        <v>332</v>
      </c>
      <c r="B187" s="11" t="s">
        <v>333</v>
      </c>
      <c r="C187" s="11" t="s">
        <v>5</v>
      </c>
    </row>
    <row r="188" spans="1:3" x14ac:dyDescent="0.25">
      <c r="A188" s="11" t="s">
        <v>334</v>
      </c>
      <c r="B188" s="11" t="s">
        <v>335</v>
      </c>
      <c r="C188" s="11" t="s">
        <v>5</v>
      </c>
    </row>
    <row r="189" spans="1:3" x14ac:dyDescent="0.25">
      <c r="A189" s="11" t="s">
        <v>336</v>
      </c>
      <c r="B189" s="11" t="s">
        <v>337</v>
      </c>
      <c r="C189" s="11" t="s">
        <v>5</v>
      </c>
    </row>
    <row r="190" spans="1:3" x14ac:dyDescent="0.25">
      <c r="A190" s="11" t="s">
        <v>338</v>
      </c>
      <c r="B190" s="11" t="s">
        <v>339</v>
      </c>
      <c r="C190" s="11" t="s">
        <v>5</v>
      </c>
    </row>
    <row r="191" spans="1:3" x14ac:dyDescent="0.25">
      <c r="A191" s="8" t="s">
        <v>340</v>
      </c>
      <c r="B191" s="8" t="s">
        <v>341</v>
      </c>
      <c r="C191" s="8" t="s">
        <v>5</v>
      </c>
    </row>
    <row r="192" spans="1:3" x14ac:dyDescent="0.25">
      <c r="A192" s="11" t="s">
        <v>342</v>
      </c>
      <c r="B192" s="11" t="s">
        <v>343</v>
      </c>
      <c r="C192" s="11" t="s">
        <v>5</v>
      </c>
    </row>
    <row r="193" spans="1:3" x14ac:dyDescent="0.25">
      <c r="A193" s="11" t="s">
        <v>344</v>
      </c>
      <c r="B193" s="11" t="s">
        <v>345</v>
      </c>
      <c r="C193" s="11" t="s">
        <v>5</v>
      </c>
    </row>
    <row r="194" spans="1:3" x14ac:dyDescent="0.25">
      <c r="A194" s="8" t="s">
        <v>346</v>
      </c>
      <c r="B194" s="8" t="s">
        <v>347</v>
      </c>
      <c r="C194" s="8" t="s">
        <v>5</v>
      </c>
    </row>
    <row r="195" spans="1:3" x14ac:dyDescent="0.25">
      <c r="A195" s="11" t="s">
        <v>348</v>
      </c>
      <c r="B195" s="11" t="s">
        <v>349</v>
      </c>
      <c r="C195" s="11" t="s">
        <v>5</v>
      </c>
    </row>
    <row r="196" spans="1:3" x14ac:dyDescent="0.25">
      <c r="A196" s="8" t="s">
        <v>350</v>
      </c>
      <c r="B196" s="8" t="s">
        <v>347</v>
      </c>
      <c r="C196" s="8" t="s">
        <v>5</v>
      </c>
    </row>
    <row r="197" spans="1:3" x14ac:dyDescent="0.25">
      <c r="A197" s="11" t="s">
        <v>351</v>
      </c>
      <c r="B197" s="11" t="s">
        <v>352</v>
      </c>
      <c r="C197" s="11" t="s">
        <v>5</v>
      </c>
    </row>
    <row r="198" spans="1:3" x14ac:dyDescent="0.25">
      <c r="A198" s="11" t="s">
        <v>353</v>
      </c>
      <c r="B198" s="11" t="s">
        <v>354</v>
      </c>
      <c r="C198" s="11" t="s">
        <v>5</v>
      </c>
    </row>
    <row r="199" spans="1:3" x14ac:dyDescent="0.25">
      <c r="A199" s="11" t="s">
        <v>355</v>
      </c>
      <c r="B199" s="11" t="s">
        <v>356</v>
      </c>
      <c r="C199" s="11" t="s">
        <v>5</v>
      </c>
    </row>
    <row r="200" spans="1:3" x14ac:dyDescent="0.25">
      <c r="A200" s="8" t="s">
        <v>357</v>
      </c>
      <c r="B200" s="8" t="s">
        <v>358</v>
      </c>
      <c r="C200" s="8" t="s">
        <v>5</v>
      </c>
    </row>
    <row r="201" spans="1:3" x14ac:dyDescent="0.25">
      <c r="A201" s="11" t="s">
        <v>359</v>
      </c>
      <c r="B201" s="11" t="s">
        <v>360</v>
      </c>
      <c r="C201" s="11" t="s">
        <v>5</v>
      </c>
    </row>
    <row r="202" spans="1:3" x14ac:dyDescent="0.25">
      <c r="A202" s="11" t="s">
        <v>361</v>
      </c>
      <c r="B202" s="11" t="s">
        <v>362</v>
      </c>
      <c r="C202" s="11" t="s">
        <v>5</v>
      </c>
    </row>
    <row r="203" spans="1:3" x14ac:dyDescent="0.25">
      <c r="A203" s="11" t="s">
        <v>363</v>
      </c>
      <c r="B203" s="11" t="s">
        <v>364</v>
      </c>
      <c r="C203" s="11" t="s">
        <v>5</v>
      </c>
    </row>
    <row r="204" spans="1:3" x14ac:dyDescent="0.25">
      <c r="A204" s="11" t="s">
        <v>365</v>
      </c>
      <c r="B204" s="11" t="s">
        <v>366</v>
      </c>
      <c r="C204" s="11" t="s">
        <v>5</v>
      </c>
    </row>
    <row r="205" spans="1:3" x14ac:dyDescent="0.25">
      <c r="A205" s="11" t="s">
        <v>367</v>
      </c>
      <c r="B205" s="11" t="s">
        <v>368</v>
      </c>
      <c r="C205" s="11" t="s">
        <v>5</v>
      </c>
    </row>
    <row r="206" spans="1:3" x14ac:dyDescent="0.25">
      <c r="A206" s="11" t="s">
        <v>369</v>
      </c>
      <c r="B206" s="11" t="s">
        <v>370</v>
      </c>
      <c r="C206" s="11" t="s">
        <v>5</v>
      </c>
    </row>
    <row r="207" spans="1:3" x14ac:dyDescent="0.25">
      <c r="A207" s="8" t="s">
        <v>371</v>
      </c>
      <c r="B207" s="8" t="s">
        <v>341</v>
      </c>
      <c r="C207" s="8" t="s">
        <v>5</v>
      </c>
    </row>
    <row r="208" spans="1:3" x14ac:dyDescent="0.25">
      <c r="A208" s="11" t="s">
        <v>372</v>
      </c>
      <c r="B208" s="11" t="s">
        <v>373</v>
      </c>
      <c r="C208" s="11" t="s">
        <v>5</v>
      </c>
    </row>
    <row r="209" spans="1:3" x14ac:dyDescent="0.25">
      <c r="A209" s="11" t="s">
        <v>374</v>
      </c>
      <c r="B209" s="11" t="s">
        <v>375</v>
      </c>
      <c r="C209" s="11" t="s">
        <v>5</v>
      </c>
    </row>
    <row r="210" spans="1:3" x14ac:dyDescent="0.25">
      <c r="A210" s="11" t="s">
        <v>376</v>
      </c>
      <c r="B210" s="11" t="s">
        <v>377</v>
      </c>
      <c r="C210" s="11" t="s">
        <v>5</v>
      </c>
    </row>
    <row r="211" spans="1:3" x14ac:dyDescent="0.25">
      <c r="A211" s="11" t="s">
        <v>378</v>
      </c>
      <c r="B211" s="11" t="s">
        <v>379</v>
      </c>
      <c r="C211" s="11" t="s">
        <v>5</v>
      </c>
    </row>
    <row r="212" spans="1:3" x14ac:dyDescent="0.25">
      <c r="A212" s="8" t="s">
        <v>380</v>
      </c>
      <c r="B212" s="8" t="s">
        <v>341</v>
      </c>
      <c r="C212" s="8" t="s">
        <v>5</v>
      </c>
    </row>
    <row r="213" spans="1:3" x14ac:dyDescent="0.25">
      <c r="A213" s="11" t="s">
        <v>381</v>
      </c>
      <c r="B213" s="11" t="s">
        <v>382</v>
      </c>
      <c r="C213" s="11" t="s">
        <v>5</v>
      </c>
    </row>
    <row r="214" spans="1:3" x14ac:dyDescent="0.25">
      <c r="A214" s="11" t="s">
        <v>383</v>
      </c>
      <c r="B214" s="11" t="s">
        <v>384</v>
      </c>
      <c r="C214" s="11" t="s">
        <v>5</v>
      </c>
    </row>
    <row r="215" spans="1:3" x14ac:dyDescent="0.25">
      <c r="A215" s="11" t="s">
        <v>385</v>
      </c>
      <c r="B215" s="11" t="s">
        <v>386</v>
      </c>
      <c r="C215" s="11" t="s">
        <v>5</v>
      </c>
    </row>
    <row r="216" spans="1:3" x14ac:dyDescent="0.25">
      <c r="A216" s="11" t="s">
        <v>387</v>
      </c>
      <c r="B216" s="11" t="s">
        <v>388</v>
      </c>
      <c r="C216" s="11" t="s">
        <v>5</v>
      </c>
    </row>
    <row r="217" spans="1:3" x14ac:dyDescent="0.25">
      <c r="A217" s="11" t="s">
        <v>389</v>
      </c>
      <c r="B217" s="11" t="s">
        <v>390</v>
      </c>
      <c r="C217" s="11" t="s">
        <v>5</v>
      </c>
    </row>
    <row r="218" spans="1:3" x14ac:dyDescent="0.25">
      <c r="A218" s="11" t="s">
        <v>391</v>
      </c>
      <c r="B218" s="11" t="s">
        <v>392</v>
      </c>
      <c r="C218" s="11" t="s">
        <v>5</v>
      </c>
    </row>
    <row r="219" spans="1:3" x14ac:dyDescent="0.25">
      <c r="A219" s="11" t="s">
        <v>393</v>
      </c>
      <c r="B219" s="11" t="s">
        <v>394</v>
      </c>
      <c r="C219" s="11" t="s">
        <v>5</v>
      </c>
    </row>
    <row r="220" spans="1:3" x14ac:dyDescent="0.25">
      <c r="A220" s="11" t="s">
        <v>395</v>
      </c>
      <c r="B220" s="11" t="s">
        <v>396</v>
      </c>
      <c r="C220" s="11" t="s">
        <v>5</v>
      </c>
    </row>
    <row r="221" spans="1:3" x14ac:dyDescent="0.25">
      <c r="A221" s="11" t="s">
        <v>397</v>
      </c>
      <c r="B221" s="11" t="s">
        <v>398</v>
      </c>
      <c r="C221" s="11" t="s">
        <v>5</v>
      </c>
    </row>
    <row r="222" spans="1:3" x14ac:dyDescent="0.25">
      <c r="A222" s="11" t="s">
        <v>399</v>
      </c>
      <c r="B222" s="11" t="s">
        <v>400</v>
      </c>
      <c r="C222" s="11" t="s">
        <v>5</v>
      </c>
    </row>
    <row r="223" spans="1:3" x14ac:dyDescent="0.25">
      <c r="A223" s="11" t="s">
        <v>401</v>
      </c>
      <c r="B223" s="11" t="s">
        <v>402</v>
      </c>
      <c r="C223" s="11" t="s">
        <v>5</v>
      </c>
    </row>
    <row r="224" spans="1:3" x14ac:dyDescent="0.25">
      <c r="A224" s="11" t="s">
        <v>403</v>
      </c>
      <c r="B224" s="11" t="s">
        <v>404</v>
      </c>
      <c r="C224" s="11" t="s">
        <v>5</v>
      </c>
    </row>
    <row r="225" spans="1:3" x14ac:dyDescent="0.25">
      <c r="A225" s="11" t="s">
        <v>405</v>
      </c>
      <c r="B225" s="11" t="s">
        <v>406</v>
      </c>
      <c r="C225" s="11" t="s">
        <v>5</v>
      </c>
    </row>
    <row r="226" spans="1:3" x14ac:dyDescent="0.25">
      <c r="A226" s="11" t="s">
        <v>407</v>
      </c>
      <c r="B226" s="11" t="s">
        <v>408</v>
      </c>
      <c r="C226" s="11" t="s">
        <v>5</v>
      </c>
    </row>
    <row r="227" spans="1:3" x14ac:dyDescent="0.25">
      <c r="A227" s="11" t="s">
        <v>409</v>
      </c>
      <c r="B227" s="11" t="s">
        <v>410</v>
      </c>
      <c r="C227" s="11" t="s">
        <v>5</v>
      </c>
    </row>
    <row r="228" spans="1:3" x14ac:dyDescent="0.25">
      <c r="A228" s="11" t="s">
        <v>411</v>
      </c>
      <c r="B228" s="11" t="s">
        <v>408</v>
      </c>
      <c r="C228" s="11" t="s">
        <v>5</v>
      </c>
    </row>
    <row r="229" spans="1:3" x14ac:dyDescent="0.25">
      <c r="A229" s="11" t="s">
        <v>412</v>
      </c>
      <c r="B229" s="11" t="s">
        <v>413</v>
      </c>
      <c r="C229" s="11" t="s">
        <v>5</v>
      </c>
    </row>
    <row r="230" spans="1:3" x14ac:dyDescent="0.25">
      <c r="A230" s="11" t="s">
        <v>414</v>
      </c>
      <c r="B230" s="11" t="s">
        <v>415</v>
      </c>
      <c r="C230" s="11" t="s">
        <v>5</v>
      </c>
    </row>
    <row r="231" spans="1:3" x14ac:dyDescent="0.25">
      <c r="A231" s="11" t="s">
        <v>416</v>
      </c>
      <c r="B231" s="11" t="s">
        <v>408</v>
      </c>
      <c r="C231" s="11" t="s">
        <v>5</v>
      </c>
    </row>
    <row r="232" spans="1:3" x14ac:dyDescent="0.25">
      <c r="A232" s="11" t="s">
        <v>417</v>
      </c>
      <c r="B232" s="11" t="s">
        <v>418</v>
      </c>
      <c r="C232" s="11" t="s">
        <v>5</v>
      </c>
    </row>
    <row r="233" spans="1:3" x14ac:dyDescent="0.25">
      <c r="A233" s="11" t="s">
        <v>419</v>
      </c>
      <c r="B233" s="11" t="s">
        <v>420</v>
      </c>
      <c r="C233" s="11" t="s">
        <v>5</v>
      </c>
    </row>
    <row r="234" spans="1:3" x14ac:dyDescent="0.25">
      <c r="A234" s="8" t="s">
        <v>421</v>
      </c>
      <c r="B234" s="8" t="s">
        <v>422</v>
      </c>
      <c r="C234" s="8" t="s">
        <v>5</v>
      </c>
    </row>
    <row r="235" spans="1:3" x14ac:dyDescent="0.25">
      <c r="A235" s="8" t="s">
        <v>423</v>
      </c>
      <c r="B235" s="8" t="s">
        <v>424</v>
      </c>
      <c r="C235" s="8" t="s">
        <v>5</v>
      </c>
    </row>
    <row r="236" spans="1:3" x14ac:dyDescent="0.25">
      <c r="A236" s="8" t="s">
        <v>425</v>
      </c>
      <c r="B236" s="8" t="s">
        <v>422</v>
      </c>
      <c r="C236" s="8" t="s">
        <v>5</v>
      </c>
    </row>
    <row r="237" spans="1:3" x14ac:dyDescent="0.25">
      <c r="A237" s="11" t="s">
        <v>426</v>
      </c>
      <c r="B237" s="11" t="s">
        <v>427</v>
      </c>
      <c r="C237" s="11" t="s">
        <v>5</v>
      </c>
    </row>
    <row r="238" spans="1:3" x14ac:dyDescent="0.25">
      <c r="A238" s="10" t="s">
        <v>428</v>
      </c>
      <c r="B238" s="10" t="s">
        <v>429</v>
      </c>
      <c r="C238" s="10" t="s">
        <v>5</v>
      </c>
    </row>
    <row r="239" spans="1:3" x14ac:dyDescent="0.25">
      <c r="A239" s="11" t="s">
        <v>430</v>
      </c>
      <c r="B239" s="11" t="s">
        <v>431</v>
      </c>
      <c r="C239" s="11" t="s">
        <v>5</v>
      </c>
    </row>
    <row r="240" spans="1:3" x14ac:dyDescent="0.25">
      <c r="A240" s="12" t="s">
        <v>432</v>
      </c>
      <c r="B240" s="12" t="s">
        <v>433</v>
      </c>
      <c r="C240" s="12" t="s">
        <v>5</v>
      </c>
    </row>
    <row r="241" spans="1:3" x14ac:dyDescent="0.25">
      <c r="A241" s="8" t="s">
        <v>434</v>
      </c>
      <c r="B241" s="8" t="s">
        <v>435</v>
      </c>
      <c r="C241" s="8" t="s">
        <v>5</v>
      </c>
    </row>
    <row r="242" spans="1:3" x14ac:dyDescent="0.25">
      <c r="A242" s="13" t="s">
        <v>436</v>
      </c>
      <c r="B242" s="13" t="s">
        <v>437</v>
      </c>
      <c r="C242" s="13" t="s">
        <v>5</v>
      </c>
    </row>
    <row r="243" spans="1:3" x14ac:dyDescent="0.25">
      <c r="A243" s="11" t="s">
        <v>438</v>
      </c>
      <c r="B243" s="11" t="s">
        <v>439</v>
      </c>
      <c r="C243" s="11" t="s">
        <v>5</v>
      </c>
    </row>
    <row r="244" spans="1:3" x14ac:dyDescent="0.25">
      <c r="A244" s="10" t="s">
        <v>440</v>
      </c>
      <c r="B244" s="10" t="s">
        <v>441</v>
      </c>
      <c r="C244" s="10" t="s">
        <v>5</v>
      </c>
    </row>
    <row r="245" spans="1:3" x14ac:dyDescent="0.25">
      <c r="A245" s="13" t="s">
        <v>442</v>
      </c>
      <c r="B245" s="13" t="s">
        <v>443</v>
      </c>
      <c r="C245" s="13" t="s">
        <v>5</v>
      </c>
    </row>
    <row r="246" spans="1:3" x14ac:dyDescent="0.25">
      <c r="A246" s="8" t="s">
        <v>444</v>
      </c>
      <c r="B246" s="8" t="s">
        <v>445</v>
      </c>
      <c r="C246" s="8" t="s">
        <v>5</v>
      </c>
    </row>
    <row r="247" spans="1:3" x14ac:dyDescent="0.25">
      <c r="A247" s="12" t="s">
        <v>446</v>
      </c>
      <c r="B247" s="12" t="s">
        <v>447</v>
      </c>
      <c r="C247" s="12" t="s">
        <v>5</v>
      </c>
    </row>
    <row r="248" spans="1:3" x14ac:dyDescent="0.25">
      <c r="A248" s="13" t="s">
        <v>448</v>
      </c>
      <c r="B248" s="13" t="s">
        <v>449</v>
      </c>
      <c r="C248" s="13" t="s">
        <v>5</v>
      </c>
    </row>
    <row r="249" spans="1:3" x14ac:dyDescent="0.25">
      <c r="A249" s="13" t="s">
        <v>450</v>
      </c>
      <c r="B249" s="13" t="s">
        <v>451</v>
      </c>
      <c r="C249" s="13" t="s">
        <v>5</v>
      </c>
    </row>
    <row r="250" spans="1:3" x14ac:dyDescent="0.25">
      <c r="A250" s="13" t="s">
        <v>452</v>
      </c>
      <c r="B250" s="13" t="s">
        <v>453</v>
      </c>
      <c r="C250" s="13" t="s">
        <v>5</v>
      </c>
    </row>
    <row r="251" spans="1:3" x14ac:dyDescent="0.25">
      <c r="A251" s="11" t="s">
        <v>454</v>
      </c>
      <c r="B251" s="11" t="s">
        <v>455</v>
      </c>
      <c r="C251" s="11" t="s">
        <v>5</v>
      </c>
    </row>
    <row r="252" spans="1:3" x14ac:dyDescent="0.25">
      <c r="A252" s="12" t="s">
        <v>456</v>
      </c>
      <c r="B252" s="12" t="s">
        <v>457</v>
      </c>
      <c r="C252" s="12" t="s">
        <v>5</v>
      </c>
    </row>
    <row r="253" spans="1:3" x14ac:dyDescent="0.25">
      <c r="A253" s="13" t="s">
        <v>458</v>
      </c>
      <c r="B253" s="13" t="s">
        <v>459</v>
      </c>
      <c r="C253" s="13" t="s">
        <v>5</v>
      </c>
    </row>
    <row r="254" spans="1:3" x14ac:dyDescent="0.25">
      <c r="A254" s="13" t="s">
        <v>460</v>
      </c>
      <c r="B254" s="13" t="s">
        <v>461</v>
      </c>
      <c r="C254" s="13" t="s">
        <v>5</v>
      </c>
    </row>
    <row r="255" spans="1:3" x14ac:dyDescent="0.25">
      <c r="A255" s="12" t="s">
        <v>462</v>
      </c>
      <c r="B255" s="12" t="s">
        <v>463</v>
      </c>
      <c r="C255" s="12" t="s">
        <v>5</v>
      </c>
    </row>
    <row r="256" spans="1:3" x14ac:dyDescent="0.25">
      <c r="A256" s="13" t="s">
        <v>464</v>
      </c>
      <c r="B256" s="13" t="s">
        <v>465</v>
      </c>
      <c r="C256" s="13" t="s">
        <v>5</v>
      </c>
    </row>
    <row r="257" spans="1:3" x14ac:dyDescent="0.25">
      <c r="A257" s="12" t="s">
        <v>466</v>
      </c>
      <c r="B257" s="12" t="s">
        <v>467</v>
      </c>
      <c r="C257" s="12" t="s">
        <v>5</v>
      </c>
    </row>
    <row r="258" spans="1:3" x14ac:dyDescent="0.25">
      <c r="A258" s="13" t="s">
        <v>468</v>
      </c>
      <c r="B258" s="13" t="s">
        <v>469</v>
      </c>
      <c r="C258" s="13" t="s">
        <v>5</v>
      </c>
    </row>
    <row r="259" spans="1:3" x14ac:dyDescent="0.25">
      <c r="A259" s="11" t="s">
        <v>470</v>
      </c>
      <c r="B259" s="11" t="s">
        <v>455</v>
      </c>
      <c r="C259" s="11" t="s">
        <v>5</v>
      </c>
    </row>
    <row r="260" spans="1:3" x14ac:dyDescent="0.25">
      <c r="A260" s="13" t="s">
        <v>471</v>
      </c>
      <c r="B260" s="13" t="s">
        <v>472</v>
      </c>
      <c r="C260" s="13" t="s">
        <v>5</v>
      </c>
    </row>
    <row r="261" spans="1:3" x14ac:dyDescent="0.25">
      <c r="A261" s="11" t="s">
        <v>473</v>
      </c>
      <c r="B261" s="11" t="s">
        <v>439</v>
      </c>
      <c r="C261" s="11" t="s">
        <v>5</v>
      </c>
    </row>
    <row r="262" spans="1:3" x14ac:dyDescent="0.25">
      <c r="A262" s="10" t="s">
        <v>474</v>
      </c>
      <c r="B262" s="10" t="s">
        <v>441</v>
      </c>
      <c r="C262" s="10" t="s">
        <v>5</v>
      </c>
    </row>
    <row r="263" spans="1:3" x14ac:dyDescent="0.25">
      <c r="A263" s="13" t="s">
        <v>475</v>
      </c>
      <c r="B263" s="13" t="s">
        <v>476</v>
      </c>
      <c r="C263" s="13" t="s">
        <v>5</v>
      </c>
    </row>
    <row r="264" spans="1:3" x14ac:dyDescent="0.25">
      <c r="A264" s="13" t="s">
        <v>477</v>
      </c>
      <c r="B264" s="13" t="s">
        <v>472</v>
      </c>
      <c r="C264" s="13" t="s">
        <v>5</v>
      </c>
    </row>
    <row r="265" spans="1:3" x14ac:dyDescent="0.25">
      <c r="A265" s="8" t="s">
        <v>478</v>
      </c>
      <c r="B265" s="8" t="s">
        <v>479</v>
      </c>
      <c r="C265" s="8" t="s">
        <v>5</v>
      </c>
    </row>
    <row r="266" spans="1:3" x14ac:dyDescent="0.25">
      <c r="A266" s="12" t="s">
        <v>480</v>
      </c>
      <c r="B266" s="12" t="s">
        <v>481</v>
      </c>
      <c r="C266" s="12" t="s">
        <v>5</v>
      </c>
    </row>
    <row r="267" spans="1:3" x14ac:dyDescent="0.25">
      <c r="A267" s="8" t="s">
        <v>482</v>
      </c>
      <c r="B267" s="8" t="s">
        <v>424</v>
      </c>
      <c r="C267" s="8" t="s">
        <v>5</v>
      </c>
    </row>
    <row r="268" spans="1:3" x14ac:dyDescent="0.25">
      <c r="A268" s="11" t="s">
        <v>483</v>
      </c>
      <c r="B268" s="11" t="s">
        <v>484</v>
      </c>
      <c r="C268" s="11" t="s">
        <v>5</v>
      </c>
    </row>
    <row r="269" spans="1:3" x14ac:dyDescent="0.25">
      <c r="A269" s="12" t="s">
        <v>485</v>
      </c>
      <c r="B269" s="12" t="s">
        <v>486</v>
      </c>
      <c r="C269" s="12" t="s">
        <v>5</v>
      </c>
    </row>
    <row r="270" spans="1:3" x14ac:dyDescent="0.25">
      <c r="A270" s="8" t="s">
        <v>487</v>
      </c>
      <c r="B270" s="8" t="s">
        <v>488</v>
      </c>
      <c r="C270" s="8" t="s">
        <v>5</v>
      </c>
    </row>
    <row r="271" spans="1:3" x14ac:dyDescent="0.25">
      <c r="A271" s="8" t="s">
        <v>489</v>
      </c>
      <c r="B271" s="8" t="s">
        <v>490</v>
      </c>
      <c r="C271" s="8" t="s">
        <v>5</v>
      </c>
    </row>
    <row r="272" spans="1:3" x14ac:dyDescent="0.25">
      <c r="A272" s="8" t="s">
        <v>491</v>
      </c>
      <c r="B272" s="8" t="s">
        <v>488</v>
      </c>
      <c r="C272" s="8" t="s">
        <v>5</v>
      </c>
    </row>
    <row r="273" spans="1:3" x14ac:dyDescent="0.25">
      <c r="A273" s="12" t="s">
        <v>492</v>
      </c>
      <c r="B273" s="12" t="s">
        <v>493</v>
      </c>
      <c r="C273" s="12" t="s">
        <v>5</v>
      </c>
    </row>
    <row r="274" spans="1:3" x14ac:dyDescent="0.25">
      <c r="A274" s="11" t="s">
        <v>494</v>
      </c>
      <c r="B274" s="11" t="s">
        <v>495</v>
      </c>
      <c r="C274" s="11" t="s">
        <v>5</v>
      </c>
    </row>
    <row r="275" spans="1:3" x14ac:dyDescent="0.25">
      <c r="A275" s="11" t="s">
        <v>496</v>
      </c>
      <c r="B275" s="11" t="s">
        <v>497</v>
      </c>
      <c r="C275" s="11" t="s">
        <v>5</v>
      </c>
    </row>
    <row r="276" spans="1:3" x14ac:dyDescent="0.25">
      <c r="A276" s="10" t="s">
        <v>498</v>
      </c>
      <c r="B276" s="10" t="s">
        <v>499</v>
      </c>
      <c r="C276" s="10" t="s">
        <v>5</v>
      </c>
    </row>
    <row r="277" spans="1:3" x14ac:dyDescent="0.25">
      <c r="A277" s="10" t="s">
        <v>500</v>
      </c>
      <c r="B277" s="10" t="s">
        <v>501</v>
      </c>
      <c r="C277" s="10" t="s">
        <v>5</v>
      </c>
    </row>
    <row r="278" spans="1:3" x14ac:dyDescent="0.25">
      <c r="A278" s="13" t="s">
        <v>502</v>
      </c>
      <c r="B278" s="13" t="s">
        <v>503</v>
      </c>
      <c r="C278" s="13" t="s">
        <v>5</v>
      </c>
    </row>
    <row r="279" spans="1:3" x14ac:dyDescent="0.25">
      <c r="A279" s="13" t="s">
        <v>504</v>
      </c>
      <c r="B279" s="13" t="s">
        <v>505</v>
      </c>
      <c r="C279" s="13" t="s">
        <v>5</v>
      </c>
    </row>
    <row r="280" spans="1:3" x14ac:dyDescent="0.25">
      <c r="A280" s="11" t="s">
        <v>506</v>
      </c>
      <c r="B280" s="11" t="s">
        <v>507</v>
      </c>
      <c r="C280" s="11" t="s">
        <v>5</v>
      </c>
    </row>
    <row r="281" spans="1:3" x14ac:dyDescent="0.25">
      <c r="A281" s="11" t="s">
        <v>508</v>
      </c>
      <c r="B281" s="11" t="s">
        <v>509</v>
      </c>
      <c r="C281" s="11" t="s">
        <v>5</v>
      </c>
    </row>
    <row r="282" spans="1:3" x14ac:dyDescent="0.25">
      <c r="A282" s="13" t="s">
        <v>510</v>
      </c>
      <c r="B282" s="13" t="s">
        <v>511</v>
      </c>
      <c r="C282" s="13" t="s">
        <v>5</v>
      </c>
    </row>
    <row r="283" spans="1:3" x14ac:dyDescent="0.25">
      <c r="A283" s="10" t="s">
        <v>512</v>
      </c>
      <c r="B283" s="10" t="s">
        <v>501</v>
      </c>
      <c r="C283" s="10" t="s">
        <v>5</v>
      </c>
    </row>
    <row r="284" spans="1:3" x14ac:dyDescent="0.25">
      <c r="A284" s="13" t="s">
        <v>513</v>
      </c>
      <c r="B284" s="13" t="s">
        <v>514</v>
      </c>
      <c r="C284" s="13" t="s">
        <v>5</v>
      </c>
    </row>
    <row r="285" spans="1:3" x14ac:dyDescent="0.25">
      <c r="A285" s="12" t="s">
        <v>515</v>
      </c>
      <c r="B285" s="12" t="s">
        <v>516</v>
      </c>
      <c r="C285" s="12" t="s">
        <v>5</v>
      </c>
    </row>
    <row r="286" spans="1:3" x14ac:dyDescent="0.25">
      <c r="A286" s="8" t="s">
        <v>517</v>
      </c>
      <c r="B286" s="8" t="s">
        <v>488</v>
      </c>
      <c r="C286" s="8" t="s">
        <v>5</v>
      </c>
    </row>
    <row r="287" spans="1:3" x14ac:dyDescent="0.25">
      <c r="A287" s="8" t="s">
        <v>518</v>
      </c>
      <c r="B287" s="8" t="s">
        <v>519</v>
      </c>
      <c r="C287" s="8" t="s">
        <v>5</v>
      </c>
    </row>
    <row r="288" spans="1:3" x14ac:dyDescent="0.25">
      <c r="A288" s="8" t="s">
        <v>520</v>
      </c>
      <c r="B288" s="8" t="s">
        <v>488</v>
      </c>
      <c r="C288" s="8" t="s">
        <v>5</v>
      </c>
    </row>
    <row r="289" spans="1:3" x14ac:dyDescent="0.25">
      <c r="A289" s="12" t="s">
        <v>521</v>
      </c>
      <c r="B289" s="12" t="s">
        <v>522</v>
      </c>
      <c r="C289" s="12" t="s">
        <v>5</v>
      </c>
    </row>
    <row r="290" spans="1:3" x14ac:dyDescent="0.25">
      <c r="A290" s="11" t="s">
        <v>523</v>
      </c>
      <c r="B290" s="11" t="s">
        <v>455</v>
      </c>
      <c r="C290" s="11" t="s">
        <v>5</v>
      </c>
    </row>
    <row r="291" spans="1:3" x14ac:dyDescent="0.25">
      <c r="A291" s="11" t="s">
        <v>524</v>
      </c>
      <c r="B291" s="11" t="s">
        <v>525</v>
      </c>
      <c r="C291" s="11" t="s">
        <v>5</v>
      </c>
    </row>
    <row r="292" spans="1:3" x14ac:dyDescent="0.25">
      <c r="A292" s="11" t="s">
        <v>526</v>
      </c>
      <c r="B292" s="11" t="s">
        <v>455</v>
      </c>
      <c r="C292" s="11" t="s">
        <v>5</v>
      </c>
    </row>
    <row r="293" spans="1:3" x14ac:dyDescent="0.25">
      <c r="A293" s="13" t="s">
        <v>527</v>
      </c>
      <c r="B293" s="13" t="s">
        <v>528</v>
      </c>
      <c r="C293" s="13" t="s">
        <v>5</v>
      </c>
    </row>
    <row r="294" spans="1:3" x14ac:dyDescent="0.25">
      <c r="A294" s="13" t="s">
        <v>529</v>
      </c>
      <c r="B294" s="13" t="s">
        <v>530</v>
      </c>
      <c r="C294" s="13" t="s">
        <v>5</v>
      </c>
    </row>
    <row r="295" spans="1:3" x14ac:dyDescent="0.25">
      <c r="A295" s="13" t="s">
        <v>531</v>
      </c>
      <c r="B295" s="13" t="s">
        <v>511</v>
      </c>
      <c r="C295" s="13" t="s">
        <v>5</v>
      </c>
    </row>
    <row r="296" spans="1:3" x14ac:dyDescent="0.25">
      <c r="A296" s="11" t="s">
        <v>532</v>
      </c>
      <c r="B296" s="11" t="s">
        <v>455</v>
      </c>
      <c r="C296" s="11" t="s">
        <v>5</v>
      </c>
    </row>
    <row r="297" spans="1:3" x14ac:dyDescent="0.25">
      <c r="A297" s="10" t="s">
        <v>533</v>
      </c>
      <c r="B297" s="10" t="s">
        <v>534</v>
      </c>
      <c r="C297" s="10" t="s">
        <v>5</v>
      </c>
    </row>
    <row r="298" spans="1:3" x14ac:dyDescent="0.25">
      <c r="A298" s="13" t="s">
        <v>535</v>
      </c>
      <c r="B298" s="13" t="s">
        <v>536</v>
      </c>
      <c r="C298" s="13" t="s">
        <v>5</v>
      </c>
    </row>
    <row r="299" spans="1:3" x14ac:dyDescent="0.25">
      <c r="A299" s="11" t="s">
        <v>537</v>
      </c>
      <c r="B299" s="11" t="s">
        <v>538</v>
      </c>
      <c r="C299" s="11" t="s">
        <v>5</v>
      </c>
    </row>
    <row r="300" spans="1:3" x14ac:dyDescent="0.25">
      <c r="A300" s="13" t="s">
        <v>539</v>
      </c>
      <c r="B300" s="13" t="s">
        <v>530</v>
      </c>
      <c r="C300" s="13" t="s">
        <v>5</v>
      </c>
    </row>
    <row r="301" spans="1:3" x14ac:dyDescent="0.25">
      <c r="A301" s="13" t="s">
        <v>540</v>
      </c>
      <c r="B301" s="13" t="s">
        <v>541</v>
      </c>
      <c r="C301" s="13" t="s">
        <v>5</v>
      </c>
    </row>
    <row r="302" spans="1:3" x14ac:dyDescent="0.25">
      <c r="A302" s="11" t="s">
        <v>542</v>
      </c>
      <c r="B302" s="11" t="s">
        <v>455</v>
      </c>
      <c r="C302" s="11" t="s">
        <v>5</v>
      </c>
    </row>
    <row r="303" spans="1:3" x14ac:dyDescent="0.25">
      <c r="A303" s="10" t="s">
        <v>543</v>
      </c>
      <c r="B303" s="10" t="s">
        <v>544</v>
      </c>
      <c r="C303" s="10" t="s">
        <v>5</v>
      </c>
    </row>
    <row r="304" spans="1:3" x14ac:dyDescent="0.25">
      <c r="A304" s="13" t="s">
        <v>545</v>
      </c>
      <c r="B304" s="13" t="s">
        <v>546</v>
      </c>
      <c r="C304" s="13" t="s">
        <v>5</v>
      </c>
    </row>
    <row r="305" spans="1:3" x14ac:dyDescent="0.25">
      <c r="A305" s="11" t="s">
        <v>547</v>
      </c>
      <c r="B305" s="11" t="s">
        <v>538</v>
      </c>
      <c r="C305" s="11" t="s">
        <v>5</v>
      </c>
    </row>
    <row r="306" spans="1:3" x14ac:dyDescent="0.25">
      <c r="A306" s="13" t="s">
        <v>548</v>
      </c>
      <c r="B306" s="13" t="s">
        <v>530</v>
      </c>
      <c r="C306" s="13" t="s">
        <v>5</v>
      </c>
    </row>
    <row r="307" spans="1:3" x14ac:dyDescent="0.25">
      <c r="A307" s="13" t="s">
        <v>549</v>
      </c>
      <c r="B307" s="13" t="s">
        <v>541</v>
      </c>
      <c r="C307" s="13" t="s">
        <v>5</v>
      </c>
    </row>
    <row r="308" spans="1:3" x14ac:dyDescent="0.25">
      <c r="A308" s="11" t="s">
        <v>550</v>
      </c>
      <c r="B308" s="11" t="s">
        <v>455</v>
      </c>
      <c r="C308" s="11" t="s">
        <v>5</v>
      </c>
    </row>
    <row r="309" spans="1:3" x14ac:dyDescent="0.25">
      <c r="A309" s="12" t="s">
        <v>551</v>
      </c>
      <c r="B309" s="12" t="s">
        <v>516</v>
      </c>
      <c r="C309" s="12" t="s">
        <v>5</v>
      </c>
    </row>
    <row r="310" spans="1:3" x14ac:dyDescent="0.25">
      <c r="A310" s="8" t="s">
        <v>552</v>
      </c>
      <c r="B310" s="8" t="s">
        <v>488</v>
      </c>
      <c r="C310" s="8" t="s">
        <v>5</v>
      </c>
    </row>
    <row r="311" spans="1:3" x14ac:dyDescent="0.25">
      <c r="A311" s="8" t="s">
        <v>553</v>
      </c>
      <c r="B311" s="8" t="s">
        <v>554</v>
      </c>
      <c r="C311" s="8" t="s">
        <v>5</v>
      </c>
    </row>
    <row r="312" spans="1:3" x14ac:dyDescent="0.25">
      <c r="A312" s="8" t="s">
        <v>555</v>
      </c>
      <c r="B312" s="8" t="s">
        <v>488</v>
      </c>
      <c r="C312" s="8" t="s">
        <v>5</v>
      </c>
    </row>
    <row r="313" spans="1:3" x14ac:dyDescent="0.25">
      <c r="A313" s="12" t="s">
        <v>556</v>
      </c>
      <c r="B313" s="12" t="s">
        <v>557</v>
      </c>
      <c r="C313" s="12" t="s">
        <v>5</v>
      </c>
    </row>
    <row r="314" spans="1:3" x14ac:dyDescent="0.25">
      <c r="A314" s="11" t="s">
        <v>558</v>
      </c>
      <c r="B314" s="11" t="s">
        <v>455</v>
      </c>
      <c r="C314" s="11" t="s">
        <v>5</v>
      </c>
    </row>
    <row r="315" spans="1:3" x14ac:dyDescent="0.25">
      <c r="A315" s="10" t="s">
        <v>559</v>
      </c>
      <c r="B315" s="10" t="s">
        <v>560</v>
      </c>
      <c r="C315" s="10" t="s">
        <v>5</v>
      </c>
    </row>
    <row r="316" spans="1:3" x14ac:dyDescent="0.25">
      <c r="A316" s="11" t="s">
        <v>561</v>
      </c>
      <c r="B316" s="11" t="s">
        <v>455</v>
      </c>
      <c r="C316" s="11" t="s">
        <v>5</v>
      </c>
    </row>
    <row r="317" spans="1:3" x14ac:dyDescent="0.25">
      <c r="A317" s="12" t="s">
        <v>562</v>
      </c>
      <c r="B317" s="12" t="s">
        <v>516</v>
      </c>
      <c r="C317" s="12" t="s">
        <v>5</v>
      </c>
    </row>
    <row r="318" spans="1:3" x14ac:dyDescent="0.25">
      <c r="A318" s="8" t="s">
        <v>563</v>
      </c>
      <c r="B318" s="8" t="s">
        <v>488</v>
      </c>
      <c r="C318" s="8" t="s">
        <v>5</v>
      </c>
    </row>
    <row r="319" spans="1:3" x14ac:dyDescent="0.25">
      <c r="A319" s="8" t="s">
        <v>564</v>
      </c>
      <c r="B319" s="8" t="s">
        <v>565</v>
      </c>
      <c r="C319" s="8" t="s">
        <v>5</v>
      </c>
    </row>
    <row r="320" spans="1:3" x14ac:dyDescent="0.25">
      <c r="A320" s="8" t="s">
        <v>566</v>
      </c>
      <c r="B320" s="8" t="s">
        <v>488</v>
      </c>
      <c r="C320" s="8" t="s">
        <v>5</v>
      </c>
    </row>
    <row r="321" spans="1:5" x14ac:dyDescent="0.25">
      <c r="A321" s="12" t="s">
        <v>567</v>
      </c>
      <c r="B321" s="12" t="s">
        <v>568</v>
      </c>
      <c r="C321" s="12" t="s">
        <v>5</v>
      </c>
    </row>
    <row r="322" spans="1:5" x14ac:dyDescent="0.25">
      <c r="A322" s="11" t="s">
        <v>569</v>
      </c>
      <c r="B322" s="11" t="s">
        <v>455</v>
      </c>
      <c r="C322" s="11" t="s">
        <v>5</v>
      </c>
    </row>
    <row r="323" spans="1:5" x14ac:dyDescent="0.25">
      <c r="A323" s="11" t="s">
        <v>570</v>
      </c>
      <c r="B323" s="11" t="s">
        <v>571</v>
      </c>
      <c r="C323" s="11" t="s">
        <v>5</v>
      </c>
    </row>
    <row r="324" spans="1:5" x14ac:dyDescent="0.25">
      <c r="A324" s="13" t="s">
        <v>572</v>
      </c>
      <c r="B324" s="13" t="s">
        <v>573</v>
      </c>
      <c r="C324" s="13" t="s">
        <v>5</v>
      </c>
      <c r="E324" s="13" t="s">
        <v>1800</v>
      </c>
    </row>
    <row r="325" spans="1:5" x14ac:dyDescent="0.25">
      <c r="A325" s="11" t="s">
        <v>574</v>
      </c>
      <c r="B325" s="11" t="s">
        <v>575</v>
      </c>
      <c r="C325" s="11" t="s">
        <v>5</v>
      </c>
    </row>
    <row r="326" spans="1:5" x14ac:dyDescent="0.25">
      <c r="A326" s="13" t="s">
        <v>576</v>
      </c>
      <c r="B326" s="13" t="s">
        <v>472</v>
      </c>
      <c r="C326" s="13" t="s">
        <v>5</v>
      </c>
    </row>
    <row r="327" spans="1:5" x14ac:dyDescent="0.25">
      <c r="A327" s="8" t="s">
        <v>577</v>
      </c>
      <c r="B327" s="8" t="s">
        <v>341</v>
      </c>
      <c r="C327" s="8" t="s">
        <v>5</v>
      </c>
    </row>
    <row r="328" spans="1:5" x14ac:dyDescent="0.25">
      <c r="A328" s="10" t="s">
        <v>578</v>
      </c>
      <c r="B328" s="10" t="s">
        <v>579</v>
      </c>
      <c r="C328" s="10" t="s">
        <v>5</v>
      </c>
    </row>
    <row r="329" spans="1:5" x14ac:dyDescent="0.25">
      <c r="A329" s="13" t="s">
        <v>580</v>
      </c>
      <c r="B329" s="13" t="s">
        <v>581</v>
      </c>
      <c r="C329" s="13" t="s">
        <v>5</v>
      </c>
    </row>
    <row r="330" spans="1:5" x14ac:dyDescent="0.25">
      <c r="A330" s="13" t="s">
        <v>582</v>
      </c>
      <c r="B330" s="13" t="s">
        <v>583</v>
      </c>
      <c r="C330" s="13" t="s">
        <v>5</v>
      </c>
    </row>
    <row r="331" spans="1:5" x14ac:dyDescent="0.25">
      <c r="A331" s="11" t="s">
        <v>584</v>
      </c>
      <c r="B331" s="11" t="s">
        <v>585</v>
      </c>
      <c r="C331" s="11" t="s">
        <v>5</v>
      </c>
    </row>
    <row r="332" spans="1:5" x14ac:dyDescent="0.25">
      <c r="A332" s="11" t="s">
        <v>586</v>
      </c>
      <c r="B332" s="11" t="s">
        <v>587</v>
      </c>
      <c r="C332" s="11" t="s">
        <v>5</v>
      </c>
    </row>
    <row r="333" spans="1:5" x14ac:dyDescent="0.25">
      <c r="A333" s="11" t="s">
        <v>588</v>
      </c>
      <c r="B333" s="11" t="s">
        <v>589</v>
      </c>
      <c r="C333" s="11" t="s">
        <v>5</v>
      </c>
    </row>
    <row r="334" spans="1:5" x14ac:dyDescent="0.25">
      <c r="A334" s="11" t="s">
        <v>590</v>
      </c>
      <c r="B334" s="11" t="s">
        <v>591</v>
      </c>
      <c r="C334" s="11" t="s">
        <v>5</v>
      </c>
    </row>
    <row r="335" spans="1:5" x14ac:dyDescent="0.25">
      <c r="A335" s="11" t="s">
        <v>592</v>
      </c>
      <c r="B335" s="11" t="s">
        <v>593</v>
      </c>
      <c r="C335" s="11" t="s">
        <v>5</v>
      </c>
    </row>
    <row r="336" spans="1:5" x14ac:dyDescent="0.25">
      <c r="A336" s="11" t="s">
        <v>594</v>
      </c>
      <c r="B336" s="11" t="s">
        <v>595</v>
      </c>
      <c r="C336" s="11" t="s">
        <v>5</v>
      </c>
    </row>
    <row r="337" spans="1:3" x14ac:dyDescent="0.25">
      <c r="A337" s="11" t="s">
        <v>596</v>
      </c>
      <c r="B337" s="11" t="s">
        <v>597</v>
      </c>
      <c r="C337" s="11" t="s">
        <v>5</v>
      </c>
    </row>
    <row r="338" spans="1:3" x14ac:dyDescent="0.25">
      <c r="A338" s="13" t="s">
        <v>598</v>
      </c>
      <c r="B338" s="13" t="s">
        <v>472</v>
      </c>
      <c r="C338" s="13" t="s">
        <v>5</v>
      </c>
    </row>
    <row r="339" spans="1:3" x14ac:dyDescent="0.25">
      <c r="A339" s="13" t="s">
        <v>599</v>
      </c>
      <c r="B339" s="13" t="s">
        <v>472</v>
      </c>
      <c r="C339" s="13" t="s">
        <v>5</v>
      </c>
    </row>
    <row r="340" spans="1:3" x14ac:dyDescent="0.25">
      <c r="A340" s="8" t="s">
        <v>600</v>
      </c>
      <c r="B340" s="8" t="s">
        <v>341</v>
      </c>
      <c r="C340" s="8" t="s">
        <v>5</v>
      </c>
    </row>
    <row r="341" spans="1:3" x14ac:dyDescent="0.25">
      <c r="A341" s="13" t="s">
        <v>601</v>
      </c>
      <c r="B341" s="13" t="s">
        <v>602</v>
      </c>
      <c r="C341" s="13" t="s">
        <v>5</v>
      </c>
    </row>
    <row r="342" spans="1:3" x14ac:dyDescent="0.25">
      <c r="A342" s="12" t="s">
        <v>603</v>
      </c>
      <c r="B342" s="12" t="s">
        <v>604</v>
      </c>
      <c r="C342" s="12" t="s">
        <v>5</v>
      </c>
    </row>
    <row r="343" spans="1:3" x14ac:dyDescent="0.25">
      <c r="A343" s="12" t="s">
        <v>605</v>
      </c>
      <c r="B343" s="12" t="s">
        <v>606</v>
      </c>
      <c r="C343" s="12" t="s">
        <v>5</v>
      </c>
    </row>
    <row r="344" spans="1:3" x14ac:dyDescent="0.25">
      <c r="A344" s="13" t="s">
        <v>607</v>
      </c>
      <c r="B344" s="13" t="s">
        <v>472</v>
      </c>
      <c r="C344" s="13" t="s">
        <v>5</v>
      </c>
    </row>
    <row r="345" spans="1:3" x14ac:dyDescent="0.25">
      <c r="A345" s="8" t="s">
        <v>608</v>
      </c>
      <c r="B345" s="8" t="s">
        <v>328</v>
      </c>
      <c r="C345" s="8" t="s">
        <v>5</v>
      </c>
    </row>
    <row r="346" spans="1:3" x14ac:dyDescent="0.25">
      <c r="A346" s="12" t="s">
        <v>609</v>
      </c>
      <c r="B346" s="12" t="s">
        <v>610</v>
      </c>
      <c r="C346" s="12" t="s">
        <v>5</v>
      </c>
    </row>
    <row r="347" spans="1:3" x14ac:dyDescent="0.25">
      <c r="A347" s="10" t="s">
        <v>611</v>
      </c>
      <c r="B347" s="10" t="s">
        <v>612</v>
      </c>
      <c r="C347" s="10" t="s">
        <v>5</v>
      </c>
    </row>
    <row r="348" spans="1:3" x14ac:dyDescent="0.25">
      <c r="A348" s="8" t="s">
        <v>613</v>
      </c>
      <c r="B348" s="8" t="s">
        <v>341</v>
      </c>
      <c r="C348" s="8" t="s">
        <v>5</v>
      </c>
    </row>
    <row r="349" spans="1:3" x14ac:dyDescent="0.25">
      <c r="A349" s="12" t="s">
        <v>614</v>
      </c>
      <c r="B349" s="12" t="s">
        <v>516</v>
      </c>
      <c r="C349" s="12" t="s">
        <v>5</v>
      </c>
    </row>
    <row r="350" spans="1:3" x14ac:dyDescent="0.25">
      <c r="A350" s="8" t="s">
        <v>615</v>
      </c>
      <c r="B350" s="8" t="s">
        <v>488</v>
      </c>
      <c r="C350" s="8" t="s">
        <v>5</v>
      </c>
    </row>
    <row r="351" spans="1:3" x14ac:dyDescent="0.25">
      <c r="A351" s="8" t="s">
        <v>616</v>
      </c>
      <c r="B351" s="8" t="s">
        <v>617</v>
      </c>
      <c r="C351" s="8" t="s">
        <v>5</v>
      </c>
    </row>
    <row r="352" spans="1:3" x14ac:dyDescent="0.25">
      <c r="A352" s="8" t="s">
        <v>618</v>
      </c>
      <c r="B352" s="8" t="s">
        <v>488</v>
      </c>
      <c r="C352" s="8" t="s">
        <v>5</v>
      </c>
    </row>
    <row r="353" spans="1:3" x14ac:dyDescent="0.25">
      <c r="A353" s="12" t="s">
        <v>619</v>
      </c>
      <c r="B353" s="12" t="s">
        <v>620</v>
      </c>
      <c r="C353" s="12" t="s">
        <v>5</v>
      </c>
    </row>
    <row r="354" spans="1:3" x14ac:dyDescent="0.25">
      <c r="A354" s="11" t="s">
        <v>621</v>
      </c>
      <c r="B354" s="11" t="s">
        <v>455</v>
      </c>
      <c r="C354" s="11" t="s">
        <v>5</v>
      </c>
    </row>
    <row r="355" spans="1:3" x14ac:dyDescent="0.25">
      <c r="A355" s="13" t="s">
        <v>622</v>
      </c>
      <c r="B355" s="13" t="s">
        <v>623</v>
      </c>
      <c r="C355" s="13" t="s">
        <v>5</v>
      </c>
    </row>
    <row r="356" spans="1:3" x14ac:dyDescent="0.25">
      <c r="A356" s="13" t="s">
        <v>624</v>
      </c>
      <c r="B356" s="13" t="s">
        <v>625</v>
      </c>
      <c r="C356" s="13" t="s">
        <v>5</v>
      </c>
    </row>
    <row r="357" spans="1:3" x14ac:dyDescent="0.25">
      <c r="A357" s="11" t="s">
        <v>626</v>
      </c>
      <c r="B357" s="11" t="s">
        <v>627</v>
      </c>
      <c r="C357" s="11" t="s">
        <v>5</v>
      </c>
    </row>
    <row r="358" spans="1:3" x14ac:dyDescent="0.25">
      <c r="A358" s="13" t="s">
        <v>628</v>
      </c>
      <c r="B358" s="13" t="s">
        <v>629</v>
      </c>
      <c r="C358" s="13" t="s">
        <v>5</v>
      </c>
    </row>
    <row r="359" spans="1:3" x14ac:dyDescent="0.25">
      <c r="A359" s="11" t="s">
        <v>630</v>
      </c>
      <c r="B359" s="11" t="s">
        <v>631</v>
      </c>
      <c r="C359" s="11" t="s">
        <v>5</v>
      </c>
    </row>
    <row r="360" spans="1:3" x14ac:dyDescent="0.25">
      <c r="A360" s="13" t="s">
        <v>632</v>
      </c>
      <c r="B360" s="13" t="s">
        <v>633</v>
      </c>
      <c r="C360" s="13" t="s">
        <v>5</v>
      </c>
    </row>
    <row r="361" spans="1:3" x14ac:dyDescent="0.25">
      <c r="A361" s="13" t="s">
        <v>634</v>
      </c>
      <c r="B361" s="13" t="s">
        <v>633</v>
      </c>
      <c r="C361" s="13" t="s">
        <v>5</v>
      </c>
    </row>
    <row r="362" spans="1:3" x14ac:dyDescent="0.25">
      <c r="A362" s="8" t="s">
        <v>635</v>
      </c>
      <c r="B362" s="8" t="s">
        <v>328</v>
      </c>
      <c r="C362" s="8" t="s">
        <v>5</v>
      </c>
    </row>
    <row r="363" spans="1:3" x14ac:dyDescent="0.25">
      <c r="A363" s="13" t="s">
        <v>636</v>
      </c>
      <c r="B363" s="13" t="s">
        <v>637</v>
      </c>
      <c r="C363" s="13" t="s">
        <v>5</v>
      </c>
    </row>
    <row r="364" spans="1:3" x14ac:dyDescent="0.25">
      <c r="A364" s="11" t="s">
        <v>638</v>
      </c>
      <c r="B364" s="11" t="s">
        <v>639</v>
      </c>
      <c r="C364" s="11" t="s">
        <v>5</v>
      </c>
    </row>
    <row r="365" spans="1:3" x14ac:dyDescent="0.25">
      <c r="A365" s="13" t="s">
        <v>640</v>
      </c>
      <c r="B365" s="13" t="s">
        <v>541</v>
      </c>
      <c r="C365" s="13" t="s">
        <v>5</v>
      </c>
    </row>
    <row r="366" spans="1:3" x14ac:dyDescent="0.25">
      <c r="A366" s="11" t="s">
        <v>641</v>
      </c>
      <c r="B366" s="11" t="s">
        <v>455</v>
      </c>
      <c r="C366" s="11" t="s">
        <v>5</v>
      </c>
    </row>
    <row r="367" spans="1:3" x14ac:dyDescent="0.25">
      <c r="A367" s="12" t="s">
        <v>642</v>
      </c>
      <c r="B367" s="12" t="s">
        <v>516</v>
      </c>
      <c r="C367" s="12" t="s">
        <v>5</v>
      </c>
    </row>
    <row r="368" spans="1:3" x14ac:dyDescent="0.25">
      <c r="A368" s="8" t="s">
        <v>643</v>
      </c>
      <c r="B368" s="8" t="s">
        <v>644</v>
      </c>
      <c r="C368" s="8" t="s">
        <v>5</v>
      </c>
    </row>
    <row r="369" spans="1:3" x14ac:dyDescent="0.25">
      <c r="A369" s="8" t="s">
        <v>645</v>
      </c>
      <c r="B369" s="8" t="s">
        <v>646</v>
      </c>
      <c r="C369" s="8" t="s">
        <v>5</v>
      </c>
    </row>
    <row r="370" spans="1:3" x14ac:dyDescent="0.25">
      <c r="A370" s="8" t="s">
        <v>647</v>
      </c>
      <c r="B370" s="8" t="s">
        <v>644</v>
      </c>
      <c r="C370" s="8" t="s">
        <v>5</v>
      </c>
    </row>
    <row r="371" spans="1:3" x14ac:dyDescent="0.25">
      <c r="A371" s="12" t="s">
        <v>648</v>
      </c>
      <c r="B371" s="12" t="s">
        <v>649</v>
      </c>
      <c r="C371" s="12" t="s">
        <v>5</v>
      </c>
    </row>
    <row r="372" spans="1:3" x14ac:dyDescent="0.25">
      <c r="A372" s="11" t="s">
        <v>650</v>
      </c>
      <c r="B372" s="11" t="s">
        <v>651</v>
      </c>
      <c r="C372" s="11" t="s">
        <v>5</v>
      </c>
    </row>
    <row r="373" spans="1:3" x14ac:dyDescent="0.25">
      <c r="A373" s="11" t="s">
        <v>652</v>
      </c>
      <c r="B373" s="11" t="s">
        <v>653</v>
      </c>
      <c r="C373" s="11" t="s">
        <v>5</v>
      </c>
    </row>
    <row r="374" spans="1:3" x14ac:dyDescent="0.25">
      <c r="A374" s="11" t="s">
        <v>654</v>
      </c>
      <c r="B374" s="11" t="s">
        <v>655</v>
      </c>
      <c r="C374" s="11" t="s">
        <v>5</v>
      </c>
    </row>
    <row r="375" spans="1:3" x14ac:dyDescent="0.25">
      <c r="A375" s="12" t="s">
        <v>656</v>
      </c>
      <c r="B375" s="12" t="s">
        <v>657</v>
      </c>
      <c r="C375" s="12" t="s">
        <v>5</v>
      </c>
    </row>
    <row r="376" spans="1:3" x14ac:dyDescent="0.25">
      <c r="A376" s="8" t="s">
        <v>658</v>
      </c>
      <c r="B376" s="8" t="s">
        <v>659</v>
      </c>
      <c r="C376" s="8" t="s">
        <v>5</v>
      </c>
    </row>
    <row r="377" spans="1:3" x14ac:dyDescent="0.25">
      <c r="A377" s="8" t="s">
        <v>660</v>
      </c>
      <c r="B377" s="8" t="s">
        <v>661</v>
      </c>
      <c r="C377" s="8" t="s">
        <v>5</v>
      </c>
    </row>
    <row r="378" spans="1:3" x14ac:dyDescent="0.25">
      <c r="A378" s="8" t="s">
        <v>662</v>
      </c>
      <c r="B378" s="8" t="s">
        <v>659</v>
      </c>
      <c r="C378" s="8" t="s">
        <v>5</v>
      </c>
    </row>
    <row r="379" spans="1:3" x14ac:dyDescent="0.25">
      <c r="A379" s="12" t="s">
        <v>663</v>
      </c>
      <c r="B379" s="12" t="s">
        <v>664</v>
      </c>
      <c r="C379" s="12" t="s">
        <v>5</v>
      </c>
    </row>
    <row r="380" spans="1:3" x14ac:dyDescent="0.25">
      <c r="A380" s="10" t="s">
        <v>665</v>
      </c>
      <c r="B380" s="10" t="s">
        <v>666</v>
      </c>
      <c r="C380" s="10" t="s">
        <v>5</v>
      </c>
    </row>
    <row r="381" spans="1:3" x14ac:dyDescent="0.25">
      <c r="A381" s="13" t="s">
        <v>667</v>
      </c>
      <c r="B381" s="13" t="s">
        <v>668</v>
      </c>
      <c r="C381" s="13" t="s">
        <v>5</v>
      </c>
    </row>
    <row r="382" spans="1:3" x14ac:dyDescent="0.25">
      <c r="A382" s="11" t="s">
        <v>669</v>
      </c>
      <c r="B382" s="11" t="s">
        <v>670</v>
      </c>
      <c r="C382" s="11" t="s">
        <v>5</v>
      </c>
    </row>
    <row r="383" spans="1:3" x14ac:dyDescent="0.25">
      <c r="A383" s="13" t="s">
        <v>671</v>
      </c>
      <c r="B383" s="13" t="s">
        <v>672</v>
      </c>
      <c r="C383" s="13" t="s">
        <v>5</v>
      </c>
    </row>
    <row r="384" spans="1:3" x14ac:dyDescent="0.25">
      <c r="A384" s="10" t="s">
        <v>673</v>
      </c>
      <c r="B384" s="10" t="s">
        <v>674</v>
      </c>
      <c r="C384" s="10" t="s">
        <v>5</v>
      </c>
    </row>
    <row r="385" spans="1:3" x14ac:dyDescent="0.25">
      <c r="A385" s="10" t="s">
        <v>675</v>
      </c>
      <c r="B385" s="10" t="s">
        <v>676</v>
      </c>
      <c r="C385" s="10" t="s">
        <v>5</v>
      </c>
    </row>
    <row r="386" spans="1:3" x14ac:dyDescent="0.25">
      <c r="A386" s="11" t="s">
        <v>677</v>
      </c>
      <c r="B386" s="11" t="s">
        <v>670</v>
      </c>
      <c r="C386" s="11" t="s">
        <v>5</v>
      </c>
    </row>
    <row r="387" spans="1:3" x14ac:dyDescent="0.25">
      <c r="A387" s="13" t="s">
        <v>678</v>
      </c>
      <c r="B387" s="13" t="s">
        <v>472</v>
      </c>
      <c r="C387" s="13" t="s">
        <v>5</v>
      </c>
    </row>
    <row r="388" spans="1:3" x14ac:dyDescent="0.25">
      <c r="A388" s="12" t="s">
        <v>679</v>
      </c>
      <c r="B388" s="12" t="s">
        <v>657</v>
      </c>
      <c r="C388" s="12" t="s">
        <v>5</v>
      </c>
    </row>
    <row r="389" spans="1:3" x14ac:dyDescent="0.25">
      <c r="A389" s="8" t="s">
        <v>680</v>
      </c>
      <c r="B389" s="8" t="s">
        <v>659</v>
      </c>
      <c r="C389" s="8" t="s">
        <v>5</v>
      </c>
    </row>
    <row r="390" spans="1:3" x14ac:dyDescent="0.25">
      <c r="A390" s="8" t="s">
        <v>681</v>
      </c>
      <c r="B390" s="8" t="s">
        <v>424</v>
      </c>
      <c r="C390" s="8" t="s">
        <v>5</v>
      </c>
    </row>
    <row r="391" spans="1:3" x14ac:dyDescent="0.25">
      <c r="A391" s="8" t="s">
        <v>682</v>
      </c>
      <c r="B391" s="8" t="s">
        <v>659</v>
      </c>
      <c r="C391" s="8" t="s">
        <v>5</v>
      </c>
    </row>
    <row r="392" spans="1:3" x14ac:dyDescent="0.25">
      <c r="A392" s="12" t="s">
        <v>683</v>
      </c>
      <c r="B392" s="12" t="s">
        <v>684</v>
      </c>
      <c r="C392" s="12" t="s">
        <v>5</v>
      </c>
    </row>
    <row r="393" spans="1:3" x14ac:dyDescent="0.25">
      <c r="A393" s="12" t="s">
        <v>685</v>
      </c>
      <c r="B393" s="12" t="s">
        <v>686</v>
      </c>
      <c r="C393" s="12" t="s">
        <v>5</v>
      </c>
    </row>
    <row r="394" spans="1:3" x14ac:dyDescent="0.25">
      <c r="A394" s="8" t="s">
        <v>687</v>
      </c>
      <c r="B394" s="8" t="s">
        <v>688</v>
      </c>
      <c r="C394" s="8" t="s">
        <v>5</v>
      </c>
    </row>
    <row r="395" spans="1:3" x14ac:dyDescent="0.25">
      <c r="A395" s="12" t="s">
        <v>689</v>
      </c>
      <c r="B395" s="12" t="s">
        <v>690</v>
      </c>
      <c r="C395" s="12" t="s">
        <v>5</v>
      </c>
    </row>
    <row r="396" spans="1:3" x14ac:dyDescent="0.25">
      <c r="A396" s="8" t="s">
        <v>691</v>
      </c>
      <c r="B396" s="8" t="s">
        <v>692</v>
      </c>
      <c r="C396" s="8" t="s">
        <v>5</v>
      </c>
    </row>
    <row r="397" spans="1:3" x14ac:dyDescent="0.25">
      <c r="A397" s="12" t="s">
        <v>693</v>
      </c>
      <c r="B397" s="12" t="s">
        <v>657</v>
      </c>
      <c r="C397" s="12" t="s">
        <v>5</v>
      </c>
    </row>
    <row r="398" spans="1:3" x14ac:dyDescent="0.25">
      <c r="A398" s="8" t="s">
        <v>694</v>
      </c>
      <c r="B398" s="8" t="s">
        <v>659</v>
      </c>
      <c r="C398" s="8" t="s">
        <v>5</v>
      </c>
    </row>
    <row r="399" spans="1:3" x14ac:dyDescent="0.25">
      <c r="A399" s="8" t="s">
        <v>695</v>
      </c>
      <c r="B399" s="8" t="s">
        <v>696</v>
      </c>
      <c r="C399" s="8" t="s">
        <v>5</v>
      </c>
    </row>
    <row r="400" spans="1:3" x14ac:dyDescent="0.25">
      <c r="A400" s="8" t="s">
        <v>697</v>
      </c>
      <c r="B400" s="8" t="s">
        <v>659</v>
      </c>
      <c r="C400" s="8" t="s">
        <v>5</v>
      </c>
    </row>
    <row r="401" spans="1:3" x14ac:dyDescent="0.25">
      <c r="A401" s="12" t="s">
        <v>698</v>
      </c>
      <c r="B401" s="12" t="s">
        <v>699</v>
      </c>
      <c r="C401" s="12" t="s">
        <v>5</v>
      </c>
    </row>
    <row r="402" spans="1:3" x14ac:dyDescent="0.25">
      <c r="A402" s="11" t="s">
        <v>700</v>
      </c>
      <c r="B402" s="11" t="s">
        <v>701</v>
      </c>
      <c r="C402" s="11" t="s">
        <v>5</v>
      </c>
    </row>
    <row r="403" spans="1:3" x14ac:dyDescent="0.25">
      <c r="A403" s="8" t="s">
        <v>702</v>
      </c>
      <c r="B403" s="8" t="s">
        <v>703</v>
      </c>
      <c r="C403" s="8" t="s">
        <v>5</v>
      </c>
    </row>
    <row r="404" spans="1:3" x14ac:dyDescent="0.25">
      <c r="A404" s="13" t="s">
        <v>704</v>
      </c>
      <c r="B404" s="13" t="s">
        <v>705</v>
      </c>
      <c r="C404" s="13" t="s">
        <v>5</v>
      </c>
    </row>
    <row r="405" spans="1:3" x14ac:dyDescent="0.25">
      <c r="A405" s="11" t="s">
        <v>706</v>
      </c>
      <c r="B405" s="11" t="s">
        <v>707</v>
      </c>
      <c r="C405" s="11" t="s">
        <v>5</v>
      </c>
    </row>
    <row r="406" spans="1:3" x14ac:dyDescent="0.25">
      <c r="A406" s="10" t="s">
        <v>708</v>
      </c>
      <c r="B406" s="10" t="s">
        <v>709</v>
      </c>
      <c r="C406" s="10" t="s">
        <v>5</v>
      </c>
    </row>
    <row r="407" spans="1:3" x14ac:dyDescent="0.25">
      <c r="A407" s="13" t="s">
        <v>710</v>
      </c>
      <c r="B407" s="13" t="s">
        <v>711</v>
      </c>
      <c r="C407" s="13" t="s">
        <v>5</v>
      </c>
    </row>
    <row r="408" spans="1:3" x14ac:dyDescent="0.25">
      <c r="A408" s="11" t="s">
        <v>712</v>
      </c>
      <c r="B408" s="11" t="s">
        <v>713</v>
      </c>
      <c r="C408" s="11" t="s">
        <v>5</v>
      </c>
    </row>
    <row r="409" spans="1:3" x14ac:dyDescent="0.25">
      <c r="A409" s="13" t="s">
        <v>714</v>
      </c>
      <c r="B409" s="13" t="s">
        <v>715</v>
      </c>
      <c r="C409" s="13" t="s">
        <v>5</v>
      </c>
    </row>
    <row r="410" spans="1:3" x14ac:dyDescent="0.25">
      <c r="A410" s="10" t="s">
        <v>716</v>
      </c>
      <c r="B410" s="10" t="s">
        <v>717</v>
      </c>
      <c r="C410" s="10" t="s">
        <v>5</v>
      </c>
    </row>
    <row r="411" spans="1:3" x14ac:dyDescent="0.25">
      <c r="A411" s="13" t="s">
        <v>718</v>
      </c>
      <c r="B411" s="13" t="s">
        <v>472</v>
      </c>
      <c r="C411" s="13" t="s">
        <v>5</v>
      </c>
    </row>
    <row r="412" spans="1:3" x14ac:dyDescent="0.25">
      <c r="A412" s="10" t="s">
        <v>719</v>
      </c>
      <c r="B412" s="10" t="s">
        <v>720</v>
      </c>
      <c r="C412" s="10" t="s">
        <v>5</v>
      </c>
    </row>
    <row r="413" spans="1:3" x14ac:dyDescent="0.25">
      <c r="A413" s="13" t="s">
        <v>721</v>
      </c>
      <c r="B413" s="13" t="s">
        <v>722</v>
      </c>
      <c r="C413" s="13" t="s">
        <v>5</v>
      </c>
    </row>
    <row r="414" spans="1:3" x14ac:dyDescent="0.25">
      <c r="A414" s="11" t="s">
        <v>723</v>
      </c>
      <c r="B414" s="11" t="s">
        <v>724</v>
      </c>
      <c r="C414" s="11" t="s">
        <v>5</v>
      </c>
    </row>
    <row r="415" spans="1:3" x14ac:dyDescent="0.25">
      <c r="A415" s="11" t="s">
        <v>725</v>
      </c>
      <c r="B415" s="11" t="s">
        <v>726</v>
      </c>
      <c r="C415" s="11" t="s">
        <v>5</v>
      </c>
    </row>
    <row r="416" spans="1:3" x14ac:dyDescent="0.25">
      <c r="A416" s="11" t="s">
        <v>727</v>
      </c>
      <c r="B416" s="11" t="s">
        <v>728</v>
      </c>
      <c r="C416" s="11" t="s">
        <v>5</v>
      </c>
    </row>
    <row r="417" spans="1:3" x14ac:dyDescent="0.25">
      <c r="A417" s="11" t="s">
        <v>729</v>
      </c>
      <c r="B417" s="11" t="s">
        <v>730</v>
      </c>
      <c r="C417" s="11" t="s">
        <v>5</v>
      </c>
    </row>
    <row r="418" spans="1:3" x14ac:dyDescent="0.25">
      <c r="A418" s="11" t="s">
        <v>731</v>
      </c>
      <c r="B418" s="11" t="s">
        <v>732</v>
      </c>
      <c r="C418" s="11" t="s">
        <v>5</v>
      </c>
    </row>
    <row r="419" spans="1:3" x14ac:dyDescent="0.25">
      <c r="A419" s="11" t="s">
        <v>733</v>
      </c>
      <c r="B419" s="11" t="s">
        <v>734</v>
      </c>
      <c r="C419" s="11" t="s">
        <v>5</v>
      </c>
    </row>
    <row r="420" spans="1:3" x14ac:dyDescent="0.25">
      <c r="A420" s="11" t="s">
        <v>735</v>
      </c>
      <c r="B420" s="11" t="s">
        <v>736</v>
      </c>
      <c r="C420" s="11" t="s">
        <v>5</v>
      </c>
    </row>
    <row r="421" spans="1:3" x14ac:dyDescent="0.25">
      <c r="A421" s="11" t="s">
        <v>737</v>
      </c>
      <c r="B421" s="11" t="s">
        <v>738</v>
      </c>
      <c r="C421" s="11" t="s">
        <v>5</v>
      </c>
    </row>
    <row r="422" spans="1:3" x14ac:dyDescent="0.25">
      <c r="A422" s="11" t="s">
        <v>739</v>
      </c>
      <c r="B422" s="11" t="s">
        <v>740</v>
      </c>
      <c r="C422" s="11" t="s">
        <v>5</v>
      </c>
    </row>
    <row r="423" spans="1:3" x14ac:dyDescent="0.25">
      <c r="A423" s="11" t="s">
        <v>741</v>
      </c>
      <c r="B423" s="11" t="s">
        <v>742</v>
      </c>
      <c r="C423" s="11" t="s">
        <v>5</v>
      </c>
    </row>
    <row r="424" spans="1:3" x14ac:dyDescent="0.25">
      <c r="A424" s="11" t="s">
        <v>743</v>
      </c>
      <c r="B424" s="11" t="s">
        <v>744</v>
      </c>
      <c r="C424" s="11" t="s">
        <v>5</v>
      </c>
    </row>
    <row r="425" spans="1:3" x14ac:dyDescent="0.25">
      <c r="A425" s="11" t="s">
        <v>745</v>
      </c>
      <c r="B425" s="11" t="s">
        <v>746</v>
      </c>
      <c r="C425" s="11" t="s">
        <v>5</v>
      </c>
    </row>
    <row r="426" spans="1:3" x14ac:dyDescent="0.25">
      <c r="A426" s="11" t="s">
        <v>747</v>
      </c>
      <c r="B426" s="11" t="s">
        <v>748</v>
      </c>
      <c r="C426" s="11" t="s">
        <v>5</v>
      </c>
    </row>
    <row r="427" spans="1:3" x14ac:dyDescent="0.25">
      <c r="A427" s="8" t="s">
        <v>749</v>
      </c>
      <c r="B427" s="8" t="s">
        <v>692</v>
      </c>
      <c r="C427" s="8" t="s">
        <v>5</v>
      </c>
    </row>
    <row r="428" spans="1:3" x14ac:dyDescent="0.25">
      <c r="A428" s="11" t="s">
        <v>750</v>
      </c>
      <c r="B428" s="11" t="s">
        <v>751</v>
      </c>
      <c r="C428" s="11" t="s">
        <v>5</v>
      </c>
    </row>
    <row r="429" spans="1:3" x14ac:dyDescent="0.25">
      <c r="A429" s="11" t="s">
        <v>752</v>
      </c>
      <c r="B429" s="11" t="s">
        <v>753</v>
      </c>
      <c r="C429" s="11" t="s">
        <v>5</v>
      </c>
    </row>
    <row r="430" spans="1:3" x14ac:dyDescent="0.25">
      <c r="A430" s="11" t="s">
        <v>754</v>
      </c>
      <c r="B430" s="11" t="s">
        <v>755</v>
      </c>
      <c r="C430" s="11" t="s">
        <v>5</v>
      </c>
    </row>
    <row r="431" spans="1:3" x14ac:dyDescent="0.25">
      <c r="A431" s="11" t="s">
        <v>756</v>
      </c>
      <c r="B431" s="11" t="s">
        <v>757</v>
      </c>
      <c r="C431" s="11" t="s">
        <v>5</v>
      </c>
    </row>
    <row r="432" spans="1:3" x14ac:dyDescent="0.25">
      <c r="A432" s="12" t="s">
        <v>758</v>
      </c>
      <c r="B432" s="12" t="s">
        <v>759</v>
      </c>
      <c r="C432" s="12" t="s">
        <v>5</v>
      </c>
    </row>
    <row r="433" spans="1:3" x14ac:dyDescent="0.25">
      <c r="A433" s="11" t="s">
        <v>760</v>
      </c>
      <c r="B433" s="11" t="s">
        <v>761</v>
      </c>
      <c r="C433" s="11" t="s">
        <v>5</v>
      </c>
    </row>
    <row r="434" spans="1:3" x14ac:dyDescent="0.25">
      <c r="A434" s="11" t="s">
        <v>762</v>
      </c>
      <c r="B434" s="11" t="s">
        <v>763</v>
      </c>
      <c r="C434" s="11" t="s">
        <v>5</v>
      </c>
    </row>
    <row r="435" spans="1:3" x14ac:dyDescent="0.25">
      <c r="A435" s="11" t="s">
        <v>764</v>
      </c>
      <c r="B435" s="11" t="s">
        <v>765</v>
      </c>
      <c r="C435" s="11" t="s">
        <v>5</v>
      </c>
    </row>
    <row r="436" spans="1:3" x14ac:dyDescent="0.25">
      <c r="A436" s="13" t="s">
        <v>766</v>
      </c>
      <c r="B436" s="13" t="s">
        <v>472</v>
      </c>
      <c r="C436" s="13" t="s">
        <v>5</v>
      </c>
    </row>
    <row r="437" spans="1:3" x14ac:dyDescent="0.25">
      <c r="A437" s="13" t="s">
        <v>767</v>
      </c>
      <c r="B437" s="13" t="s">
        <v>472</v>
      </c>
      <c r="C437" s="13" t="s">
        <v>5</v>
      </c>
    </row>
    <row r="438" spans="1:3" x14ac:dyDescent="0.25">
      <c r="A438" s="13" t="s">
        <v>768</v>
      </c>
      <c r="B438" s="13" t="s">
        <v>472</v>
      </c>
      <c r="C438" s="13" t="s">
        <v>5</v>
      </c>
    </row>
    <row r="439" spans="1:3" x14ac:dyDescent="0.25">
      <c r="A439" s="12" t="s">
        <v>769</v>
      </c>
      <c r="B439" s="12" t="s">
        <v>657</v>
      </c>
      <c r="C439" s="12" t="s">
        <v>5</v>
      </c>
    </row>
    <row r="440" spans="1:3" x14ac:dyDescent="0.25">
      <c r="A440" s="8" t="s">
        <v>770</v>
      </c>
      <c r="B440" s="8" t="s">
        <v>659</v>
      </c>
      <c r="C440" s="8" t="s">
        <v>5</v>
      </c>
    </row>
    <row r="441" spans="1:3" x14ac:dyDescent="0.25">
      <c r="A441" s="8" t="s">
        <v>771</v>
      </c>
      <c r="B441" s="8" t="s">
        <v>772</v>
      </c>
      <c r="C441" s="8" t="s">
        <v>5</v>
      </c>
    </row>
    <row r="442" spans="1:3" x14ac:dyDescent="0.25">
      <c r="A442" s="8" t="s">
        <v>773</v>
      </c>
      <c r="B442" s="8" t="s">
        <v>659</v>
      </c>
      <c r="C442" s="8" t="s">
        <v>5</v>
      </c>
    </row>
    <row r="443" spans="1:3" x14ac:dyDescent="0.25">
      <c r="A443" s="12" t="s">
        <v>774</v>
      </c>
      <c r="B443" s="12" t="s">
        <v>775</v>
      </c>
      <c r="C443" s="12" t="s">
        <v>5</v>
      </c>
    </row>
    <row r="444" spans="1:3" x14ac:dyDescent="0.25">
      <c r="A444" s="8" t="s">
        <v>776</v>
      </c>
      <c r="B444" s="8" t="s">
        <v>341</v>
      </c>
      <c r="C444" s="8" t="s">
        <v>5</v>
      </c>
    </row>
    <row r="445" spans="1:3" x14ac:dyDescent="0.25">
      <c r="A445" s="12" t="s">
        <v>777</v>
      </c>
      <c r="B445" s="12" t="s">
        <v>778</v>
      </c>
      <c r="C445" s="12" t="s">
        <v>5</v>
      </c>
    </row>
    <row r="446" spans="1:3" x14ac:dyDescent="0.25">
      <c r="A446" s="8" t="s">
        <v>779</v>
      </c>
      <c r="B446" s="8" t="s">
        <v>780</v>
      </c>
      <c r="C446" s="8" t="s">
        <v>5</v>
      </c>
    </row>
    <row r="447" spans="1:3" x14ac:dyDescent="0.25">
      <c r="A447" s="10" t="s">
        <v>781</v>
      </c>
      <c r="B447" s="10" t="s">
        <v>782</v>
      </c>
      <c r="C447" s="10" t="s">
        <v>5</v>
      </c>
    </row>
    <row r="448" spans="1:3" x14ac:dyDescent="0.25">
      <c r="A448" s="13" t="s">
        <v>783</v>
      </c>
      <c r="B448" s="13" t="s">
        <v>784</v>
      </c>
      <c r="C448" s="13" t="s">
        <v>5</v>
      </c>
    </row>
    <row r="449" spans="1:3" x14ac:dyDescent="0.25">
      <c r="A449" s="11" t="s">
        <v>785</v>
      </c>
      <c r="B449" s="11" t="s">
        <v>786</v>
      </c>
      <c r="C449" s="11" t="s">
        <v>5</v>
      </c>
    </row>
    <row r="450" spans="1:3" x14ac:dyDescent="0.25">
      <c r="A450" s="13" t="s">
        <v>787</v>
      </c>
      <c r="B450" s="13" t="s">
        <v>472</v>
      </c>
      <c r="C450" s="13" t="s">
        <v>5</v>
      </c>
    </row>
    <row r="451" spans="1:3" x14ac:dyDescent="0.25">
      <c r="A451" s="8" t="s">
        <v>788</v>
      </c>
      <c r="B451" s="8" t="s">
        <v>341</v>
      </c>
      <c r="C451" s="8" t="s">
        <v>5</v>
      </c>
    </row>
    <row r="452" spans="1:3" x14ac:dyDescent="0.25">
      <c r="A452" s="13" t="s">
        <v>789</v>
      </c>
      <c r="B452" s="13" t="s">
        <v>790</v>
      </c>
      <c r="C452" s="13" t="s">
        <v>5</v>
      </c>
    </row>
    <row r="453" spans="1:3" x14ac:dyDescent="0.25">
      <c r="A453" s="11" t="s">
        <v>791</v>
      </c>
      <c r="B453" s="11" t="s">
        <v>792</v>
      </c>
      <c r="C453" s="11" t="s">
        <v>5</v>
      </c>
    </row>
    <row r="454" spans="1:3" x14ac:dyDescent="0.25">
      <c r="A454" s="13" t="s">
        <v>793</v>
      </c>
      <c r="B454" s="13" t="s">
        <v>672</v>
      </c>
      <c r="C454" s="13" t="s">
        <v>5</v>
      </c>
    </row>
    <row r="455" spans="1:3" x14ac:dyDescent="0.25">
      <c r="A455" s="11" t="s">
        <v>794</v>
      </c>
      <c r="B455" s="11" t="s">
        <v>795</v>
      </c>
      <c r="C455" s="11" t="s">
        <v>5</v>
      </c>
    </row>
    <row r="456" spans="1:3" x14ac:dyDescent="0.25">
      <c r="A456" s="13" t="s">
        <v>796</v>
      </c>
      <c r="B456" s="13" t="s">
        <v>472</v>
      </c>
      <c r="C456" s="13" t="s">
        <v>5</v>
      </c>
    </row>
    <row r="457" spans="1:3" x14ac:dyDescent="0.25">
      <c r="A457" s="8" t="s">
        <v>797</v>
      </c>
      <c r="B457" s="8" t="s">
        <v>341</v>
      </c>
      <c r="C457" s="8" t="s">
        <v>5</v>
      </c>
    </row>
    <row r="458" spans="1:3" x14ac:dyDescent="0.25">
      <c r="A458" s="11" t="s">
        <v>798</v>
      </c>
      <c r="B458" s="11" t="s">
        <v>799</v>
      </c>
      <c r="C458" s="11" t="s">
        <v>5</v>
      </c>
    </row>
    <row r="459" spans="1:3" x14ac:dyDescent="0.25">
      <c r="A459" s="11" t="s">
        <v>800</v>
      </c>
      <c r="B459" s="11" t="s">
        <v>801</v>
      </c>
      <c r="C459" s="11" t="s">
        <v>5</v>
      </c>
    </row>
    <row r="460" spans="1:3" x14ac:dyDescent="0.25">
      <c r="A460" s="8" t="s">
        <v>802</v>
      </c>
      <c r="B460" s="8" t="s">
        <v>341</v>
      </c>
      <c r="C460" s="8" t="s">
        <v>5</v>
      </c>
    </row>
    <row r="461" spans="1:3" x14ac:dyDescent="0.25">
      <c r="A461" s="8" t="s">
        <v>803</v>
      </c>
      <c r="B461" s="8" t="s">
        <v>804</v>
      </c>
      <c r="C461" s="8" t="s">
        <v>5</v>
      </c>
    </row>
    <row r="462" spans="1:3" x14ac:dyDescent="0.25">
      <c r="A462" s="11" t="s">
        <v>805</v>
      </c>
      <c r="B462" s="11" t="s">
        <v>806</v>
      </c>
      <c r="C462" s="11" t="s">
        <v>5</v>
      </c>
    </row>
    <row r="463" spans="1:3" x14ac:dyDescent="0.25">
      <c r="A463" s="11" t="s">
        <v>807</v>
      </c>
      <c r="B463" s="11" t="s">
        <v>808</v>
      </c>
      <c r="C463" s="11" t="s">
        <v>5</v>
      </c>
    </row>
    <row r="464" spans="1:3" x14ac:dyDescent="0.25">
      <c r="A464" s="10" t="s">
        <v>809</v>
      </c>
      <c r="B464" s="10" t="s">
        <v>810</v>
      </c>
      <c r="C464" s="10" t="s">
        <v>5</v>
      </c>
    </row>
    <row r="465" spans="1:3" x14ac:dyDescent="0.25">
      <c r="A465" s="13" t="s">
        <v>811</v>
      </c>
      <c r="B465" s="13" t="s">
        <v>812</v>
      </c>
      <c r="C465" s="13" t="s">
        <v>5</v>
      </c>
    </row>
    <row r="466" spans="1:3" x14ac:dyDescent="0.25">
      <c r="A466" s="11" t="s">
        <v>813</v>
      </c>
      <c r="B466" s="11" t="s">
        <v>814</v>
      </c>
      <c r="C466" s="11" t="s">
        <v>5</v>
      </c>
    </row>
    <row r="467" spans="1:3" x14ac:dyDescent="0.25">
      <c r="A467" s="13" t="s">
        <v>815</v>
      </c>
      <c r="B467" s="13" t="s">
        <v>672</v>
      </c>
      <c r="C467" s="13" t="s">
        <v>5</v>
      </c>
    </row>
    <row r="468" spans="1:3" x14ac:dyDescent="0.25">
      <c r="A468" s="11" t="s">
        <v>816</v>
      </c>
      <c r="B468" s="11" t="s">
        <v>817</v>
      </c>
      <c r="C468" s="11" t="s">
        <v>5</v>
      </c>
    </row>
    <row r="469" spans="1:3" x14ac:dyDescent="0.25">
      <c r="A469" s="13" t="s">
        <v>818</v>
      </c>
      <c r="B469" s="13" t="s">
        <v>472</v>
      </c>
      <c r="C469" s="13" t="s">
        <v>5</v>
      </c>
    </row>
    <row r="470" spans="1:3" x14ac:dyDescent="0.25">
      <c r="A470" s="8" t="s">
        <v>819</v>
      </c>
      <c r="B470" s="8" t="s">
        <v>341</v>
      </c>
      <c r="C470" s="8" t="s">
        <v>5</v>
      </c>
    </row>
    <row r="471" spans="1:3" x14ac:dyDescent="0.25">
      <c r="A471" s="8" t="s">
        <v>820</v>
      </c>
      <c r="B471" s="8" t="s">
        <v>821</v>
      </c>
      <c r="C471" s="8" t="s">
        <v>5</v>
      </c>
    </row>
    <row r="472" spans="1:3" x14ac:dyDescent="0.25">
      <c r="A472" s="11" t="s">
        <v>822</v>
      </c>
      <c r="B472" s="11" t="s">
        <v>823</v>
      </c>
      <c r="C472" s="11" t="s">
        <v>5</v>
      </c>
    </row>
    <row r="473" spans="1:3" x14ac:dyDescent="0.25">
      <c r="A473" s="11" t="s">
        <v>824</v>
      </c>
      <c r="B473" s="11" t="s">
        <v>825</v>
      </c>
      <c r="C473" s="11" t="s">
        <v>5</v>
      </c>
    </row>
    <row r="474" spans="1:3" x14ac:dyDescent="0.25">
      <c r="A474" s="10" t="s">
        <v>826</v>
      </c>
      <c r="B474" s="10" t="s">
        <v>810</v>
      </c>
      <c r="C474" s="10" t="s">
        <v>5</v>
      </c>
    </row>
    <row r="475" spans="1:3" x14ac:dyDescent="0.25">
      <c r="A475" s="13" t="s">
        <v>827</v>
      </c>
      <c r="B475" s="13" t="s">
        <v>812</v>
      </c>
      <c r="C475" s="13" t="s">
        <v>5</v>
      </c>
    </row>
    <row r="476" spans="1:3" x14ac:dyDescent="0.25">
      <c r="A476" s="11" t="s">
        <v>828</v>
      </c>
      <c r="B476" s="11" t="s">
        <v>829</v>
      </c>
      <c r="C476" s="11" t="s">
        <v>5</v>
      </c>
    </row>
    <row r="477" spans="1:3" x14ac:dyDescent="0.25">
      <c r="A477" s="13" t="s">
        <v>830</v>
      </c>
      <c r="B477" s="13" t="s">
        <v>672</v>
      </c>
      <c r="C477" s="13" t="s">
        <v>5</v>
      </c>
    </row>
    <row r="478" spans="1:3" x14ac:dyDescent="0.25">
      <c r="A478" s="11" t="s">
        <v>831</v>
      </c>
      <c r="B478" s="11" t="s">
        <v>832</v>
      </c>
      <c r="C478" s="11" t="s">
        <v>5</v>
      </c>
    </row>
    <row r="479" spans="1:3" x14ac:dyDescent="0.25">
      <c r="A479" s="13" t="s">
        <v>833</v>
      </c>
      <c r="B479" s="13" t="s">
        <v>472</v>
      </c>
      <c r="C479" s="13" t="s">
        <v>5</v>
      </c>
    </row>
    <row r="480" spans="1:3" x14ac:dyDescent="0.25">
      <c r="A480" s="8" t="s">
        <v>834</v>
      </c>
      <c r="B480" s="8" t="s">
        <v>341</v>
      </c>
      <c r="C480" s="8" t="s">
        <v>5</v>
      </c>
    </row>
    <row r="481" spans="1:3" x14ac:dyDescent="0.25">
      <c r="A481" s="8" t="s">
        <v>835</v>
      </c>
      <c r="B481" s="8" t="s">
        <v>836</v>
      </c>
      <c r="C481" s="8" t="s">
        <v>5</v>
      </c>
    </row>
    <row r="482" spans="1:3" x14ac:dyDescent="0.25">
      <c r="A482" s="11" t="s">
        <v>837</v>
      </c>
      <c r="B482" s="11" t="s">
        <v>838</v>
      </c>
      <c r="C482" s="11" t="s">
        <v>5</v>
      </c>
    </row>
    <row r="483" spans="1:3" x14ac:dyDescent="0.25">
      <c r="A483" s="11" t="s">
        <v>839</v>
      </c>
      <c r="B483" s="11" t="s">
        <v>840</v>
      </c>
      <c r="C483" s="11" t="s">
        <v>5</v>
      </c>
    </row>
    <row r="484" spans="1:3" x14ac:dyDescent="0.25">
      <c r="A484" s="11" t="s">
        <v>841</v>
      </c>
      <c r="B484" s="11" t="s">
        <v>842</v>
      </c>
      <c r="C484" s="11" t="s">
        <v>5</v>
      </c>
    </row>
    <row r="485" spans="1:3" x14ac:dyDescent="0.25">
      <c r="A485" s="11" t="s">
        <v>843</v>
      </c>
      <c r="B485" s="11" t="s">
        <v>844</v>
      </c>
      <c r="C485" s="11" t="s">
        <v>5</v>
      </c>
    </row>
    <row r="486" spans="1:3" x14ac:dyDescent="0.25">
      <c r="A486" s="13" t="s">
        <v>845</v>
      </c>
      <c r="B486" s="13" t="s">
        <v>812</v>
      </c>
      <c r="C486" s="13" t="s">
        <v>5</v>
      </c>
    </row>
    <row r="487" spans="1:3" x14ac:dyDescent="0.25">
      <c r="A487" s="11" t="s">
        <v>846</v>
      </c>
      <c r="B487" s="11" t="s">
        <v>847</v>
      </c>
      <c r="C487" s="11" t="s">
        <v>5</v>
      </c>
    </row>
    <row r="488" spans="1:3" x14ac:dyDescent="0.25">
      <c r="A488" s="13" t="s">
        <v>848</v>
      </c>
      <c r="B488" s="13" t="s">
        <v>672</v>
      </c>
      <c r="C488" s="13" t="s">
        <v>5</v>
      </c>
    </row>
    <row r="489" spans="1:3" x14ac:dyDescent="0.25">
      <c r="A489" s="11" t="s">
        <v>849</v>
      </c>
      <c r="B489" s="11" t="s">
        <v>850</v>
      </c>
      <c r="C489" s="11" t="s">
        <v>5</v>
      </c>
    </row>
    <row r="490" spans="1:3" x14ac:dyDescent="0.25">
      <c r="A490" s="13" t="s">
        <v>851</v>
      </c>
      <c r="B490" s="13" t="s">
        <v>472</v>
      </c>
      <c r="C490" s="13" t="s">
        <v>5</v>
      </c>
    </row>
    <row r="491" spans="1:3" x14ac:dyDescent="0.25">
      <c r="A491" s="8" t="s">
        <v>852</v>
      </c>
      <c r="B491" s="8" t="s">
        <v>341</v>
      </c>
      <c r="C491" s="8" t="s">
        <v>5</v>
      </c>
    </row>
    <row r="492" spans="1:3" x14ac:dyDescent="0.25">
      <c r="A492" s="8" t="s">
        <v>853</v>
      </c>
      <c r="B492" s="8" t="s">
        <v>854</v>
      </c>
      <c r="C492" s="8" t="s">
        <v>5</v>
      </c>
    </row>
    <row r="493" spans="1:3" x14ac:dyDescent="0.25">
      <c r="A493" s="11" t="s">
        <v>855</v>
      </c>
      <c r="B493" s="11" t="s">
        <v>856</v>
      </c>
      <c r="C493" s="11" t="s">
        <v>5</v>
      </c>
    </row>
    <row r="494" spans="1:3" x14ac:dyDescent="0.25">
      <c r="A494" s="11" t="s">
        <v>857</v>
      </c>
      <c r="B494" s="11" t="s">
        <v>858</v>
      </c>
      <c r="C494" s="11" t="s">
        <v>5</v>
      </c>
    </row>
    <row r="495" spans="1:3" x14ac:dyDescent="0.25">
      <c r="A495" s="11" t="s">
        <v>859</v>
      </c>
      <c r="B495" s="11" t="s">
        <v>860</v>
      </c>
      <c r="C495" s="11" t="s">
        <v>5</v>
      </c>
    </row>
    <row r="496" spans="1:3" x14ac:dyDescent="0.25">
      <c r="A496" s="11" t="s">
        <v>861</v>
      </c>
      <c r="B496" s="11" t="s">
        <v>862</v>
      </c>
      <c r="C496" s="11" t="s">
        <v>5</v>
      </c>
    </row>
    <row r="497" spans="1:3" x14ac:dyDescent="0.25">
      <c r="A497" s="11" t="s">
        <v>863</v>
      </c>
      <c r="B497" s="11" t="s">
        <v>864</v>
      </c>
      <c r="C497" s="11" t="s">
        <v>5</v>
      </c>
    </row>
    <row r="498" spans="1:3" x14ac:dyDescent="0.25">
      <c r="A498" s="11" t="s">
        <v>865</v>
      </c>
      <c r="B498" s="11" t="s">
        <v>866</v>
      </c>
      <c r="C498" s="11" t="s">
        <v>5</v>
      </c>
    </row>
    <row r="499" spans="1:3" x14ac:dyDescent="0.25">
      <c r="A499" s="11" t="s">
        <v>867</v>
      </c>
      <c r="B499" s="11" t="s">
        <v>868</v>
      </c>
      <c r="C499" s="11" t="s">
        <v>5</v>
      </c>
    </row>
    <row r="500" spans="1:3" x14ac:dyDescent="0.25">
      <c r="A500" s="11" t="s">
        <v>869</v>
      </c>
      <c r="B500" s="11" t="s">
        <v>870</v>
      </c>
      <c r="C500" s="11" t="s">
        <v>5</v>
      </c>
    </row>
    <row r="501" spans="1:3" x14ac:dyDescent="0.25">
      <c r="A501" s="11" t="s">
        <v>871</v>
      </c>
      <c r="B501" s="11" t="s">
        <v>872</v>
      </c>
      <c r="C501" s="11" t="s">
        <v>5</v>
      </c>
    </row>
    <row r="502" spans="1:3" x14ac:dyDescent="0.25">
      <c r="A502" s="11" t="s">
        <v>873</v>
      </c>
      <c r="B502" s="11" t="s">
        <v>874</v>
      </c>
      <c r="C502" s="11" t="s">
        <v>5</v>
      </c>
    </row>
    <row r="503" spans="1:3" x14ac:dyDescent="0.25">
      <c r="A503" s="11" t="s">
        <v>875</v>
      </c>
      <c r="B503" s="11" t="s">
        <v>876</v>
      </c>
      <c r="C503" s="11" t="s">
        <v>5</v>
      </c>
    </row>
    <row r="504" spans="1:3" x14ac:dyDescent="0.25">
      <c r="A504" s="11" t="s">
        <v>877</v>
      </c>
      <c r="B504" s="11" t="s">
        <v>878</v>
      </c>
      <c r="C504" s="11" t="s">
        <v>5</v>
      </c>
    </row>
    <row r="505" spans="1:3" x14ac:dyDescent="0.25">
      <c r="A505" s="11" t="s">
        <v>879</v>
      </c>
      <c r="B505" s="11" t="s">
        <v>880</v>
      </c>
      <c r="C505" s="11" t="s">
        <v>5</v>
      </c>
    </row>
    <row r="506" spans="1:3" x14ac:dyDescent="0.25">
      <c r="A506" s="11" t="s">
        <v>881</v>
      </c>
      <c r="B506" s="11" t="s">
        <v>882</v>
      </c>
      <c r="C506" s="11" t="s">
        <v>5</v>
      </c>
    </row>
    <row r="507" spans="1:3" x14ac:dyDescent="0.25">
      <c r="A507" s="11" t="s">
        <v>883</v>
      </c>
      <c r="B507" s="11" t="s">
        <v>884</v>
      </c>
      <c r="C507" s="11" t="s">
        <v>5</v>
      </c>
    </row>
    <row r="508" spans="1:3" x14ac:dyDescent="0.25">
      <c r="A508" s="11" t="s">
        <v>885</v>
      </c>
      <c r="B508" s="11" t="s">
        <v>886</v>
      </c>
      <c r="C508" s="11" t="s">
        <v>5</v>
      </c>
    </row>
    <row r="509" spans="1:3" x14ac:dyDescent="0.25">
      <c r="A509" s="11" t="s">
        <v>887</v>
      </c>
      <c r="B509" s="11" t="s">
        <v>888</v>
      </c>
      <c r="C509" s="11" t="s">
        <v>5</v>
      </c>
    </row>
    <row r="510" spans="1:3" x14ac:dyDescent="0.25">
      <c r="A510" s="11" t="s">
        <v>889</v>
      </c>
      <c r="B510" s="11" t="s">
        <v>890</v>
      </c>
      <c r="C510" s="11" t="s">
        <v>5</v>
      </c>
    </row>
    <row r="511" spans="1:3" x14ac:dyDescent="0.25">
      <c r="A511" s="11" t="s">
        <v>891</v>
      </c>
      <c r="B511" s="11" t="s">
        <v>892</v>
      </c>
      <c r="C511" s="11" t="s">
        <v>5</v>
      </c>
    </row>
    <row r="512" spans="1:3" x14ac:dyDescent="0.25">
      <c r="A512" s="11" t="s">
        <v>893</v>
      </c>
      <c r="B512" s="11" t="s">
        <v>894</v>
      </c>
      <c r="C512" s="11" t="s">
        <v>5</v>
      </c>
    </row>
    <row r="513" spans="1:3" x14ac:dyDescent="0.25">
      <c r="A513" s="11" t="s">
        <v>895</v>
      </c>
      <c r="B513" s="11" t="s">
        <v>896</v>
      </c>
      <c r="C513" s="11" t="s">
        <v>5</v>
      </c>
    </row>
    <row r="514" spans="1:3" x14ac:dyDescent="0.25">
      <c r="A514" s="11" t="s">
        <v>897</v>
      </c>
      <c r="B514" s="11" t="s">
        <v>898</v>
      </c>
      <c r="C514" s="11" t="s">
        <v>5</v>
      </c>
    </row>
    <row r="515" spans="1:3" x14ac:dyDescent="0.25">
      <c r="A515" s="11" t="s">
        <v>899</v>
      </c>
      <c r="B515" s="11" t="s">
        <v>900</v>
      </c>
      <c r="C515" s="11" t="s">
        <v>5</v>
      </c>
    </row>
    <row r="516" spans="1:3" x14ac:dyDescent="0.25">
      <c r="A516" s="11" t="s">
        <v>901</v>
      </c>
      <c r="B516" s="11" t="s">
        <v>902</v>
      </c>
      <c r="C516" s="11" t="s">
        <v>5</v>
      </c>
    </row>
    <row r="517" spans="1:3" x14ac:dyDescent="0.25">
      <c r="A517" s="11" t="s">
        <v>903</v>
      </c>
      <c r="B517" s="11" t="s">
        <v>904</v>
      </c>
      <c r="C517" s="11" t="s">
        <v>5</v>
      </c>
    </row>
    <row r="518" spans="1:3" x14ac:dyDescent="0.25">
      <c r="A518" s="11" t="s">
        <v>905</v>
      </c>
      <c r="B518" s="11" t="s">
        <v>906</v>
      </c>
      <c r="C518" s="11" t="s">
        <v>5</v>
      </c>
    </row>
    <row r="519" spans="1:3" x14ac:dyDescent="0.25">
      <c r="A519" s="11" t="s">
        <v>907</v>
      </c>
      <c r="B519" s="11" t="s">
        <v>908</v>
      </c>
      <c r="C519" s="11" t="s">
        <v>5</v>
      </c>
    </row>
    <row r="520" spans="1:3" x14ac:dyDescent="0.25">
      <c r="A520" s="10" t="s">
        <v>909</v>
      </c>
      <c r="B520" s="10" t="s">
        <v>910</v>
      </c>
      <c r="C520" s="10" t="s">
        <v>5</v>
      </c>
    </row>
    <row r="521" spans="1:3" x14ac:dyDescent="0.25">
      <c r="A521" s="8" t="s">
        <v>911</v>
      </c>
      <c r="B521" s="8" t="s">
        <v>341</v>
      </c>
      <c r="C521" s="8" t="s">
        <v>5</v>
      </c>
    </row>
    <row r="522" spans="1:3" x14ac:dyDescent="0.25">
      <c r="A522" s="12" t="s">
        <v>912</v>
      </c>
      <c r="B522" s="12" t="s">
        <v>657</v>
      </c>
      <c r="C522" s="12" t="s">
        <v>5</v>
      </c>
    </row>
    <row r="523" spans="1:3" x14ac:dyDescent="0.25">
      <c r="A523" s="8" t="s">
        <v>913</v>
      </c>
      <c r="B523" s="8" t="s">
        <v>659</v>
      </c>
      <c r="C523" s="8" t="s">
        <v>5</v>
      </c>
    </row>
    <row r="524" spans="1:3" x14ac:dyDescent="0.25">
      <c r="A524" s="8" t="s">
        <v>914</v>
      </c>
      <c r="B524" s="8" t="s">
        <v>915</v>
      </c>
      <c r="C524" s="8" t="s">
        <v>5</v>
      </c>
    </row>
    <row r="525" spans="1:3" x14ac:dyDescent="0.25">
      <c r="A525" s="8" t="s">
        <v>916</v>
      </c>
      <c r="B525" s="8" t="s">
        <v>659</v>
      </c>
      <c r="C525" s="8" t="s">
        <v>5</v>
      </c>
    </row>
    <row r="526" spans="1:3" x14ac:dyDescent="0.25">
      <c r="A526" s="12" t="s">
        <v>917</v>
      </c>
      <c r="B526" s="12" t="s">
        <v>918</v>
      </c>
      <c r="C526" s="12" t="s">
        <v>5</v>
      </c>
    </row>
    <row r="527" spans="1:3" x14ac:dyDescent="0.25">
      <c r="A527" s="8" t="s">
        <v>919</v>
      </c>
      <c r="B527" s="8" t="s">
        <v>341</v>
      </c>
      <c r="C527" s="8" t="s">
        <v>5</v>
      </c>
    </row>
    <row r="528" spans="1:3" x14ac:dyDescent="0.25">
      <c r="A528" s="11" t="s">
        <v>920</v>
      </c>
      <c r="B528" s="11" t="s">
        <v>921</v>
      </c>
      <c r="C528" s="11" t="s">
        <v>5</v>
      </c>
    </row>
    <row r="529" spans="1:3" x14ac:dyDescent="0.25">
      <c r="A529" s="8" t="s">
        <v>922</v>
      </c>
      <c r="B529" s="8" t="s">
        <v>923</v>
      </c>
      <c r="C529" s="8" t="s">
        <v>5</v>
      </c>
    </row>
    <row r="530" spans="1:3" x14ac:dyDescent="0.25">
      <c r="A530" s="11" t="s">
        <v>924</v>
      </c>
      <c r="B530" s="11" t="s">
        <v>925</v>
      </c>
      <c r="C530" s="11" t="s">
        <v>5</v>
      </c>
    </row>
    <row r="531" spans="1:3" x14ac:dyDescent="0.25">
      <c r="A531" s="11" t="s">
        <v>926</v>
      </c>
      <c r="B531" s="11" t="s">
        <v>927</v>
      </c>
      <c r="C531" s="11" t="s">
        <v>5</v>
      </c>
    </row>
    <row r="532" spans="1:3" x14ac:dyDescent="0.25">
      <c r="A532" s="11" t="s">
        <v>928</v>
      </c>
      <c r="B532" s="11" t="s">
        <v>929</v>
      </c>
      <c r="C532" s="11" t="s">
        <v>5</v>
      </c>
    </row>
    <row r="533" spans="1:3" x14ac:dyDescent="0.25">
      <c r="A533" s="11" t="s">
        <v>930</v>
      </c>
      <c r="B533" s="11" t="s">
        <v>931</v>
      </c>
      <c r="C533" s="11" t="s">
        <v>5</v>
      </c>
    </row>
    <row r="534" spans="1:3" x14ac:dyDescent="0.25">
      <c r="A534" s="11" t="s">
        <v>932</v>
      </c>
      <c r="B534" s="11" t="s">
        <v>933</v>
      </c>
      <c r="C534" s="11" t="s">
        <v>5</v>
      </c>
    </row>
    <row r="535" spans="1:3" x14ac:dyDescent="0.25">
      <c r="A535" s="11" t="s">
        <v>934</v>
      </c>
      <c r="B535" s="11" t="s">
        <v>935</v>
      </c>
      <c r="C535" s="11" t="s">
        <v>5</v>
      </c>
    </row>
    <row r="536" spans="1:3" x14ac:dyDescent="0.25">
      <c r="A536" s="8" t="s">
        <v>936</v>
      </c>
      <c r="B536" s="8" t="s">
        <v>937</v>
      </c>
      <c r="C536" s="8" t="s">
        <v>5</v>
      </c>
    </row>
    <row r="537" spans="1:3" x14ac:dyDescent="0.25">
      <c r="A537" s="11" t="s">
        <v>938</v>
      </c>
      <c r="B537" s="11" t="s">
        <v>939</v>
      </c>
      <c r="C537" s="11" t="s">
        <v>5</v>
      </c>
    </row>
    <row r="538" spans="1:3" x14ac:dyDescent="0.25">
      <c r="A538" s="11" t="s">
        <v>940</v>
      </c>
      <c r="B538" s="11" t="s">
        <v>941</v>
      </c>
      <c r="C538" s="11" t="s">
        <v>5</v>
      </c>
    </row>
    <row r="539" spans="1:3" x14ac:dyDescent="0.25">
      <c r="A539" s="10" t="s">
        <v>942</v>
      </c>
      <c r="B539" s="10" t="s">
        <v>943</v>
      </c>
      <c r="C539" s="10" t="s">
        <v>5</v>
      </c>
    </row>
    <row r="540" spans="1:3" x14ac:dyDescent="0.25">
      <c r="A540" s="13" t="s">
        <v>944</v>
      </c>
      <c r="B540" s="13" t="s">
        <v>945</v>
      </c>
      <c r="C540" s="13" t="s">
        <v>5</v>
      </c>
    </row>
    <row r="541" spans="1:3" x14ac:dyDescent="0.25">
      <c r="A541" s="11" t="s">
        <v>946</v>
      </c>
      <c r="B541" s="11" t="s">
        <v>947</v>
      </c>
      <c r="C541" s="11" t="s">
        <v>5</v>
      </c>
    </row>
    <row r="542" spans="1:3" x14ac:dyDescent="0.25">
      <c r="A542" s="13" t="s">
        <v>948</v>
      </c>
      <c r="B542" s="13" t="s">
        <v>472</v>
      </c>
      <c r="C542" s="13" t="s">
        <v>5</v>
      </c>
    </row>
    <row r="543" spans="1:3" x14ac:dyDescent="0.25">
      <c r="A543" s="11" t="s">
        <v>949</v>
      </c>
      <c r="B543" s="11" t="s">
        <v>950</v>
      </c>
      <c r="C543" s="11" t="s">
        <v>5</v>
      </c>
    </row>
    <row r="544" spans="1:3" x14ac:dyDescent="0.25">
      <c r="A544" s="11" t="s">
        <v>951</v>
      </c>
      <c r="B544" s="11" t="s">
        <v>952</v>
      </c>
      <c r="C544" s="11" t="s">
        <v>5</v>
      </c>
    </row>
    <row r="545" spans="1:3" x14ac:dyDescent="0.25">
      <c r="A545" s="11" t="s">
        <v>953</v>
      </c>
      <c r="B545" s="11" t="s">
        <v>954</v>
      </c>
      <c r="C545" s="11" t="s">
        <v>5</v>
      </c>
    </row>
    <row r="546" spans="1:3" x14ac:dyDescent="0.25">
      <c r="A546" s="13" t="s">
        <v>955</v>
      </c>
      <c r="B546" s="13" t="s">
        <v>956</v>
      </c>
      <c r="C546" s="13" t="s">
        <v>5</v>
      </c>
    </row>
    <row r="547" spans="1:3" x14ac:dyDescent="0.25">
      <c r="A547" s="11" t="s">
        <v>957</v>
      </c>
      <c r="B547" s="11" t="s">
        <v>958</v>
      </c>
      <c r="C547" s="11" t="s">
        <v>5</v>
      </c>
    </row>
    <row r="548" spans="1:3" x14ac:dyDescent="0.25">
      <c r="A548" s="11" t="s">
        <v>959</v>
      </c>
      <c r="B548" s="11" t="s">
        <v>960</v>
      </c>
      <c r="C548" s="11" t="s">
        <v>5</v>
      </c>
    </row>
    <row r="549" spans="1:3" x14ac:dyDescent="0.25">
      <c r="A549" s="13" t="s">
        <v>961</v>
      </c>
      <c r="B549" s="13" t="s">
        <v>962</v>
      </c>
      <c r="C549" s="13" t="s">
        <v>5</v>
      </c>
    </row>
    <row r="550" spans="1:3" x14ac:dyDescent="0.25">
      <c r="A550" s="11" t="s">
        <v>963</v>
      </c>
      <c r="B550" s="11" t="s">
        <v>964</v>
      </c>
      <c r="C550" s="11" t="s">
        <v>5</v>
      </c>
    </row>
    <row r="551" spans="1:3" x14ac:dyDescent="0.25">
      <c r="A551" s="11" t="s">
        <v>965</v>
      </c>
      <c r="B551" s="11" t="s">
        <v>966</v>
      </c>
      <c r="C551" s="11" t="s">
        <v>5</v>
      </c>
    </row>
    <row r="552" spans="1:3" x14ac:dyDescent="0.25">
      <c r="A552" s="13" t="s">
        <v>967</v>
      </c>
      <c r="B552" s="13" t="s">
        <v>541</v>
      </c>
      <c r="C552" s="13" t="s">
        <v>5</v>
      </c>
    </row>
    <row r="553" spans="1:3" x14ac:dyDescent="0.25">
      <c r="A553" s="11" t="s">
        <v>968</v>
      </c>
      <c r="B553" s="11" t="s">
        <v>969</v>
      </c>
      <c r="C553" s="11" t="s">
        <v>5</v>
      </c>
    </row>
    <row r="554" spans="1:3" x14ac:dyDescent="0.25">
      <c r="A554" s="11" t="s">
        <v>970</v>
      </c>
      <c r="B554" s="11" t="s">
        <v>971</v>
      </c>
      <c r="C554" s="11" t="s">
        <v>5</v>
      </c>
    </row>
    <row r="555" spans="1:3" x14ac:dyDescent="0.25">
      <c r="A555" s="11" t="s">
        <v>972</v>
      </c>
      <c r="B555" s="11" t="s">
        <v>973</v>
      </c>
      <c r="C555" s="11" t="s">
        <v>5</v>
      </c>
    </row>
    <row r="556" spans="1:3" x14ac:dyDescent="0.25">
      <c r="A556" s="10" t="s">
        <v>974</v>
      </c>
      <c r="B556" s="10" t="s">
        <v>975</v>
      </c>
      <c r="C556" s="10" t="s">
        <v>5</v>
      </c>
    </row>
    <row r="557" spans="1:3" x14ac:dyDescent="0.25">
      <c r="A557" s="8" t="s">
        <v>976</v>
      </c>
      <c r="B557" s="8" t="s">
        <v>977</v>
      </c>
      <c r="C557" s="8" t="s">
        <v>5</v>
      </c>
    </row>
    <row r="558" spans="1:3" x14ac:dyDescent="0.25">
      <c r="A558" s="11" t="s">
        <v>978</v>
      </c>
      <c r="B558" s="11" t="s">
        <v>979</v>
      </c>
      <c r="C558" s="11" t="s">
        <v>5</v>
      </c>
    </row>
    <row r="559" spans="1:3" x14ac:dyDescent="0.25">
      <c r="A559" s="8" t="s">
        <v>980</v>
      </c>
      <c r="B559" s="8" t="s">
        <v>937</v>
      </c>
      <c r="C559" s="8" t="s">
        <v>5</v>
      </c>
    </row>
    <row r="560" spans="1:3" x14ac:dyDescent="0.25">
      <c r="A560" s="11" t="s">
        <v>981</v>
      </c>
      <c r="B560" s="11" t="s">
        <v>939</v>
      </c>
      <c r="C560" s="11" t="s">
        <v>5</v>
      </c>
    </row>
    <row r="561" spans="1:3" x14ac:dyDescent="0.25">
      <c r="A561" s="11" t="s">
        <v>982</v>
      </c>
      <c r="B561" s="11" t="s">
        <v>983</v>
      </c>
      <c r="C561" s="11" t="s">
        <v>5</v>
      </c>
    </row>
    <row r="562" spans="1:3" x14ac:dyDescent="0.25">
      <c r="A562" s="10" t="s">
        <v>984</v>
      </c>
      <c r="B562" s="10" t="s">
        <v>943</v>
      </c>
      <c r="C562" s="10" t="s">
        <v>5</v>
      </c>
    </row>
    <row r="563" spans="1:3" x14ac:dyDescent="0.25">
      <c r="A563" s="13" t="s">
        <v>985</v>
      </c>
      <c r="B563" s="13" t="s">
        <v>945</v>
      </c>
      <c r="C563" s="13" t="s">
        <v>5</v>
      </c>
    </row>
    <row r="564" spans="1:3" x14ac:dyDescent="0.25">
      <c r="A564" s="11" t="s">
        <v>986</v>
      </c>
      <c r="B564" s="11" t="s">
        <v>947</v>
      </c>
      <c r="C564" s="11" t="s">
        <v>5</v>
      </c>
    </row>
    <row r="565" spans="1:3" x14ac:dyDescent="0.25">
      <c r="A565" s="13" t="s">
        <v>987</v>
      </c>
      <c r="B565" s="13" t="s">
        <v>472</v>
      </c>
      <c r="C565" s="13" t="s">
        <v>5</v>
      </c>
    </row>
    <row r="566" spans="1:3" x14ac:dyDescent="0.25">
      <c r="A566" s="11" t="s">
        <v>988</v>
      </c>
      <c r="B566" s="11" t="s">
        <v>989</v>
      </c>
      <c r="C566" s="11" t="s">
        <v>5</v>
      </c>
    </row>
    <row r="567" spans="1:3" x14ac:dyDescent="0.25">
      <c r="A567" s="10" t="s">
        <v>990</v>
      </c>
      <c r="B567" s="10" t="s">
        <v>975</v>
      </c>
      <c r="C567" s="10" t="s">
        <v>5</v>
      </c>
    </row>
    <row r="568" spans="1:3" x14ac:dyDescent="0.25">
      <c r="A568" s="8" t="s">
        <v>991</v>
      </c>
      <c r="B568" s="8" t="s">
        <v>341</v>
      </c>
      <c r="C568" s="8" t="s">
        <v>5</v>
      </c>
    </row>
    <row r="569" spans="1:3" x14ac:dyDescent="0.25">
      <c r="A569" s="12" t="s">
        <v>992</v>
      </c>
      <c r="B569" s="12" t="s">
        <v>657</v>
      </c>
      <c r="C569" s="12" t="s">
        <v>5</v>
      </c>
    </row>
    <row r="570" spans="1:3" x14ac:dyDescent="0.25">
      <c r="A570" s="8" t="s">
        <v>993</v>
      </c>
      <c r="B570" s="8" t="s">
        <v>994</v>
      </c>
      <c r="C570" s="8" t="s">
        <v>5</v>
      </c>
    </row>
    <row r="571" spans="1:3" x14ac:dyDescent="0.25">
      <c r="A571" s="8" t="s">
        <v>995</v>
      </c>
      <c r="B571" s="8" t="s">
        <v>996</v>
      </c>
      <c r="C571" s="8" t="s">
        <v>5</v>
      </c>
    </row>
    <row r="572" spans="1:3" x14ac:dyDescent="0.25">
      <c r="A572" s="8" t="s">
        <v>997</v>
      </c>
      <c r="B572" s="8" t="s">
        <v>994</v>
      </c>
      <c r="C572" s="8" t="s">
        <v>5</v>
      </c>
    </row>
    <row r="573" spans="1:3" x14ac:dyDescent="0.25">
      <c r="A573" s="12" t="s">
        <v>998</v>
      </c>
      <c r="B573" s="12" t="s">
        <v>999</v>
      </c>
      <c r="C573" s="12" t="s">
        <v>5</v>
      </c>
    </row>
    <row r="574" spans="1:3" x14ac:dyDescent="0.25">
      <c r="A574" s="11" t="s">
        <v>1000</v>
      </c>
      <c r="B574" s="11" t="s">
        <v>1001</v>
      </c>
      <c r="C574" s="11" t="s">
        <v>5</v>
      </c>
    </row>
    <row r="575" spans="1:3" x14ac:dyDescent="0.25">
      <c r="A575" s="11" t="s">
        <v>1002</v>
      </c>
      <c r="B575" s="11" t="s">
        <v>1003</v>
      </c>
      <c r="C575" s="11" t="s">
        <v>5</v>
      </c>
    </row>
    <row r="576" spans="1:3" x14ac:dyDescent="0.25">
      <c r="A576" s="10" t="s">
        <v>1004</v>
      </c>
      <c r="B576" s="10" t="s">
        <v>1005</v>
      </c>
      <c r="C576" s="10" t="s">
        <v>5</v>
      </c>
    </row>
    <row r="577" spans="1:3" x14ac:dyDescent="0.25">
      <c r="A577" s="13" t="s">
        <v>1006</v>
      </c>
      <c r="B577" s="13" t="s">
        <v>668</v>
      </c>
      <c r="C577" s="13" t="s">
        <v>5</v>
      </c>
    </row>
    <row r="578" spans="1:3" x14ac:dyDescent="0.25">
      <c r="A578" s="11" t="s">
        <v>1007</v>
      </c>
      <c r="B578" s="11" t="s">
        <v>1008</v>
      </c>
      <c r="C578" s="11" t="s">
        <v>5</v>
      </c>
    </row>
    <row r="579" spans="1:3" x14ac:dyDescent="0.25">
      <c r="A579" s="11" t="s">
        <v>1009</v>
      </c>
      <c r="B579" s="11" t="s">
        <v>1010</v>
      </c>
      <c r="C579" s="11" t="s">
        <v>5</v>
      </c>
    </row>
    <row r="580" spans="1:3" x14ac:dyDescent="0.25">
      <c r="A580" s="11" t="s">
        <v>1011</v>
      </c>
      <c r="B580" s="11" t="s">
        <v>1012</v>
      </c>
      <c r="C580" s="11" t="s">
        <v>5</v>
      </c>
    </row>
    <row r="581" spans="1:3" x14ac:dyDescent="0.25">
      <c r="A581" s="10" t="s">
        <v>1013</v>
      </c>
      <c r="B581" s="10" t="s">
        <v>1014</v>
      </c>
      <c r="C581" s="10" t="s">
        <v>5</v>
      </c>
    </row>
    <row r="582" spans="1:3" x14ac:dyDescent="0.25">
      <c r="A582" s="13" t="s">
        <v>1015</v>
      </c>
      <c r="B582" s="13" t="s">
        <v>472</v>
      </c>
      <c r="C582" s="13" t="s">
        <v>5</v>
      </c>
    </row>
    <row r="583" spans="1:3" x14ac:dyDescent="0.25">
      <c r="A583" s="12" t="s">
        <v>1016</v>
      </c>
      <c r="B583" s="12" t="s">
        <v>657</v>
      </c>
      <c r="C583" s="12" t="s">
        <v>5</v>
      </c>
    </row>
    <row r="584" spans="1:3" x14ac:dyDescent="0.25">
      <c r="A584" s="8" t="s">
        <v>1017</v>
      </c>
      <c r="B584" s="8" t="s">
        <v>659</v>
      </c>
      <c r="C584" s="8" t="s">
        <v>5</v>
      </c>
    </row>
    <row r="585" spans="1:3" x14ac:dyDescent="0.25">
      <c r="A585" s="8" t="s">
        <v>1018</v>
      </c>
      <c r="B585" s="8" t="s">
        <v>1019</v>
      </c>
      <c r="C585" s="8" t="s">
        <v>5</v>
      </c>
    </row>
    <row r="586" spans="1:3" x14ac:dyDescent="0.25">
      <c r="A586" s="8" t="s">
        <v>1020</v>
      </c>
      <c r="B586" s="8" t="s">
        <v>659</v>
      </c>
      <c r="C586" s="8" t="s">
        <v>5</v>
      </c>
    </row>
    <row r="587" spans="1:3" x14ac:dyDescent="0.25">
      <c r="A587" s="12" t="s">
        <v>1021</v>
      </c>
      <c r="B587" s="12" t="s">
        <v>1022</v>
      </c>
      <c r="C587" s="12" t="s">
        <v>5</v>
      </c>
    </row>
    <row r="588" spans="1:3" x14ac:dyDescent="0.25">
      <c r="A588" s="8" t="s">
        <v>1023</v>
      </c>
      <c r="B588" s="8" t="s">
        <v>1024</v>
      </c>
      <c r="C588" s="8" t="s">
        <v>5</v>
      </c>
    </row>
    <row r="589" spans="1:3" x14ac:dyDescent="0.25">
      <c r="A589" s="13" t="s">
        <v>1025</v>
      </c>
      <c r="B589" s="13" t="s">
        <v>1026</v>
      </c>
      <c r="C589" s="13" t="s">
        <v>5</v>
      </c>
    </row>
    <row r="590" spans="1:3" x14ac:dyDescent="0.25">
      <c r="A590" s="13" t="s">
        <v>1027</v>
      </c>
      <c r="B590" s="13" t="s">
        <v>1028</v>
      </c>
      <c r="C590" s="13" t="s">
        <v>5</v>
      </c>
    </row>
    <row r="591" spans="1:3" x14ac:dyDescent="0.25">
      <c r="A591" s="11" t="s">
        <v>1029</v>
      </c>
      <c r="B591" s="11" t="s">
        <v>439</v>
      </c>
      <c r="C591" s="11" t="s">
        <v>5</v>
      </c>
    </row>
    <row r="592" spans="1:3" x14ac:dyDescent="0.25">
      <c r="A592" s="10" t="s">
        <v>1030</v>
      </c>
      <c r="B592" s="10" t="s">
        <v>1031</v>
      </c>
      <c r="C592" s="10" t="s">
        <v>5</v>
      </c>
    </row>
    <row r="593" spans="1:3" x14ac:dyDescent="0.25">
      <c r="A593" s="10" t="s">
        <v>1032</v>
      </c>
      <c r="B593" s="10" t="s">
        <v>1033</v>
      </c>
      <c r="C593" s="10" t="s">
        <v>5</v>
      </c>
    </row>
    <row r="594" spans="1:3" x14ac:dyDescent="0.25">
      <c r="A594" s="13" t="s">
        <v>1034</v>
      </c>
      <c r="B594" s="13" t="s">
        <v>1035</v>
      </c>
      <c r="C594" s="13" t="s">
        <v>5</v>
      </c>
    </row>
    <row r="595" spans="1:3" x14ac:dyDescent="0.25">
      <c r="A595" s="8" t="s">
        <v>1036</v>
      </c>
      <c r="B595" s="8" t="s">
        <v>1037</v>
      </c>
      <c r="C595" s="8" t="s">
        <v>5</v>
      </c>
    </row>
    <row r="596" spans="1:3" x14ac:dyDescent="0.25">
      <c r="A596" s="13" t="s">
        <v>1038</v>
      </c>
      <c r="B596" s="13" t="s">
        <v>705</v>
      </c>
      <c r="C596" s="13" t="s">
        <v>5</v>
      </c>
    </row>
    <row r="597" spans="1:3" x14ac:dyDescent="0.25">
      <c r="A597" s="12" t="s">
        <v>1039</v>
      </c>
      <c r="B597" s="12" t="s">
        <v>447</v>
      </c>
      <c r="C597" s="12" t="s">
        <v>5</v>
      </c>
    </row>
    <row r="598" spans="1:3" x14ac:dyDescent="0.25">
      <c r="A598" s="13" t="s">
        <v>1040</v>
      </c>
      <c r="B598" s="13" t="s">
        <v>602</v>
      </c>
      <c r="C598" s="13" t="s">
        <v>5</v>
      </c>
    </row>
    <row r="599" spans="1:3" x14ac:dyDescent="0.25">
      <c r="A599" s="10" t="s">
        <v>1041</v>
      </c>
      <c r="B599" s="10" t="s">
        <v>1042</v>
      </c>
      <c r="C599" s="10" t="s">
        <v>5</v>
      </c>
    </row>
    <row r="600" spans="1:3" x14ac:dyDescent="0.25">
      <c r="A600" s="13" t="s">
        <v>1043</v>
      </c>
      <c r="B600" s="13" t="s">
        <v>1044</v>
      </c>
      <c r="C600" s="13" t="s">
        <v>5</v>
      </c>
    </row>
    <row r="601" spans="1:3" x14ac:dyDescent="0.25">
      <c r="A601" s="11" t="s">
        <v>1045</v>
      </c>
      <c r="B601" s="11" t="s">
        <v>1046</v>
      </c>
      <c r="C601" s="11" t="s">
        <v>5</v>
      </c>
    </row>
    <row r="602" spans="1:3" x14ac:dyDescent="0.25">
      <c r="A602" s="13" t="s">
        <v>1047</v>
      </c>
      <c r="B602" s="13" t="s">
        <v>672</v>
      </c>
      <c r="C602" s="13" t="s">
        <v>5</v>
      </c>
    </row>
    <row r="603" spans="1:3" x14ac:dyDescent="0.25">
      <c r="A603" s="11" t="s">
        <v>1048</v>
      </c>
      <c r="B603" s="11" t="s">
        <v>1049</v>
      </c>
      <c r="C603" s="11" t="s">
        <v>5</v>
      </c>
    </row>
    <row r="604" spans="1:3" x14ac:dyDescent="0.25">
      <c r="A604" s="13" t="s">
        <v>1050</v>
      </c>
      <c r="B604" s="13" t="s">
        <v>472</v>
      </c>
      <c r="C604" s="13" t="s">
        <v>5</v>
      </c>
    </row>
    <row r="605" spans="1:3" x14ac:dyDescent="0.25">
      <c r="A605" s="10" t="s">
        <v>1051</v>
      </c>
      <c r="B605" s="10" t="s">
        <v>1052</v>
      </c>
      <c r="C605" s="10" t="s">
        <v>5</v>
      </c>
    </row>
    <row r="606" spans="1:3" x14ac:dyDescent="0.25">
      <c r="A606" s="8" t="s">
        <v>1053</v>
      </c>
      <c r="B606" s="8" t="s">
        <v>1054</v>
      </c>
      <c r="C606" s="8" t="s">
        <v>5</v>
      </c>
    </row>
    <row r="607" spans="1:3" x14ac:dyDescent="0.25">
      <c r="A607" s="12" t="s">
        <v>1055</v>
      </c>
      <c r="B607" s="12" t="s">
        <v>604</v>
      </c>
      <c r="C607" s="12" t="s">
        <v>5</v>
      </c>
    </row>
    <row r="608" spans="1:3" x14ac:dyDescent="0.25">
      <c r="A608" s="12" t="s">
        <v>1056</v>
      </c>
      <c r="B608" s="12" t="s">
        <v>606</v>
      </c>
      <c r="C608" s="12" t="s">
        <v>5</v>
      </c>
    </row>
    <row r="609" spans="1:3" x14ac:dyDescent="0.25">
      <c r="A609" s="8" t="s">
        <v>1057</v>
      </c>
      <c r="B609" s="8" t="s">
        <v>341</v>
      </c>
      <c r="C609" s="8" t="s">
        <v>5</v>
      </c>
    </row>
    <row r="610" spans="1:3" x14ac:dyDescent="0.25">
      <c r="A610" s="13" t="s">
        <v>1058</v>
      </c>
      <c r="B610" s="13" t="s">
        <v>472</v>
      </c>
      <c r="C610" s="13" t="s">
        <v>5</v>
      </c>
    </row>
    <row r="611" spans="1:3" x14ac:dyDescent="0.25">
      <c r="A611" s="13" t="s">
        <v>1059</v>
      </c>
      <c r="B611" s="13" t="s">
        <v>472</v>
      </c>
      <c r="C611" s="13" t="s">
        <v>5</v>
      </c>
    </row>
    <row r="612" spans="1:3" x14ac:dyDescent="0.25">
      <c r="A612" s="10" t="s">
        <v>1060</v>
      </c>
      <c r="B612" s="10" t="s">
        <v>1033</v>
      </c>
      <c r="C612" s="10" t="s">
        <v>5</v>
      </c>
    </row>
    <row r="613" spans="1:3" x14ac:dyDescent="0.25">
      <c r="A613" s="13" t="s">
        <v>1061</v>
      </c>
      <c r="B613" s="13" t="s">
        <v>476</v>
      </c>
      <c r="C613" s="13" t="s">
        <v>5</v>
      </c>
    </row>
    <row r="614" spans="1:3" x14ac:dyDescent="0.25">
      <c r="A614" s="13" t="s">
        <v>1062</v>
      </c>
      <c r="B614" s="13" t="s">
        <v>472</v>
      </c>
      <c r="C614" s="13" t="s">
        <v>5</v>
      </c>
    </row>
    <row r="615" spans="1:3" x14ac:dyDescent="0.25">
      <c r="A615" s="12" t="s">
        <v>1063</v>
      </c>
      <c r="B615" s="12" t="s">
        <v>657</v>
      </c>
      <c r="C615" s="12" t="s">
        <v>5</v>
      </c>
    </row>
    <row r="616" spans="1:3" x14ac:dyDescent="0.25">
      <c r="A616" s="8" t="s">
        <v>1064</v>
      </c>
      <c r="B616" s="8" t="s">
        <v>659</v>
      </c>
      <c r="C616" s="8" t="s">
        <v>5</v>
      </c>
    </row>
    <row r="617" spans="1:3" x14ac:dyDescent="0.25">
      <c r="A617" s="8" t="s">
        <v>1065</v>
      </c>
      <c r="B617" s="8" t="s">
        <v>424</v>
      </c>
      <c r="C617" s="8" t="s">
        <v>5</v>
      </c>
    </row>
    <row r="618" spans="1:3" x14ac:dyDescent="0.25">
      <c r="A618" s="8" t="s">
        <v>1066</v>
      </c>
      <c r="B618" s="8" t="s">
        <v>659</v>
      </c>
      <c r="C618" s="8" t="s">
        <v>5</v>
      </c>
    </row>
    <row r="619" spans="1:3" x14ac:dyDescent="0.25">
      <c r="A619" s="12" t="s">
        <v>1067</v>
      </c>
      <c r="B619" s="12" t="s">
        <v>1068</v>
      </c>
      <c r="C619" s="12" t="s">
        <v>5</v>
      </c>
    </row>
    <row r="620" spans="1:3" x14ac:dyDescent="0.25">
      <c r="A620" s="11" t="s">
        <v>1069</v>
      </c>
      <c r="B620" s="11" t="s">
        <v>1070</v>
      </c>
      <c r="C620" s="11" t="s">
        <v>5</v>
      </c>
    </row>
    <row r="621" spans="1:3" x14ac:dyDescent="0.25">
      <c r="A621" s="11" t="s">
        <v>1071</v>
      </c>
      <c r="B621" s="11" t="s">
        <v>1072</v>
      </c>
      <c r="C621" s="11" t="s">
        <v>5</v>
      </c>
    </row>
    <row r="622" spans="1:3" x14ac:dyDescent="0.25">
      <c r="A622" s="11" t="s">
        <v>1073</v>
      </c>
      <c r="B622" s="11" t="s">
        <v>1074</v>
      </c>
      <c r="C622" s="11" t="s">
        <v>5</v>
      </c>
    </row>
    <row r="623" spans="1:3" x14ac:dyDescent="0.25">
      <c r="A623" s="11" t="s">
        <v>1075</v>
      </c>
      <c r="B623" s="11" t="s">
        <v>1076</v>
      </c>
      <c r="C623" s="11" t="s">
        <v>5</v>
      </c>
    </row>
    <row r="624" spans="1:3" x14ac:dyDescent="0.25">
      <c r="A624" s="11" t="s">
        <v>1077</v>
      </c>
      <c r="B624" s="11" t="s">
        <v>1078</v>
      </c>
      <c r="C624" s="11" t="s">
        <v>5</v>
      </c>
    </row>
    <row r="625" spans="1:3" x14ac:dyDescent="0.25">
      <c r="A625" s="11" t="s">
        <v>1079</v>
      </c>
      <c r="B625" s="11" t="s">
        <v>1080</v>
      </c>
      <c r="C625" s="11" t="s">
        <v>5</v>
      </c>
    </row>
    <row r="626" spans="1:3" x14ac:dyDescent="0.25">
      <c r="A626" s="11" t="s">
        <v>1081</v>
      </c>
      <c r="B626" s="11" t="s">
        <v>1082</v>
      </c>
      <c r="C626" s="11" t="s">
        <v>5</v>
      </c>
    </row>
    <row r="627" spans="1:3" x14ac:dyDescent="0.25">
      <c r="A627" s="8" t="s">
        <v>1083</v>
      </c>
      <c r="B627" s="8" t="s">
        <v>1084</v>
      </c>
      <c r="C627" s="8" t="s">
        <v>5</v>
      </c>
    </row>
    <row r="628" spans="1:3" x14ac:dyDescent="0.25">
      <c r="A628" s="11" t="s">
        <v>1085</v>
      </c>
      <c r="B628" s="11" t="s">
        <v>1086</v>
      </c>
      <c r="C628" s="11" t="s">
        <v>5</v>
      </c>
    </row>
    <row r="629" spans="1:3" x14ac:dyDescent="0.25">
      <c r="A629" s="11" t="s">
        <v>1087</v>
      </c>
      <c r="B629" s="11" t="s">
        <v>1088</v>
      </c>
      <c r="C629" s="11" t="s">
        <v>5</v>
      </c>
    </row>
    <row r="630" spans="1:3" x14ac:dyDescent="0.25">
      <c r="A630" s="11" t="s">
        <v>1089</v>
      </c>
      <c r="B630" s="11" t="s">
        <v>1090</v>
      </c>
      <c r="C630" s="11" t="s">
        <v>5</v>
      </c>
    </row>
    <row r="631" spans="1:3" x14ac:dyDescent="0.25">
      <c r="A631" s="11" t="s">
        <v>1091</v>
      </c>
      <c r="B631" s="11" t="s">
        <v>1092</v>
      </c>
      <c r="C631" s="11" t="s">
        <v>5</v>
      </c>
    </row>
    <row r="632" spans="1:3" x14ac:dyDescent="0.25">
      <c r="A632" s="11" t="s">
        <v>1093</v>
      </c>
      <c r="B632" s="11" t="s">
        <v>1094</v>
      </c>
      <c r="C632" s="11" t="s">
        <v>5</v>
      </c>
    </row>
    <row r="633" spans="1:3" x14ac:dyDescent="0.25">
      <c r="A633" s="11" t="s">
        <v>1095</v>
      </c>
      <c r="B633" s="11" t="s">
        <v>1096</v>
      </c>
      <c r="C633" s="11" t="s">
        <v>5</v>
      </c>
    </row>
    <row r="634" spans="1:3" x14ac:dyDescent="0.25">
      <c r="A634" s="8" t="s">
        <v>1097</v>
      </c>
      <c r="B634" s="8" t="s">
        <v>692</v>
      </c>
      <c r="C634" s="8" t="s">
        <v>5</v>
      </c>
    </row>
    <row r="635" spans="1:3" x14ac:dyDescent="0.25">
      <c r="A635" s="11" t="s">
        <v>1098</v>
      </c>
      <c r="B635" s="11" t="s">
        <v>1099</v>
      </c>
      <c r="C635" s="11" t="s">
        <v>5</v>
      </c>
    </row>
    <row r="636" spans="1:3" x14ac:dyDescent="0.25">
      <c r="A636" s="11" t="s">
        <v>1100</v>
      </c>
      <c r="B636" s="11" t="s">
        <v>1101</v>
      </c>
      <c r="C636" s="11" t="s">
        <v>5</v>
      </c>
    </row>
    <row r="637" spans="1:3" x14ac:dyDescent="0.25">
      <c r="A637" s="11" t="s">
        <v>1102</v>
      </c>
      <c r="B637" s="11" t="s">
        <v>1103</v>
      </c>
      <c r="C637" s="11" t="s">
        <v>5</v>
      </c>
    </row>
    <row r="638" spans="1:3" x14ac:dyDescent="0.25">
      <c r="A638" s="11" t="s">
        <v>1104</v>
      </c>
      <c r="B638" s="11" t="s">
        <v>1105</v>
      </c>
      <c r="C638" s="11" t="s">
        <v>5</v>
      </c>
    </row>
    <row r="639" spans="1:3" x14ac:dyDescent="0.25">
      <c r="A639" s="11" t="s">
        <v>1106</v>
      </c>
      <c r="B639" s="11" t="s">
        <v>1107</v>
      </c>
      <c r="C639" s="11" t="s">
        <v>5</v>
      </c>
    </row>
    <row r="640" spans="1:3" x14ac:dyDescent="0.25">
      <c r="A640" s="11" t="s">
        <v>1108</v>
      </c>
      <c r="B640" s="11" t="s">
        <v>1109</v>
      </c>
      <c r="C640" s="11" t="s">
        <v>5</v>
      </c>
    </row>
    <row r="641" spans="1:3" x14ac:dyDescent="0.25">
      <c r="A641" s="11" t="s">
        <v>1110</v>
      </c>
      <c r="B641" s="11" t="s">
        <v>1111</v>
      </c>
      <c r="C641" s="11" t="s">
        <v>5</v>
      </c>
    </row>
    <row r="642" spans="1:3" x14ac:dyDescent="0.25">
      <c r="A642" s="11" t="s">
        <v>1112</v>
      </c>
      <c r="B642" s="11" t="s">
        <v>1113</v>
      </c>
      <c r="C642" s="11" t="s">
        <v>5</v>
      </c>
    </row>
    <row r="643" spans="1:3" x14ac:dyDescent="0.25">
      <c r="A643" s="8" t="s">
        <v>1114</v>
      </c>
      <c r="B643" s="8" t="s">
        <v>692</v>
      </c>
      <c r="C643" s="8" t="s">
        <v>5</v>
      </c>
    </row>
    <row r="644" spans="1:3" x14ac:dyDescent="0.25">
      <c r="A644" s="11" t="s">
        <v>1115</v>
      </c>
      <c r="B644" s="11" t="s">
        <v>1116</v>
      </c>
      <c r="C644" s="11" t="s">
        <v>5</v>
      </c>
    </row>
    <row r="645" spans="1:3" x14ac:dyDescent="0.25">
      <c r="A645" s="11" t="s">
        <v>1117</v>
      </c>
      <c r="B645" s="11" t="s">
        <v>1118</v>
      </c>
      <c r="C645" s="11" t="s">
        <v>5</v>
      </c>
    </row>
    <row r="646" spans="1:3" x14ac:dyDescent="0.25">
      <c r="A646" s="11" t="s">
        <v>1119</v>
      </c>
      <c r="B646" s="11" t="s">
        <v>1120</v>
      </c>
      <c r="C646" s="11" t="s">
        <v>5</v>
      </c>
    </row>
    <row r="647" spans="1:3" x14ac:dyDescent="0.25">
      <c r="A647" s="8" t="s">
        <v>1121</v>
      </c>
      <c r="B647" s="8" t="s">
        <v>692</v>
      </c>
      <c r="C647" s="8" t="s">
        <v>5</v>
      </c>
    </row>
    <row r="648" spans="1:3" x14ac:dyDescent="0.25">
      <c r="A648" s="11" t="s">
        <v>1122</v>
      </c>
      <c r="B648" s="11" t="s">
        <v>1123</v>
      </c>
      <c r="C648" s="11" t="s">
        <v>5</v>
      </c>
    </row>
    <row r="649" spans="1:3" x14ac:dyDescent="0.25">
      <c r="A649" s="11" t="s">
        <v>1124</v>
      </c>
      <c r="B649" s="11" t="s">
        <v>1125</v>
      </c>
      <c r="C649" s="11" t="s">
        <v>5</v>
      </c>
    </row>
    <row r="650" spans="1:3" x14ac:dyDescent="0.25">
      <c r="A650" s="11" t="s">
        <v>1126</v>
      </c>
      <c r="B650" s="11" t="s">
        <v>1127</v>
      </c>
      <c r="C650" s="11" t="s">
        <v>5</v>
      </c>
    </row>
    <row r="651" spans="1:3" x14ac:dyDescent="0.25">
      <c r="A651" s="8" t="s">
        <v>1128</v>
      </c>
      <c r="B651" s="8" t="s">
        <v>692</v>
      </c>
      <c r="C651" s="8" t="s">
        <v>5</v>
      </c>
    </row>
    <row r="652" spans="1:3" x14ac:dyDescent="0.25">
      <c r="A652" s="11" t="s">
        <v>1129</v>
      </c>
      <c r="B652" s="11" t="s">
        <v>1130</v>
      </c>
      <c r="C652" s="11" t="s">
        <v>5</v>
      </c>
    </row>
    <row r="653" spans="1:3" x14ac:dyDescent="0.25">
      <c r="A653" s="11" t="s">
        <v>1131</v>
      </c>
      <c r="B653" s="11" t="s">
        <v>1132</v>
      </c>
      <c r="C653" s="11" t="s">
        <v>5</v>
      </c>
    </row>
    <row r="654" spans="1:3" x14ac:dyDescent="0.25">
      <c r="A654" s="11" t="s">
        <v>1133</v>
      </c>
      <c r="B654" s="11" t="s">
        <v>1134</v>
      </c>
      <c r="C654" s="11" t="s">
        <v>5</v>
      </c>
    </row>
    <row r="655" spans="1:3" x14ac:dyDescent="0.25">
      <c r="A655" s="11" t="s">
        <v>1135</v>
      </c>
      <c r="B655" s="11" t="s">
        <v>1136</v>
      </c>
      <c r="C655" s="11" t="s">
        <v>5</v>
      </c>
    </row>
    <row r="656" spans="1:3" x14ac:dyDescent="0.25">
      <c r="A656" s="11" t="s">
        <v>1137</v>
      </c>
      <c r="B656" s="11" t="s">
        <v>1138</v>
      </c>
      <c r="C656" s="11" t="s">
        <v>5</v>
      </c>
    </row>
    <row r="657" spans="1:3" x14ac:dyDescent="0.25">
      <c r="A657" s="8" t="s">
        <v>1139</v>
      </c>
      <c r="B657" s="8" t="s">
        <v>1140</v>
      </c>
      <c r="C657" s="8" t="s">
        <v>5</v>
      </c>
    </row>
    <row r="658" spans="1:3" x14ac:dyDescent="0.25">
      <c r="A658" s="11" t="s">
        <v>1141</v>
      </c>
      <c r="B658" s="11" t="s">
        <v>1142</v>
      </c>
      <c r="C658" s="11" t="s">
        <v>5</v>
      </c>
    </row>
    <row r="659" spans="1:3" x14ac:dyDescent="0.25">
      <c r="A659" s="11" t="s">
        <v>1143</v>
      </c>
      <c r="B659" s="11" t="s">
        <v>1144</v>
      </c>
      <c r="C659" s="11" t="s">
        <v>5</v>
      </c>
    </row>
    <row r="660" spans="1:3" x14ac:dyDescent="0.25">
      <c r="A660" s="8" t="s">
        <v>1145</v>
      </c>
      <c r="B660" s="8" t="s">
        <v>692</v>
      </c>
      <c r="C660" s="8" t="s">
        <v>5</v>
      </c>
    </row>
    <row r="661" spans="1:3" x14ac:dyDescent="0.25">
      <c r="A661" s="11" t="s">
        <v>1146</v>
      </c>
      <c r="B661" s="11" t="s">
        <v>1147</v>
      </c>
      <c r="C661" s="11" t="s">
        <v>5</v>
      </c>
    </row>
    <row r="662" spans="1:3" x14ac:dyDescent="0.25">
      <c r="A662" s="11" t="s">
        <v>1148</v>
      </c>
      <c r="B662" s="11" t="s">
        <v>1149</v>
      </c>
      <c r="C662" s="11" t="s">
        <v>5</v>
      </c>
    </row>
    <row r="663" spans="1:3" x14ac:dyDescent="0.25">
      <c r="A663" s="11" t="s">
        <v>1150</v>
      </c>
      <c r="B663" s="11" t="s">
        <v>1151</v>
      </c>
      <c r="C663" s="11" t="s">
        <v>5</v>
      </c>
    </row>
    <row r="664" spans="1:3" x14ac:dyDescent="0.25">
      <c r="A664" s="11" t="s">
        <v>1152</v>
      </c>
      <c r="B664" s="11" t="s">
        <v>1153</v>
      </c>
      <c r="C664" s="11" t="s">
        <v>5</v>
      </c>
    </row>
    <row r="665" spans="1:3" x14ac:dyDescent="0.25">
      <c r="A665" s="11" t="s">
        <v>1154</v>
      </c>
      <c r="B665" s="11" t="s">
        <v>1155</v>
      </c>
      <c r="C665" s="11" t="s">
        <v>5</v>
      </c>
    </row>
    <row r="666" spans="1:3" x14ac:dyDescent="0.25">
      <c r="A666" s="11" t="s">
        <v>1156</v>
      </c>
      <c r="B666" s="11" t="s">
        <v>1157</v>
      </c>
      <c r="C666" s="11" t="s">
        <v>5</v>
      </c>
    </row>
    <row r="667" spans="1:3" x14ac:dyDescent="0.25">
      <c r="A667" s="11" t="s">
        <v>1158</v>
      </c>
      <c r="B667" s="11" t="s">
        <v>1159</v>
      </c>
      <c r="C667" s="11" t="s">
        <v>5</v>
      </c>
    </row>
    <row r="668" spans="1:3" x14ac:dyDescent="0.25">
      <c r="A668" s="11" t="s">
        <v>1160</v>
      </c>
      <c r="B668" s="11" t="s">
        <v>1161</v>
      </c>
      <c r="C668" s="11" t="s">
        <v>5</v>
      </c>
    </row>
    <row r="669" spans="1:3" x14ac:dyDescent="0.25">
      <c r="A669" s="11" t="s">
        <v>1162</v>
      </c>
      <c r="B669" s="11" t="s">
        <v>1163</v>
      </c>
      <c r="C669" s="11" t="s">
        <v>5</v>
      </c>
    </row>
    <row r="670" spans="1:3" x14ac:dyDescent="0.25">
      <c r="A670" s="8" t="s">
        <v>1164</v>
      </c>
      <c r="B670" s="8" t="s">
        <v>424</v>
      </c>
      <c r="C670" s="8" t="s">
        <v>5</v>
      </c>
    </row>
    <row r="671" spans="1:3" x14ac:dyDescent="0.25">
      <c r="A671" s="9" t="s">
        <v>1165</v>
      </c>
      <c r="B671" s="9" t="s">
        <v>1166</v>
      </c>
      <c r="C671" s="9" t="s">
        <v>5</v>
      </c>
    </row>
    <row r="672" spans="1:3" x14ac:dyDescent="0.25">
      <c r="A672" s="11" t="s">
        <v>1167</v>
      </c>
      <c r="B672" s="11" t="s">
        <v>1168</v>
      </c>
      <c r="C672" s="11" t="s">
        <v>5</v>
      </c>
    </row>
    <row r="673" spans="1:3" x14ac:dyDescent="0.25">
      <c r="A673" s="11" t="s">
        <v>1169</v>
      </c>
      <c r="B673" s="11" t="s">
        <v>1170</v>
      </c>
      <c r="C673" s="11" t="s">
        <v>5</v>
      </c>
    </row>
    <row r="674" spans="1:3" x14ac:dyDescent="0.25">
      <c r="A674" s="9" t="s">
        <v>1171</v>
      </c>
      <c r="B674" s="9" t="s">
        <v>1172</v>
      </c>
      <c r="C674" s="9" t="s">
        <v>5</v>
      </c>
    </row>
    <row r="675" spans="1:3" x14ac:dyDescent="0.25">
      <c r="A675" s="11" t="s">
        <v>1173</v>
      </c>
      <c r="B675" s="11" t="s">
        <v>1174</v>
      </c>
      <c r="C675" s="11" t="s">
        <v>5</v>
      </c>
    </row>
    <row r="676" spans="1:3" x14ac:dyDescent="0.25">
      <c r="A676" s="11" t="s">
        <v>1175</v>
      </c>
      <c r="B676" s="11" t="s">
        <v>1176</v>
      </c>
      <c r="C676" s="11" t="s">
        <v>5</v>
      </c>
    </row>
    <row r="677" spans="1:3" x14ac:dyDescent="0.25">
      <c r="A677" s="11" t="s">
        <v>1177</v>
      </c>
      <c r="B677" s="11" t="s">
        <v>1178</v>
      </c>
      <c r="C677" s="11" t="s">
        <v>5</v>
      </c>
    </row>
    <row r="678" spans="1:3" x14ac:dyDescent="0.25">
      <c r="A678" s="11" t="s">
        <v>1179</v>
      </c>
      <c r="B678" s="11" t="s">
        <v>1180</v>
      </c>
      <c r="C678" s="11" t="s">
        <v>5</v>
      </c>
    </row>
    <row r="679" spans="1:3" x14ac:dyDescent="0.25">
      <c r="A679" s="8" t="s">
        <v>1181</v>
      </c>
      <c r="B679" s="8" t="s">
        <v>424</v>
      </c>
      <c r="C679" s="8" t="s">
        <v>5</v>
      </c>
    </row>
    <row r="680" spans="1:3" x14ac:dyDescent="0.25">
      <c r="A680" s="12" t="s">
        <v>1182</v>
      </c>
      <c r="B680" s="12" t="s">
        <v>1183</v>
      </c>
      <c r="C680" s="12" t="s">
        <v>5</v>
      </c>
    </row>
    <row r="681" spans="1:3" x14ac:dyDescent="0.25">
      <c r="A681" s="12" t="s">
        <v>1184</v>
      </c>
      <c r="B681" s="12" t="s">
        <v>1185</v>
      </c>
      <c r="C681" s="12" t="s">
        <v>5</v>
      </c>
    </row>
    <row r="682" spans="1:3" x14ac:dyDescent="0.25">
      <c r="A682" s="12" t="s">
        <v>1186</v>
      </c>
      <c r="B682" s="12" t="s">
        <v>657</v>
      </c>
      <c r="C682" s="12" t="s">
        <v>5</v>
      </c>
    </row>
    <row r="683" spans="1:3" x14ac:dyDescent="0.25">
      <c r="A683" s="8" t="s">
        <v>1187</v>
      </c>
      <c r="B683" s="8" t="s">
        <v>1188</v>
      </c>
      <c r="C683" s="8" t="s">
        <v>5</v>
      </c>
    </row>
    <row r="684" spans="1:3" x14ac:dyDescent="0.25">
      <c r="A684" s="8" t="s">
        <v>1189</v>
      </c>
      <c r="B684" s="8" t="s">
        <v>1190</v>
      </c>
      <c r="C684" s="8" t="s">
        <v>5</v>
      </c>
    </row>
    <row r="685" spans="1:3" x14ac:dyDescent="0.25">
      <c r="A685" s="8" t="s">
        <v>1191</v>
      </c>
      <c r="B685" s="8" t="s">
        <v>1188</v>
      </c>
      <c r="C685" s="8" t="s">
        <v>5</v>
      </c>
    </row>
    <row r="686" spans="1:3" x14ac:dyDescent="0.25">
      <c r="A686" s="12" t="s">
        <v>1192</v>
      </c>
      <c r="B686" s="12" t="s">
        <v>1193</v>
      </c>
      <c r="C686" s="12" t="s">
        <v>5</v>
      </c>
    </row>
    <row r="687" spans="1:3" x14ac:dyDescent="0.25">
      <c r="A687" s="13" t="s">
        <v>1194</v>
      </c>
      <c r="B687" s="13" t="s">
        <v>1195</v>
      </c>
      <c r="C687" s="13" t="s">
        <v>5</v>
      </c>
    </row>
    <row r="688" spans="1:3" x14ac:dyDescent="0.25">
      <c r="A688" s="11" t="s">
        <v>1196</v>
      </c>
      <c r="B688" s="11" t="s">
        <v>427</v>
      </c>
      <c r="C688" s="11" t="s">
        <v>5</v>
      </c>
    </row>
    <row r="689" spans="1:3" x14ac:dyDescent="0.25">
      <c r="A689" s="10" t="s">
        <v>1197</v>
      </c>
      <c r="B689" s="10" t="s">
        <v>1198</v>
      </c>
      <c r="C689" s="10" t="s">
        <v>5</v>
      </c>
    </row>
    <row r="690" spans="1:3" x14ac:dyDescent="0.25">
      <c r="A690" s="11" t="s">
        <v>1199</v>
      </c>
      <c r="B690" s="11" t="s">
        <v>431</v>
      </c>
      <c r="C690" s="11" t="s">
        <v>5</v>
      </c>
    </row>
    <row r="691" spans="1:3" x14ac:dyDescent="0.25">
      <c r="A691" s="11" t="s">
        <v>1200</v>
      </c>
      <c r="B691" s="11" t="s">
        <v>1201</v>
      </c>
      <c r="C691" s="11" t="s">
        <v>5</v>
      </c>
    </row>
    <row r="692" spans="1:3" x14ac:dyDescent="0.25">
      <c r="A692" s="11" t="s">
        <v>1202</v>
      </c>
      <c r="B692" s="11" t="s">
        <v>1203</v>
      </c>
      <c r="C692" s="11" t="s">
        <v>5</v>
      </c>
    </row>
    <row r="693" spans="1:3" x14ac:dyDescent="0.25">
      <c r="A693" s="11" t="s">
        <v>1204</v>
      </c>
      <c r="B693" s="11" t="s">
        <v>1205</v>
      </c>
      <c r="C693" s="11" t="s">
        <v>5</v>
      </c>
    </row>
    <row r="694" spans="1:3" x14ac:dyDescent="0.25">
      <c r="A694" s="11" t="s">
        <v>1206</v>
      </c>
      <c r="B694" s="11" t="s">
        <v>1207</v>
      </c>
      <c r="C694" s="11" t="s">
        <v>5</v>
      </c>
    </row>
    <row r="695" spans="1:3" x14ac:dyDescent="0.25">
      <c r="A695" s="11" t="s">
        <v>1208</v>
      </c>
      <c r="B695" s="11" t="s">
        <v>1209</v>
      </c>
      <c r="C695" s="11" t="s">
        <v>5</v>
      </c>
    </row>
    <row r="696" spans="1:3" x14ac:dyDescent="0.25">
      <c r="A696" s="11" t="s">
        <v>1210</v>
      </c>
      <c r="B696" s="11" t="s">
        <v>1211</v>
      </c>
      <c r="C696" s="11" t="s">
        <v>5</v>
      </c>
    </row>
    <row r="697" spans="1:3" x14ac:dyDescent="0.25">
      <c r="A697" s="11" t="s">
        <v>1212</v>
      </c>
      <c r="B697" s="11" t="s">
        <v>1213</v>
      </c>
      <c r="C697" s="11" t="s">
        <v>5</v>
      </c>
    </row>
    <row r="698" spans="1:3" x14ac:dyDescent="0.25">
      <c r="A698" s="11" t="s">
        <v>1214</v>
      </c>
      <c r="B698" s="11" t="s">
        <v>1215</v>
      </c>
      <c r="C698" s="11" t="s">
        <v>5</v>
      </c>
    </row>
    <row r="699" spans="1:3" x14ac:dyDescent="0.25">
      <c r="A699" s="11" t="s">
        <v>1216</v>
      </c>
      <c r="B699" s="11" t="s">
        <v>1217</v>
      </c>
      <c r="C699" s="11" t="s">
        <v>5</v>
      </c>
    </row>
    <row r="700" spans="1:3" x14ac:dyDescent="0.25">
      <c r="A700" s="11" t="s">
        <v>1218</v>
      </c>
      <c r="B700" s="11" t="s">
        <v>1219</v>
      </c>
      <c r="C700" s="11" t="s">
        <v>5</v>
      </c>
    </row>
    <row r="701" spans="1:3" x14ac:dyDescent="0.25">
      <c r="A701" s="11" t="s">
        <v>1220</v>
      </c>
      <c r="B701" s="11" t="s">
        <v>1221</v>
      </c>
      <c r="C701" s="11" t="s">
        <v>5</v>
      </c>
    </row>
    <row r="702" spans="1:3" x14ac:dyDescent="0.25">
      <c r="A702" s="11" t="s">
        <v>1222</v>
      </c>
      <c r="B702" s="11" t="s">
        <v>427</v>
      </c>
      <c r="C702" s="11" t="s">
        <v>5</v>
      </c>
    </row>
    <row r="703" spans="1:3" x14ac:dyDescent="0.25">
      <c r="A703" s="10" t="s">
        <v>1223</v>
      </c>
      <c r="B703" s="10" t="s">
        <v>1224</v>
      </c>
      <c r="C703" s="10" t="s">
        <v>5</v>
      </c>
    </row>
    <row r="704" spans="1:3" x14ac:dyDescent="0.25">
      <c r="A704" s="11" t="s">
        <v>1225</v>
      </c>
      <c r="B704" s="11" t="s">
        <v>431</v>
      </c>
      <c r="C704" s="11" t="s">
        <v>5</v>
      </c>
    </row>
    <row r="705" spans="1:3" x14ac:dyDescent="0.25">
      <c r="A705" s="8" t="s">
        <v>1226</v>
      </c>
      <c r="B705" s="8" t="s">
        <v>424</v>
      </c>
      <c r="C705" s="8" t="s">
        <v>5</v>
      </c>
    </row>
    <row r="706" spans="1:3" x14ac:dyDescent="0.25">
      <c r="A706" s="11" t="s">
        <v>1227</v>
      </c>
      <c r="B706" s="11" t="s">
        <v>427</v>
      </c>
      <c r="C706" s="11" t="s">
        <v>5</v>
      </c>
    </row>
    <row r="707" spans="1:3" x14ac:dyDescent="0.25">
      <c r="A707" s="11" t="s">
        <v>1228</v>
      </c>
      <c r="B707" s="11" t="s">
        <v>1229</v>
      </c>
      <c r="C707" s="11" t="s">
        <v>5</v>
      </c>
    </row>
    <row r="708" spans="1:3" x14ac:dyDescent="0.25">
      <c r="A708" s="11" t="s">
        <v>1230</v>
      </c>
      <c r="B708" s="11" t="s">
        <v>431</v>
      </c>
      <c r="C708" s="11" t="s">
        <v>5</v>
      </c>
    </row>
    <row r="709" spans="1:3" x14ac:dyDescent="0.25">
      <c r="A709" s="8" t="s">
        <v>1231</v>
      </c>
      <c r="B709" s="8" t="s">
        <v>424</v>
      </c>
      <c r="C709" s="8" t="s">
        <v>5</v>
      </c>
    </row>
    <row r="710" spans="1:3" x14ac:dyDescent="0.25">
      <c r="A710" s="11" t="s">
        <v>1232</v>
      </c>
      <c r="B710" s="11" t="s">
        <v>427</v>
      </c>
      <c r="C710" s="11" t="s">
        <v>5</v>
      </c>
    </row>
    <row r="711" spans="1:3" x14ac:dyDescent="0.25">
      <c r="A711" s="11" t="s">
        <v>1233</v>
      </c>
      <c r="B711" s="11" t="s">
        <v>1234</v>
      </c>
      <c r="C711" s="11" t="s">
        <v>5</v>
      </c>
    </row>
    <row r="712" spans="1:3" x14ac:dyDescent="0.25">
      <c r="A712" s="11" t="s">
        <v>1235</v>
      </c>
      <c r="B712" s="11" t="s">
        <v>431</v>
      </c>
      <c r="C712" s="11" t="s">
        <v>5</v>
      </c>
    </row>
    <row r="713" spans="1:3" x14ac:dyDescent="0.25">
      <c r="A713" s="8" t="s">
        <v>1236</v>
      </c>
      <c r="B713" s="8" t="s">
        <v>424</v>
      </c>
      <c r="C713" s="8" t="s">
        <v>5</v>
      </c>
    </row>
    <row r="714" spans="1:3" x14ac:dyDescent="0.25">
      <c r="A714" s="8" t="s">
        <v>1237</v>
      </c>
      <c r="B714" s="8" t="s">
        <v>1238</v>
      </c>
      <c r="C714" s="8" t="s">
        <v>5</v>
      </c>
    </row>
    <row r="715" spans="1:3" x14ac:dyDescent="0.25">
      <c r="A715" s="11" t="s">
        <v>1239</v>
      </c>
      <c r="B715" s="11" t="s">
        <v>427</v>
      </c>
      <c r="C715" s="11" t="s">
        <v>5</v>
      </c>
    </row>
    <row r="716" spans="1:3" x14ac:dyDescent="0.25">
      <c r="A716" s="10" t="s">
        <v>1240</v>
      </c>
      <c r="B716" s="10" t="s">
        <v>1241</v>
      </c>
      <c r="C716" s="10" t="s">
        <v>5</v>
      </c>
    </row>
    <row r="717" spans="1:3" x14ac:dyDescent="0.25">
      <c r="A717" s="11" t="s">
        <v>1242</v>
      </c>
      <c r="B717" s="11" t="s">
        <v>431</v>
      </c>
      <c r="C717" s="11" t="s">
        <v>5</v>
      </c>
    </row>
    <row r="718" spans="1:3" x14ac:dyDescent="0.25">
      <c r="A718" s="11" t="s">
        <v>1243</v>
      </c>
      <c r="B718" s="11" t="s">
        <v>455</v>
      </c>
      <c r="C718" s="11" t="s">
        <v>5</v>
      </c>
    </row>
    <row r="719" spans="1:3" x14ac:dyDescent="0.25">
      <c r="A719" s="13" t="s">
        <v>1244</v>
      </c>
      <c r="B719" s="13" t="s">
        <v>1245</v>
      </c>
      <c r="C719" s="13" t="s">
        <v>5</v>
      </c>
    </row>
    <row r="720" spans="1:3" x14ac:dyDescent="0.25">
      <c r="A720" s="10" t="s">
        <v>1246</v>
      </c>
      <c r="B720" s="10" t="s">
        <v>1247</v>
      </c>
      <c r="C720" s="10" t="s">
        <v>5</v>
      </c>
    </row>
    <row r="721" spans="1:3" x14ac:dyDescent="0.25">
      <c r="A721" s="8" t="s">
        <v>1248</v>
      </c>
      <c r="B721" s="8" t="s">
        <v>1249</v>
      </c>
      <c r="C721" s="8" t="s">
        <v>5</v>
      </c>
    </row>
    <row r="722" spans="1:3" x14ac:dyDescent="0.25">
      <c r="A722" s="13" t="s">
        <v>1250</v>
      </c>
      <c r="B722" s="13" t="s">
        <v>1251</v>
      </c>
      <c r="C722" s="13" t="s">
        <v>5</v>
      </c>
    </row>
    <row r="723" spans="1:3" x14ac:dyDescent="0.25">
      <c r="A723" s="8" t="s">
        <v>1252</v>
      </c>
      <c r="B723" s="8" t="s">
        <v>1253</v>
      </c>
      <c r="C723" s="8" t="s">
        <v>5</v>
      </c>
    </row>
    <row r="724" spans="1:3" x14ac:dyDescent="0.25">
      <c r="A724" s="11" t="s">
        <v>1254</v>
      </c>
      <c r="B724" s="11" t="s">
        <v>1255</v>
      </c>
      <c r="C724" s="11" t="s">
        <v>5</v>
      </c>
    </row>
    <row r="725" spans="1:3" x14ac:dyDescent="0.25">
      <c r="A725" s="11" t="s">
        <v>1256</v>
      </c>
      <c r="B725" s="11" t="s">
        <v>1257</v>
      </c>
      <c r="C725" s="11" t="s">
        <v>5</v>
      </c>
    </row>
    <row r="726" spans="1:3" x14ac:dyDescent="0.25">
      <c r="A726" s="13" t="s">
        <v>1258</v>
      </c>
      <c r="B726" s="13" t="s">
        <v>1259</v>
      </c>
      <c r="C726" s="13" t="s">
        <v>5</v>
      </c>
    </row>
    <row r="727" spans="1:3" x14ac:dyDescent="0.25">
      <c r="A727" s="11" t="s">
        <v>1260</v>
      </c>
      <c r="B727" s="11" t="s">
        <v>1261</v>
      </c>
      <c r="C727" s="11" t="s">
        <v>5</v>
      </c>
    </row>
    <row r="728" spans="1:3" x14ac:dyDescent="0.25">
      <c r="A728" s="13" t="s">
        <v>1262</v>
      </c>
      <c r="B728" s="13" t="s">
        <v>472</v>
      </c>
      <c r="C728" s="13" t="s">
        <v>5</v>
      </c>
    </row>
    <row r="729" spans="1:3" x14ac:dyDescent="0.25">
      <c r="A729" s="11" t="s">
        <v>1263</v>
      </c>
      <c r="B729" s="11" t="s">
        <v>1264</v>
      </c>
      <c r="C729" s="11" t="s">
        <v>5</v>
      </c>
    </row>
    <row r="730" spans="1:3" x14ac:dyDescent="0.25">
      <c r="A730" s="13" t="s">
        <v>1265</v>
      </c>
      <c r="B730" s="13" t="s">
        <v>1266</v>
      </c>
      <c r="C730" s="13" t="s">
        <v>5</v>
      </c>
    </row>
    <row r="731" spans="1:3" x14ac:dyDescent="0.25">
      <c r="A731" s="11" t="s">
        <v>1267</v>
      </c>
      <c r="B731" s="11" t="s">
        <v>1268</v>
      </c>
      <c r="C731" s="11" t="s">
        <v>5</v>
      </c>
    </row>
    <row r="732" spans="1:3" x14ac:dyDescent="0.25">
      <c r="A732" s="13" t="s">
        <v>1269</v>
      </c>
      <c r="B732" s="13" t="s">
        <v>472</v>
      </c>
      <c r="C732" s="13" t="s">
        <v>5</v>
      </c>
    </row>
    <row r="733" spans="1:3" x14ac:dyDescent="0.25">
      <c r="A733" s="11" t="s">
        <v>1270</v>
      </c>
      <c r="B733" s="11" t="s">
        <v>1271</v>
      </c>
      <c r="C733" s="11" t="s">
        <v>5</v>
      </c>
    </row>
    <row r="734" spans="1:3" x14ac:dyDescent="0.25">
      <c r="A734" s="13" t="s">
        <v>1272</v>
      </c>
      <c r="B734" s="13" t="s">
        <v>1273</v>
      </c>
      <c r="C734" s="13" t="s">
        <v>5</v>
      </c>
    </row>
    <row r="735" spans="1:3" x14ac:dyDescent="0.25">
      <c r="A735" s="11" t="s">
        <v>1274</v>
      </c>
      <c r="B735" s="11" t="s">
        <v>1275</v>
      </c>
      <c r="C735" s="11" t="s">
        <v>5</v>
      </c>
    </row>
    <row r="736" spans="1:3" x14ac:dyDescent="0.25">
      <c r="A736" s="13" t="s">
        <v>1276</v>
      </c>
      <c r="B736" s="13" t="s">
        <v>472</v>
      </c>
      <c r="C736" s="13" t="s">
        <v>5</v>
      </c>
    </row>
    <row r="737" spans="1:3" x14ac:dyDescent="0.25">
      <c r="A737" s="11" t="s">
        <v>1277</v>
      </c>
      <c r="B737" s="11" t="s">
        <v>1278</v>
      </c>
      <c r="C737" s="11" t="s">
        <v>5</v>
      </c>
    </row>
    <row r="738" spans="1:3" x14ac:dyDescent="0.25">
      <c r="A738" s="13" t="s">
        <v>1279</v>
      </c>
      <c r="B738" s="13" t="s">
        <v>1280</v>
      </c>
      <c r="C738" s="13" t="s">
        <v>5</v>
      </c>
    </row>
    <row r="739" spans="1:3" x14ac:dyDescent="0.25">
      <c r="A739" s="11" t="s">
        <v>1281</v>
      </c>
      <c r="B739" s="11" t="s">
        <v>1282</v>
      </c>
      <c r="C739" s="11" t="s">
        <v>5</v>
      </c>
    </row>
    <row r="740" spans="1:3" x14ac:dyDescent="0.25">
      <c r="A740" s="13" t="s">
        <v>1283</v>
      </c>
      <c r="B740" s="13" t="s">
        <v>472</v>
      </c>
      <c r="C740" s="13" t="s">
        <v>5</v>
      </c>
    </row>
    <row r="741" spans="1:3" x14ac:dyDescent="0.25">
      <c r="A741" s="11" t="s">
        <v>1284</v>
      </c>
      <c r="B741" s="11" t="s">
        <v>1285</v>
      </c>
      <c r="C741" s="11" t="s">
        <v>5</v>
      </c>
    </row>
    <row r="742" spans="1:3" x14ac:dyDescent="0.25">
      <c r="A742" s="13" t="s">
        <v>1286</v>
      </c>
      <c r="B742" s="13" t="s">
        <v>1287</v>
      </c>
      <c r="C742" s="13" t="s">
        <v>5</v>
      </c>
    </row>
    <row r="743" spans="1:3" x14ac:dyDescent="0.25">
      <c r="A743" s="11" t="s">
        <v>1288</v>
      </c>
      <c r="B743" s="11" t="s">
        <v>1289</v>
      </c>
      <c r="C743" s="11" t="s">
        <v>5</v>
      </c>
    </row>
    <row r="744" spans="1:3" x14ac:dyDescent="0.25">
      <c r="A744" s="13" t="s">
        <v>1290</v>
      </c>
      <c r="B744" s="13" t="s">
        <v>472</v>
      </c>
      <c r="C744" s="13" t="s">
        <v>5</v>
      </c>
    </row>
    <row r="745" spans="1:3" x14ac:dyDescent="0.25">
      <c r="A745" s="11" t="s">
        <v>1291</v>
      </c>
      <c r="B745" s="11" t="s">
        <v>1292</v>
      </c>
      <c r="C745" s="11" t="s">
        <v>5</v>
      </c>
    </row>
    <row r="746" spans="1:3" x14ac:dyDescent="0.25">
      <c r="A746" s="13" t="s">
        <v>1293</v>
      </c>
      <c r="B746" s="13" t="s">
        <v>1294</v>
      </c>
      <c r="C746" s="13" t="s">
        <v>5</v>
      </c>
    </row>
    <row r="747" spans="1:3" x14ac:dyDescent="0.25">
      <c r="A747" s="11" t="s">
        <v>1295</v>
      </c>
      <c r="B747" s="11" t="s">
        <v>1296</v>
      </c>
      <c r="C747" s="11" t="s">
        <v>5</v>
      </c>
    </row>
    <row r="748" spans="1:3" x14ac:dyDescent="0.25">
      <c r="A748" s="13" t="s">
        <v>1297</v>
      </c>
      <c r="B748" s="13" t="s">
        <v>472</v>
      </c>
      <c r="C748" s="13" t="s">
        <v>5</v>
      </c>
    </row>
    <row r="749" spans="1:3" x14ac:dyDescent="0.25">
      <c r="A749" s="10" t="s">
        <v>1298</v>
      </c>
      <c r="B749" s="10" t="s">
        <v>1299</v>
      </c>
      <c r="C749" s="10" t="s">
        <v>5</v>
      </c>
    </row>
    <row r="750" spans="1:3" x14ac:dyDescent="0.25">
      <c r="A750" s="8" t="s">
        <v>1300</v>
      </c>
      <c r="B750" s="8" t="s">
        <v>1301</v>
      </c>
      <c r="C750" s="8" t="s">
        <v>5</v>
      </c>
    </row>
    <row r="751" spans="1:3" x14ac:dyDescent="0.25">
      <c r="A751" s="11" t="s">
        <v>1302</v>
      </c>
      <c r="B751" s="11" t="s">
        <v>1303</v>
      </c>
      <c r="C751" s="11" t="s">
        <v>5</v>
      </c>
    </row>
    <row r="752" spans="1:3" x14ac:dyDescent="0.25">
      <c r="A752" s="11" t="s">
        <v>1304</v>
      </c>
      <c r="B752" s="11" t="s">
        <v>1305</v>
      </c>
      <c r="C752" s="11" t="s">
        <v>5</v>
      </c>
    </row>
    <row r="753" spans="1:3" x14ac:dyDescent="0.25">
      <c r="A753" s="11" t="s">
        <v>1306</v>
      </c>
      <c r="B753" s="11" t="s">
        <v>1307</v>
      </c>
      <c r="C753" s="11" t="s">
        <v>5</v>
      </c>
    </row>
    <row r="754" spans="1:3" x14ac:dyDescent="0.25">
      <c r="A754" s="11" t="s">
        <v>1308</v>
      </c>
      <c r="B754" s="11" t="s">
        <v>1309</v>
      </c>
      <c r="C754" s="11" t="s">
        <v>5</v>
      </c>
    </row>
    <row r="755" spans="1:3" x14ac:dyDescent="0.25">
      <c r="A755" s="11" t="s">
        <v>1310</v>
      </c>
      <c r="B755" s="11" t="s">
        <v>1311</v>
      </c>
      <c r="C755" s="11" t="s">
        <v>5</v>
      </c>
    </row>
    <row r="756" spans="1:3" x14ac:dyDescent="0.25">
      <c r="A756" s="11" t="s">
        <v>1312</v>
      </c>
      <c r="B756" s="11" t="s">
        <v>1313</v>
      </c>
      <c r="C756" s="11" t="s">
        <v>5</v>
      </c>
    </row>
    <row r="757" spans="1:3" x14ac:dyDescent="0.25">
      <c r="A757" s="11" t="s">
        <v>1314</v>
      </c>
      <c r="B757" s="11" t="s">
        <v>1315</v>
      </c>
      <c r="C757" s="11" t="s">
        <v>5</v>
      </c>
    </row>
    <row r="758" spans="1:3" x14ac:dyDescent="0.25">
      <c r="A758" s="11" t="s">
        <v>1316</v>
      </c>
      <c r="B758" s="11" t="s">
        <v>1317</v>
      </c>
      <c r="C758" s="11" t="s">
        <v>5</v>
      </c>
    </row>
    <row r="759" spans="1:3" x14ac:dyDescent="0.25">
      <c r="A759" s="11" t="s">
        <v>1318</v>
      </c>
      <c r="B759" s="11" t="s">
        <v>1319</v>
      </c>
      <c r="C759" s="11" t="s">
        <v>5</v>
      </c>
    </row>
    <row r="760" spans="1:3" x14ac:dyDescent="0.25">
      <c r="A760" s="11" t="s">
        <v>1320</v>
      </c>
      <c r="B760" s="11" t="s">
        <v>1321</v>
      </c>
      <c r="C760" s="11" t="s">
        <v>5</v>
      </c>
    </row>
    <row r="761" spans="1:3" x14ac:dyDescent="0.25">
      <c r="A761" s="10" t="s">
        <v>1322</v>
      </c>
      <c r="B761" s="10" t="s">
        <v>1323</v>
      </c>
      <c r="C761" s="10" t="s">
        <v>5</v>
      </c>
    </row>
    <row r="762" spans="1:3" x14ac:dyDescent="0.25">
      <c r="A762" s="8" t="s">
        <v>1324</v>
      </c>
      <c r="B762" s="8" t="s">
        <v>1325</v>
      </c>
      <c r="C762" s="8" t="s">
        <v>5</v>
      </c>
    </row>
    <row r="763" spans="1:3" x14ac:dyDescent="0.25">
      <c r="A763" s="13" t="s">
        <v>1326</v>
      </c>
      <c r="B763" s="13" t="s">
        <v>672</v>
      </c>
      <c r="C763" s="13" t="s">
        <v>5</v>
      </c>
    </row>
    <row r="764" spans="1:3" x14ac:dyDescent="0.25">
      <c r="A764" s="11" t="s">
        <v>1327</v>
      </c>
      <c r="B764" s="11" t="s">
        <v>427</v>
      </c>
      <c r="C764" s="11" t="s">
        <v>5</v>
      </c>
    </row>
    <row r="765" spans="1:3" x14ac:dyDescent="0.25">
      <c r="A765" s="10" t="s">
        <v>1328</v>
      </c>
      <c r="B765" s="10" t="s">
        <v>1329</v>
      </c>
      <c r="C765" s="10" t="s">
        <v>5</v>
      </c>
    </row>
    <row r="766" spans="1:3" x14ac:dyDescent="0.25">
      <c r="A766" s="10" t="s">
        <v>1330</v>
      </c>
      <c r="B766" s="10" t="s">
        <v>1331</v>
      </c>
      <c r="C766" s="10" t="s">
        <v>5</v>
      </c>
    </row>
    <row r="767" spans="1:3" x14ac:dyDescent="0.25">
      <c r="A767" s="10" t="s">
        <v>1332</v>
      </c>
      <c r="B767" s="10" t="s">
        <v>1333</v>
      </c>
      <c r="C767" s="10" t="s">
        <v>5</v>
      </c>
    </row>
    <row r="768" spans="1:3" x14ac:dyDescent="0.25">
      <c r="A768" s="11" t="s">
        <v>1334</v>
      </c>
      <c r="B768" s="11" t="s">
        <v>431</v>
      </c>
      <c r="C768" s="11" t="s">
        <v>5</v>
      </c>
    </row>
    <row r="769" spans="1:3" x14ac:dyDescent="0.25">
      <c r="A769" s="11" t="s">
        <v>1335</v>
      </c>
      <c r="B769" s="11" t="s">
        <v>427</v>
      </c>
      <c r="C769" s="11" t="s">
        <v>5</v>
      </c>
    </row>
    <row r="770" spans="1:3" x14ac:dyDescent="0.25">
      <c r="A770" s="10" t="s">
        <v>1336</v>
      </c>
      <c r="B770" s="10" t="s">
        <v>1337</v>
      </c>
      <c r="C770" s="10" t="s">
        <v>5</v>
      </c>
    </row>
    <row r="771" spans="1:3" x14ac:dyDescent="0.25">
      <c r="A771" s="10" t="s">
        <v>1338</v>
      </c>
      <c r="B771" s="10" t="s">
        <v>1339</v>
      </c>
      <c r="C771" s="10" t="s">
        <v>5</v>
      </c>
    </row>
    <row r="772" spans="1:3" x14ac:dyDescent="0.25">
      <c r="A772" s="10" t="s">
        <v>1340</v>
      </c>
      <c r="B772" s="10" t="s">
        <v>1341</v>
      </c>
      <c r="C772" s="10" t="s">
        <v>5</v>
      </c>
    </row>
    <row r="773" spans="1:3" x14ac:dyDescent="0.25">
      <c r="A773" s="10" t="s">
        <v>1342</v>
      </c>
      <c r="B773" s="10" t="s">
        <v>1343</v>
      </c>
      <c r="C773" s="10" t="s">
        <v>5</v>
      </c>
    </row>
    <row r="774" spans="1:3" x14ac:dyDescent="0.25">
      <c r="A774" s="11" t="s">
        <v>1344</v>
      </c>
      <c r="B774" s="11" t="s">
        <v>431</v>
      </c>
      <c r="C774" s="11" t="s">
        <v>5</v>
      </c>
    </row>
    <row r="775" spans="1:3" x14ac:dyDescent="0.25">
      <c r="A775" s="11" t="s">
        <v>1345</v>
      </c>
      <c r="B775" s="11" t="s">
        <v>455</v>
      </c>
      <c r="C775" s="11" t="s">
        <v>5</v>
      </c>
    </row>
    <row r="776" spans="1:3" x14ac:dyDescent="0.25">
      <c r="A776" s="13" t="s">
        <v>1346</v>
      </c>
      <c r="B776" s="13" t="s">
        <v>472</v>
      </c>
      <c r="C776" s="13" t="s">
        <v>5</v>
      </c>
    </row>
    <row r="777" spans="1:3" x14ac:dyDescent="0.25">
      <c r="A777" s="11" t="s">
        <v>1347</v>
      </c>
      <c r="B777" s="11" t="s">
        <v>455</v>
      </c>
      <c r="C777" s="11" t="s">
        <v>5</v>
      </c>
    </row>
    <row r="778" spans="1:3" x14ac:dyDescent="0.25">
      <c r="A778" s="11" t="s">
        <v>1348</v>
      </c>
      <c r="B778" s="11" t="s">
        <v>427</v>
      </c>
      <c r="C778" s="11" t="s">
        <v>5</v>
      </c>
    </row>
    <row r="779" spans="1:3" x14ac:dyDescent="0.25">
      <c r="A779" s="10" t="s">
        <v>1349</v>
      </c>
      <c r="B779" s="10" t="s">
        <v>1350</v>
      </c>
      <c r="C779" s="10" t="s">
        <v>5</v>
      </c>
    </row>
    <row r="780" spans="1:3" x14ac:dyDescent="0.25">
      <c r="A780" s="11" t="s">
        <v>1351</v>
      </c>
      <c r="B780" s="11" t="s">
        <v>431</v>
      </c>
      <c r="C780" s="11" t="s">
        <v>5</v>
      </c>
    </row>
    <row r="781" spans="1:3" x14ac:dyDescent="0.25">
      <c r="A781" s="13" t="s">
        <v>1352</v>
      </c>
      <c r="B781" s="13" t="s">
        <v>476</v>
      </c>
      <c r="C781" s="13" t="s">
        <v>5</v>
      </c>
    </row>
    <row r="782" spans="1:3" x14ac:dyDescent="0.25">
      <c r="A782" s="8" t="s">
        <v>1353</v>
      </c>
      <c r="B782" s="8" t="s">
        <v>424</v>
      </c>
      <c r="C782" s="8" t="s">
        <v>5</v>
      </c>
    </row>
    <row r="783" spans="1:3" x14ac:dyDescent="0.25">
      <c r="A783" s="8" t="s">
        <v>1354</v>
      </c>
      <c r="B783" s="8" t="s">
        <v>424</v>
      </c>
      <c r="C783" s="8" t="s">
        <v>5</v>
      </c>
    </row>
    <row r="784" spans="1:3" x14ac:dyDescent="0.25">
      <c r="A784" s="8" t="s">
        <v>1355</v>
      </c>
      <c r="B784" s="8" t="s">
        <v>1356</v>
      </c>
      <c r="C784" s="8" t="s">
        <v>5</v>
      </c>
    </row>
    <row r="785" spans="1:3" x14ac:dyDescent="0.25">
      <c r="A785" s="11" t="s">
        <v>1357</v>
      </c>
      <c r="B785" s="11" t="s">
        <v>427</v>
      </c>
      <c r="C785" s="11" t="s">
        <v>5</v>
      </c>
    </row>
    <row r="786" spans="1:3" x14ac:dyDescent="0.25">
      <c r="A786" s="11" t="s">
        <v>1358</v>
      </c>
      <c r="B786" s="11" t="s">
        <v>1229</v>
      </c>
      <c r="C786" s="11" t="s">
        <v>5</v>
      </c>
    </row>
    <row r="787" spans="1:3" x14ac:dyDescent="0.25">
      <c r="A787" s="11" t="s">
        <v>1359</v>
      </c>
      <c r="B787" s="11" t="s">
        <v>431</v>
      </c>
      <c r="C787" s="11" t="s">
        <v>5</v>
      </c>
    </row>
    <row r="788" spans="1:3" x14ac:dyDescent="0.25">
      <c r="A788" s="13" t="s">
        <v>1360</v>
      </c>
      <c r="B788" s="13" t="s">
        <v>472</v>
      </c>
      <c r="C788" s="13" t="s">
        <v>5</v>
      </c>
    </row>
    <row r="789" spans="1:3" x14ac:dyDescent="0.25">
      <c r="A789" s="12" t="s">
        <v>1361</v>
      </c>
      <c r="B789" s="12" t="s">
        <v>657</v>
      </c>
      <c r="C789" s="12" t="s">
        <v>5</v>
      </c>
    </row>
    <row r="790" spans="1:3" x14ac:dyDescent="0.25">
      <c r="A790" s="8" t="s">
        <v>1362</v>
      </c>
      <c r="B790" s="8" t="s">
        <v>692</v>
      </c>
      <c r="C790" s="8" t="s">
        <v>5</v>
      </c>
    </row>
    <row r="791" spans="1:3" x14ac:dyDescent="0.25">
      <c r="A791" s="8" t="s">
        <v>1363</v>
      </c>
      <c r="B791" s="8" t="s">
        <v>1364</v>
      </c>
      <c r="C791" s="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"/>
  <sheetViews>
    <sheetView zoomScale="115" zoomScaleNormal="115" workbookViewId="0">
      <selection activeCell="D16" sqref="D16"/>
    </sheetView>
  </sheetViews>
  <sheetFormatPr baseColWidth="10" defaultColWidth="8.7109375" defaultRowHeight="15" x14ac:dyDescent="0.25"/>
  <cols>
    <col min="1" max="1" width="8.7109375" style="3"/>
    <col min="2" max="2" width="9.5703125" style="3" bestFit="1" customWidth="1"/>
    <col min="3" max="3" width="17.28515625" style="3" customWidth="1"/>
    <col min="4" max="4" width="71.5703125" style="3" customWidth="1"/>
    <col min="5" max="5" width="54.85546875" style="3" customWidth="1"/>
    <col min="6" max="6" width="16.42578125" style="3" bestFit="1" customWidth="1"/>
    <col min="7" max="7" width="16.42578125" style="3" customWidth="1"/>
    <col min="8" max="8" width="14.7109375" style="3" customWidth="1"/>
    <col min="9" max="9" width="8.7109375" style="3"/>
    <col min="10" max="10" width="20.7109375" style="3" customWidth="1"/>
    <col min="11" max="16384" width="8.7109375" style="3"/>
  </cols>
  <sheetData>
    <row r="1" spans="2:10" ht="45" x14ac:dyDescent="0.25">
      <c r="B1" s="4" t="s">
        <v>1365</v>
      </c>
      <c r="C1" s="1" t="s">
        <v>1366</v>
      </c>
      <c r="D1" s="1" t="s">
        <v>1367</v>
      </c>
      <c r="E1" s="1" t="s">
        <v>1368</v>
      </c>
      <c r="F1" s="1" t="s">
        <v>1369</v>
      </c>
      <c r="G1" s="1" t="s">
        <v>1370</v>
      </c>
      <c r="H1" s="4" t="s">
        <v>1371</v>
      </c>
      <c r="I1" s="4" t="s">
        <v>1372</v>
      </c>
      <c r="J1" s="4" t="s">
        <v>1373</v>
      </c>
    </row>
    <row r="2" spans="2:10" ht="24" x14ac:dyDescent="0.25">
      <c r="B2" s="2" t="s">
        <v>1374</v>
      </c>
      <c r="C2" s="2" t="s">
        <v>1375</v>
      </c>
      <c r="D2" s="2" t="s">
        <v>1376</v>
      </c>
      <c r="E2" s="2" t="s">
        <v>1377</v>
      </c>
      <c r="F2" s="2" t="s">
        <v>1378</v>
      </c>
      <c r="G2" s="2" t="s">
        <v>1379</v>
      </c>
      <c r="H2" s="2">
        <v>0</v>
      </c>
      <c r="I2" s="2">
        <v>0</v>
      </c>
      <c r="J2" s="2" t="s">
        <v>1380</v>
      </c>
    </row>
    <row r="3" spans="2:10" ht="24" x14ac:dyDescent="0.25">
      <c r="B3" s="2" t="s">
        <v>1381</v>
      </c>
      <c r="C3" s="2" t="s">
        <v>1382</v>
      </c>
      <c r="D3" s="2" t="s">
        <v>1383</v>
      </c>
      <c r="E3" s="2" t="s">
        <v>1384</v>
      </c>
      <c r="F3" s="2" t="s">
        <v>1378</v>
      </c>
      <c r="G3" s="2" t="s">
        <v>1379</v>
      </c>
      <c r="H3" s="2">
        <v>0</v>
      </c>
      <c r="I3" s="2">
        <v>0</v>
      </c>
      <c r="J3" s="2" t="s">
        <v>1380</v>
      </c>
    </row>
    <row r="4" spans="2:10" ht="24" x14ac:dyDescent="0.25">
      <c r="B4" s="2" t="s">
        <v>1385</v>
      </c>
      <c r="C4" s="2" t="s">
        <v>1386</v>
      </c>
      <c r="D4" s="2" t="s">
        <v>1387</v>
      </c>
      <c r="E4" s="2" t="s">
        <v>1388</v>
      </c>
      <c r="F4" s="2" t="s">
        <v>1378</v>
      </c>
      <c r="G4" s="2" t="s">
        <v>1389</v>
      </c>
      <c r="H4" s="2">
        <v>0</v>
      </c>
      <c r="I4" s="2">
        <v>0</v>
      </c>
      <c r="J4" s="2" t="s">
        <v>1380</v>
      </c>
    </row>
    <row r="5" spans="2:10" ht="24" x14ac:dyDescent="0.25">
      <c r="B5" s="2" t="s">
        <v>1390</v>
      </c>
      <c r="C5" s="2" t="s">
        <v>1391</v>
      </c>
      <c r="D5" s="2" t="s">
        <v>1392</v>
      </c>
      <c r="E5" s="2" t="s">
        <v>1393</v>
      </c>
      <c r="F5" s="2" t="s">
        <v>1378</v>
      </c>
      <c r="G5" s="2" t="s">
        <v>1379</v>
      </c>
      <c r="H5" s="2">
        <v>0</v>
      </c>
      <c r="I5" s="2">
        <v>0</v>
      </c>
      <c r="J5" s="2" t="s">
        <v>1380</v>
      </c>
    </row>
    <row r="7" spans="2:10" x14ac:dyDescent="0.25">
      <c r="B7" s="5"/>
      <c r="C7" s="5"/>
      <c r="D7" s="5"/>
      <c r="E7" s="5"/>
      <c r="F7" s="5"/>
      <c r="G7" s="5"/>
      <c r="H7" s="5"/>
      <c r="I7" s="5"/>
      <c r="J7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98ED-4BBF-4AC0-9482-28E1B1B88936}">
  <dimension ref="A1:M63"/>
  <sheetViews>
    <sheetView workbookViewId="0">
      <selection activeCell="I10" sqref="I10"/>
    </sheetView>
  </sheetViews>
  <sheetFormatPr baseColWidth="10" defaultColWidth="11.42578125" defaultRowHeight="15" x14ac:dyDescent="0.25"/>
  <cols>
    <col min="1" max="1" width="10.85546875" customWidth="1"/>
  </cols>
  <sheetData>
    <row r="1" spans="1:6" x14ac:dyDescent="0.25">
      <c r="A1" t="s">
        <v>1394</v>
      </c>
      <c r="B1" t="s">
        <v>1395</v>
      </c>
      <c r="C1" t="s">
        <v>1396</v>
      </c>
      <c r="D1" t="s">
        <v>1397</v>
      </c>
    </row>
    <row r="2" spans="1:6" x14ac:dyDescent="0.25">
      <c r="A2" t="s">
        <v>1398</v>
      </c>
      <c r="B2" t="s">
        <v>1399</v>
      </c>
      <c r="C2" t="s">
        <v>1400</v>
      </c>
      <c r="D2" t="s">
        <v>1401</v>
      </c>
      <c r="E2" t="s">
        <v>1394</v>
      </c>
      <c r="F2" t="s">
        <v>1402</v>
      </c>
    </row>
    <row r="3" spans="1:6" x14ac:dyDescent="0.25">
      <c r="A3" t="s">
        <v>1398</v>
      </c>
      <c r="B3" t="s">
        <v>1403</v>
      </c>
      <c r="C3" t="s">
        <v>1400</v>
      </c>
      <c r="D3" t="s">
        <v>1404</v>
      </c>
    </row>
    <row r="4" spans="1:6" x14ac:dyDescent="0.25">
      <c r="A4" t="s">
        <v>1398</v>
      </c>
      <c r="B4" t="s">
        <v>1405</v>
      </c>
      <c r="C4" t="s">
        <v>1400</v>
      </c>
      <c r="D4" t="s">
        <v>1406</v>
      </c>
      <c r="E4" t="s">
        <v>1407</v>
      </c>
    </row>
    <row r="6" spans="1:6" x14ac:dyDescent="0.25">
      <c r="A6" t="s">
        <v>1394</v>
      </c>
      <c r="B6" t="s">
        <v>1408</v>
      </c>
      <c r="C6" t="s">
        <v>1409</v>
      </c>
      <c r="D6" t="s">
        <v>1410</v>
      </c>
      <c r="E6" t="s">
        <v>1411</v>
      </c>
    </row>
    <row r="7" spans="1:6" x14ac:dyDescent="0.25">
      <c r="A7" t="s">
        <v>1412</v>
      </c>
      <c r="B7" t="s">
        <v>1411</v>
      </c>
      <c r="C7" t="s">
        <v>1413</v>
      </c>
      <c r="D7" t="s">
        <v>1414</v>
      </c>
    </row>
    <row r="8" spans="1:6" x14ac:dyDescent="0.25">
      <c r="B8" t="s">
        <v>1415</v>
      </c>
    </row>
    <row r="9" spans="1:6" x14ac:dyDescent="0.25">
      <c r="B9" t="s">
        <v>1416</v>
      </c>
      <c r="C9" t="s">
        <v>1413</v>
      </c>
      <c r="D9" t="s">
        <v>1417</v>
      </c>
      <c r="E9" t="s">
        <v>1413</v>
      </c>
      <c r="F9" t="s">
        <v>1418</v>
      </c>
    </row>
    <row r="10" spans="1:6" x14ac:dyDescent="0.25">
      <c r="B10" t="s">
        <v>1419</v>
      </c>
      <c r="C10" t="s">
        <v>1413</v>
      </c>
      <c r="D10" t="s">
        <v>1417</v>
      </c>
      <c r="E10" t="s">
        <v>1413</v>
      </c>
      <c r="F10" t="s">
        <v>1420</v>
      </c>
    </row>
    <row r="11" spans="1:6" x14ac:dyDescent="0.25">
      <c r="B11" t="s">
        <v>1421</v>
      </c>
      <c r="C11" t="s">
        <v>1413</v>
      </c>
      <c r="D11" t="s">
        <v>1417</v>
      </c>
      <c r="E11" t="s">
        <v>1413</v>
      </c>
      <c r="F11" t="s">
        <v>1422</v>
      </c>
    </row>
    <row r="12" spans="1:6" x14ac:dyDescent="0.25">
      <c r="A12" t="s">
        <v>1423</v>
      </c>
    </row>
    <row r="13" spans="1:6" x14ac:dyDescent="0.25">
      <c r="A13" t="s">
        <v>1394</v>
      </c>
      <c r="B13" t="s">
        <v>1424</v>
      </c>
      <c r="C13" t="s">
        <v>1425</v>
      </c>
      <c r="D13" t="s">
        <v>1396</v>
      </c>
      <c r="E13" t="s">
        <v>1426</v>
      </c>
    </row>
    <row r="14" spans="1:6" x14ac:dyDescent="0.25">
      <c r="A14" t="s">
        <v>1427</v>
      </c>
      <c r="B14" t="s">
        <v>1413</v>
      </c>
      <c r="C14" t="s">
        <v>1414</v>
      </c>
    </row>
    <row r="15" spans="1:6" x14ac:dyDescent="0.25">
      <c r="B15" t="s">
        <v>1415</v>
      </c>
      <c r="C15" t="s">
        <v>1428</v>
      </c>
      <c r="D15" t="s">
        <v>1413</v>
      </c>
      <c r="E15" t="s">
        <v>1429</v>
      </c>
    </row>
    <row r="16" spans="1:6" x14ac:dyDescent="0.25">
      <c r="B16" t="s">
        <v>1430</v>
      </c>
      <c r="C16" t="s">
        <v>1382</v>
      </c>
    </row>
    <row r="17" spans="1:8" x14ac:dyDescent="0.25">
      <c r="B17" t="s">
        <v>1431</v>
      </c>
      <c r="C17" t="s">
        <v>1432</v>
      </c>
      <c r="D17" t="s">
        <v>1400</v>
      </c>
      <c r="E17" t="s">
        <v>1433</v>
      </c>
    </row>
    <row r="18" spans="1:8" x14ac:dyDescent="0.25">
      <c r="B18" t="s">
        <v>1434</v>
      </c>
      <c r="C18" t="s">
        <v>1435</v>
      </c>
      <c r="D18" t="s">
        <v>1400</v>
      </c>
      <c r="E18" t="s">
        <v>1436</v>
      </c>
    </row>
    <row r="19" spans="1:8" x14ac:dyDescent="0.25">
      <c r="B19" t="s">
        <v>1434</v>
      </c>
      <c r="C19" t="s">
        <v>1437</v>
      </c>
      <c r="D19" t="s">
        <v>1400</v>
      </c>
      <c r="E19" t="s">
        <v>1438</v>
      </c>
    </row>
    <row r="20" spans="1:8" x14ac:dyDescent="0.25">
      <c r="B20" t="s">
        <v>1434</v>
      </c>
      <c r="C20" t="s">
        <v>1422</v>
      </c>
      <c r="D20" t="s">
        <v>1400</v>
      </c>
      <c r="E20" t="s">
        <v>1439</v>
      </c>
      <c r="F20" t="s">
        <v>1422</v>
      </c>
      <c r="G20" t="s">
        <v>1430</v>
      </c>
      <c r="H20" t="s">
        <v>1440</v>
      </c>
    </row>
    <row r="21" spans="1:8" x14ac:dyDescent="0.25">
      <c r="B21" t="s">
        <v>1434</v>
      </c>
      <c r="C21" t="s">
        <v>1441</v>
      </c>
      <c r="D21" t="s">
        <v>1400</v>
      </c>
      <c r="E21" t="s">
        <v>1439</v>
      </c>
      <c r="F21" t="s">
        <v>1441</v>
      </c>
      <c r="G21" t="s">
        <v>1430</v>
      </c>
      <c r="H21" t="s">
        <v>1440</v>
      </c>
    </row>
    <row r="22" spans="1:8" x14ac:dyDescent="0.25">
      <c r="B22" t="s">
        <v>1434</v>
      </c>
      <c r="C22" t="s">
        <v>1442</v>
      </c>
      <c r="D22" t="s">
        <v>1400</v>
      </c>
      <c r="E22" t="s">
        <v>1439</v>
      </c>
      <c r="F22" t="s">
        <v>1442</v>
      </c>
      <c r="G22" t="s">
        <v>1430</v>
      </c>
      <c r="H22" t="s">
        <v>1440</v>
      </c>
    </row>
    <row r="23" spans="1:8" x14ac:dyDescent="0.25">
      <c r="B23" t="s">
        <v>1443</v>
      </c>
      <c r="C23">
        <v>1</v>
      </c>
    </row>
    <row r="24" spans="1:8" x14ac:dyDescent="0.25">
      <c r="A24" t="s">
        <v>1423</v>
      </c>
    </row>
    <row r="25" spans="1:8" x14ac:dyDescent="0.25">
      <c r="A25" t="s">
        <v>1394</v>
      </c>
      <c r="B25" t="s">
        <v>1444</v>
      </c>
      <c r="C25" t="s">
        <v>1445</v>
      </c>
      <c r="D25" t="s">
        <v>1396</v>
      </c>
      <c r="E25" t="s">
        <v>1446</v>
      </c>
    </row>
    <row r="26" spans="1:8" x14ac:dyDescent="0.25">
      <c r="A26" t="s">
        <v>1447</v>
      </c>
      <c r="B26" t="s">
        <v>1413</v>
      </c>
      <c r="C26" t="s">
        <v>1414</v>
      </c>
    </row>
    <row r="27" spans="1:8" x14ac:dyDescent="0.25">
      <c r="B27" t="s">
        <v>1415</v>
      </c>
      <c r="C27" t="s">
        <v>1448</v>
      </c>
    </row>
    <row r="28" spans="1:8" x14ac:dyDescent="0.25">
      <c r="B28" t="s">
        <v>1430</v>
      </c>
      <c r="C28" t="s">
        <v>1449</v>
      </c>
    </row>
    <row r="29" spans="1:8" x14ac:dyDescent="0.25">
      <c r="B29" t="s">
        <v>1431</v>
      </c>
      <c r="C29" t="s">
        <v>1450</v>
      </c>
      <c r="D29" t="s">
        <v>1400</v>
      </c>
      <c r="E29" t="s">
        <v>1403</v>
      </c>
    </row>
    <row r="30" spans="1:8" x14ac:dyDescent="0.25">
      <c r="B30" t="s">
        <v>1434</v>
      </c>
      <c r="C30" t="s">
        <v>1451</v>
      </c>
      <c r="D30" t="s">
        <v>1452</v>
      </c>
      <c r="E30">
        <v>71</v>
      </c>
      <c r="F30" t="s">
        <v>1434</v>
      </c>
      <c r="G30">
        <v>78</v>
      </c>
    </row>
    <row r="31" spans="1:8" x14ac:dyDescent="0.25">
      <c r="B31" t="s">
        <v>1434</v>
      </c>
      <c r="C31" t="s">
        <v>1453</v>
      </c>
      <c r="D31" t="s">
        <v>1400</v>
      </c>
      <c r="E31" t="s">
        <v>1454</v>
      </c>
    </row>
    <row r="32" spans="1:8" x14ac:dyDescent="0.25">
      <c r="B32" t="s">
        <v>1434</v>
      </c>
      <c r="C32" t="s">
        <v>1455</v>
      </c>
      <c r="D32" t="s">
        <v>1400</v>
      </c>
      <c r="E32" t="s">
        <v>1405</v>
      </c>
    </row>
    <row r="33" spans="1:7" x14ac:dyDescent="0.25">
      <c r="A33" t="s">
        <v>1423</v>
      </c>
    </row>
    <row r="34" spans="1:7" x14ac:dyDescent="0.25">
      <c r="A34" t="s">
        <v>1394</v>
      </c>
      <c r="B34" t="s">
        <v>1456</v>
      </c>
      <c r="C34" t="s">
        <v>1457</v>
      </c>
      <c r="D34" t="s">
        <v>1396</v>
      </c>
      <c r="E34" t="s">
        <v>1458</v>
      </c>
      <c r="F34" t="s">
        <v>1459</v>
      </c>
      <c r="G34" t="s">
        <v>1460</v>
      </c>
    </row>
    <row r="35" spans="1:7" x14ac:dyDescent="0.25">
      <c r="A35" t="s">
        <v>1461</v>
      </c>
      <c r="B35" t="s">
        <v>1413</v>
      </c>
      <c r="C35" t="s">
        <v>1414</v>
      </c>
    </row>
    <row r="36" spans="1:7" x14ac:dyDescent="0.25">
      <c r="B36" t="s">
        <v>1415</v>
      </c>
    </row>
    <row r="37" spans="1:7" x14ac:dyDescent="0.25">
      <c r="B37" t="s">
        <v>1462</v>
      </c>
      <c r="C37" t="s">
        <v>1413</v>
      </c>
      <c r="D37" t="s">
        <v>1463</v>
      </c>
    </row>
    <row r="38" spans="1:7" x14ac:dyDescent="0.25">
      <c r="B38" t="s">
        <v>1464</v>
      </c>
      <c r="C38" t="s">
        <v>1413</v>
      </c>
      <c r="D38" t="s">
        <v>1465</v>
      </c>
    </row>
    <row r="39" spans="1:7" x14ac:dyDescent="0.25">
      <c r="B39" t="s">
        <v>1466</v>
      </c>
      <c r="C39" t="s">
        <v>1413</v>
      </c>
      <c r="D39" t="s">
        <v>1467</v>
      </c>
    </row>
    <row r="40" spans="1:7" x14ac:dyDescent="0.25">
      <c r="B40" t="s">
        <v>1468</v>
      </c>
      <c r="C40" t="s">
        <v>1413</v>
      </c>
      <c r="D40" t="s">
        <v>1469</v>
      </c>
    </row>
    <row r="41" spans="1:7" x14ac:dyDescent="0.25">
      <c r="B41" t="s">
        <v>1470</v>
      </c>
      <c r="C41" t="s">
        <v>1413</v>
      </c>
      <c r="D41" t="s">
        <v>1471</v>
      </c>
      <c r="E41" t="s">
        <v>1472</v>
      </c>
    </row>
    <row r="42" spans="1:7" x14ac:dyDescent="0.25">
      <c r="B42" t="s">
        <v>1473</v>
      </c>
      <c r="C42" t="s">
        <v>1413</v>
      </c>
      <c r="D42" t="s">
        <v>1474</v>
      </c>
      <c r="E42" t="s">
        <v>1475</v>
      </c>
      <c r="F42" t="s">
        <v>1476</v>
      </c>
    </row>
    <row r="43" spans="1:7" x14ac:dyDescent="0.25">
      <c r="B43" t="s">
        <v>1477</v>
      </c>
      <c r="C43" t="s">
        <v>1413</v>
      </c>
      <c r="D43" t="s">
        <v>1478</v>
      </c>
    </row>
    <row r="44" spans="1:7" x14ac:dyDescent="0.25">
      <c r="B44" t="s">
        <v>1479</v>
      </c>
    </row>
    <row r="45" spans="1:7" x14ac:dyDescent="0.25">
      <c r="B45" t="s">
        <v>1480</v>
      </c>
      <c r="C45" t="s">
        <v>1481</v>
      </c>
      <c r="D45" t="s">
        <v>1400</v>
      </c>
      <c r="E45" t="s">
        <v>1482</v>
      </c>
    </row>
    <row r="46" spans="1:7" x14ac:dyDescent="0.25">
      <c r="B46" t="s">
        <v>1483</v>
      </c>
      <c r="C46" t="s">
        <v>1477</v>
      </c>
      <c r="D46" t="s">
        <v>1448</v>
      </c>
      <c r="E46" t="s">
        <v>1484</v>
      </c>
    </row>
    <row r="47" spans="1:7" x14ac:dyDescent="0.25">
      <c r="B47" t="s">
        <v>1485</v>
      </c>
      <c r="C47" t="s">
        <v>1477</v>
      </c>
    </row>
    <row r="48" spans="1:7" x14ac:dyDescent="0.25">
      <c r="B48" t="s">
        <v>1486</v>
      </c>
      <c r="C48" t="s">
        <v>1413</v>
      </c>
      <c r="D48" t="s">
        <v>1487</v>
      </c>
    </row>
    <row r="49" spans="1:13" x14ac:dyDescent="0.25">
      <c r="B49" t="s">
        <v>1481</v>
      </c>
      <c r="C49" t="s">
        <v>1413</v>
      </c>
      <c r="D49" t="s">
        <v>1488</v>
      </c>
    </row>
    <row r="50" spans="1:13" x14ac:dyDescent="0.25">
      <c r="B50" t="s">
        <v>1489</v>
      </c>
      <c r="C50" t="s">
        <v>1413</v>
      </c>
      <c r="D50" t="s">
        <v>1490</v>
      </c>
    </row>
    <row r="51" spans="1:13" x14ac:dyDescent="0.25">
      <c r="B51" t="s">
        <v>1491</v>
      </c>
      <c r="C51" t="s">
        <v>1413</v>
      </c>
      <c r="D51" t="s">
        <v>1492</v>
      </c>
    </row>
    <row r="52" spans="1:13" x14ac:dyDescent="0.25">
      <c r="B52" t="s">
        <v>1493</v>
      </c>
      <c r="C52" t="s">
        <v>1413</v>
      </c>
      <c r="D52" t="s">
        <v>1494</v>
      </c>
    </row>
    <row r="53" spans="1:13" x14ac:dyDescent="0.25">
      <c r="B53" t="s">
        <v>1495</v>
      </c>
      <c r="C53" t="s">
        <v>1413</v>
      </c>
      <c r="D53" t="s">
        <v>1496</v>
      </c>
    </row>
    <row r="54" spans="1:13" x14ac:dyDescent="0.25">
      <c r="B54" t="s">
        <v>1497</v>
      </c>
      <c r="C54" t="s">
        <v>1413</v>
      </c>
      <c r="D54" t="s">
        <v>1498</v>
      </c>
    </row>
    <row r="55" spans="1:13" x14ac:dyDescent="0.25">
      <c r="B55" t="s">
        <v>1499</v>
      </c>
      <c r="C55" t="s">
        <v>1413</v>
      </c>
      <c r="D55" t="s">
        <v>1500</v>
      </c>
    </row>
    <row r="56" spans="1:13" x14ac:dyDescent="0.25">
      <c r="B56" t="s">
        <v>1430</v>
      </c>
      <c r="C56" t="s">
        <v>1447</v>
      </c>
      <c r="D56" t="s">
        <v>1501</v>
      </c>
    </row>
    <row r="57" spans="1:13" x14ac:dyDescent="0.25">
      <c r="B57" t="s">
        <v>1502</v>
      </c>
      <c r="C57" t="s">
        <v>1503</v>
      </c>
      <c r="D57" t="s">
        <v>1427</v>
      </c>
      <c r="E57" t="s">
        <v>1504</v>
      </c>
    </row>
    <row r="58" spans="1:13" x14ac:dyDescent="0.25">
      <c r="B58" t="s">
        <v>1505</v>
      </c>
      <c r="C58" t="s">
        <v>1503</v>
      </c>
      <c r="D58" t="s">
        <v>1375</v>
      </c>
      <c r="E58" t="s">
        <v>1506</v>
      </c>
      <c r="F58" t="s">
        <v>1507</v>
      </c>
      <c r="G58" t="s">
        <v>1508</v>
      </c>
      <c r="H58" t="s">
        <v>1400</v>
      </c>
      <c r="I58" t="s">
        <v>1462</v>
      </c>
      <c r="J58" t="s">
        <v>1394</v>
      </c>
      <c r="K58" t="s">
        <v>1509</v>
      </c>
      <c r="L58" t="s">
        <v>1396</v>
      </c>
      <c r="M58" t="s">
        <v>1510</v>
      </c>
    </row>
    <row r="59" spans="1:13" x14ac:dyDescent="0.25">
      <c r="B59" t="s">
        <v>1505</v>
      </c>
      <c r="C59" t="s">
        <v>1503</v>
      </c>
      <c r="D59" t="s">
        <v>1391</v>
      </c>
      <c r="E59" t="s">
        <v>1511</v>
      </c>
      <c r="F59" t="s">
        <v>1507</v>
      </c>
      <c r="G59" t="s">
        <v>1512</v>
      </c>
      <c r="H59" t="s">
        <v>1400</v>
      </c>
      <c r="I59" t="s">
        <v>1499</v>
      </c>
      <c r="J59" t="s">
        <v>1394</v>
      </c>
      <c r="K59" t="s">
        <v>1509</v>
      </c>
      <c r="L59" t="s">
        <v>1396</v>
      </c>
      <c r="M59" t="s">
        <v>1513</v>
      </c>
    </row>
    <row r="60" spans="1:13" x14ac:dyDescent="0.25">
      <c r="B60" t="s">
        <v>1514</v>
      </c>
      <c r="C60" t="s">
        <v>1515</v>
      </c>
      <c r="D60" t="s">
        <v>1516</v>
      </c>
      <c r="E60" t="s">
        <v>1481</v>
      </c>
    </row>
    <row r="61" spans="1:13" x14ac:dyDescent="0.25">
      <c r="A61" t="s">
        <v>1517</v>
      </c>
    </row>
    <row r="63" spans="1:13" x14ac:dyDescent="0.25">
      <c r="A63" t="s">
        <v>1415</v>
      </c>
      <c r="B63" t="s">
        <v>1448</v>
      </c>
      <c r="C63" t="s">
        <v>1430</v>
      </c>
      <c r="D63" t="s">
        <v>1518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C3EA-09AF-41F4-BE40-AC9BE3E9DB56}">
  <dimension ref="A2:D134"/>
  <sheetViews>
    <sheetView workbookViewId="0">
      <selection activeCell="A43" sqref="A43"/>
    </sheetView>
  </sheetViews>
  <sheetFormatPr baseColWidth="10" defaultColWidth="11.42578125" defaultRowHeight="15" x14ac:dyDescent="0.25"/>
  <cols>
    <col min="1" max="1" width="32.28515625" customWidth="1"/>
  </cols>
  <sheetData>
    <row r="2" spans="1:3" x14ac:dyDescent="0.25">
      <c r="A2" s="6" t="s">
        <v>1519</v>
      </c>
    </row>
    <row r="3" spans="1:3" x14ac:dyDescent="0.25">
      <c r="A3" t="s">
        <v>1520</v>
      </c>
    </row>
    <row r="4" spans="1:3" x14ac:dyDescent="0.25">
      <c r="A4" t="s">
        <v>1521</v>
      </c>
    </row>
    <row r="5" spans="1:3" x14ac:dyDescent="0.25">
      <c r="A5" t="s">
        <v>1522</v>
      </c>
      <c r="B5" t="s">
        <v>1523</v>
      </c>
    </row>
    <row r="6" spans="1:3" x14ac:dyDescent="0.25">
      <c r="A6" t="s">
        <v>1524</v>
      </c>
      <c r="B6" t="s">
        <v>1525</v>
      </c>
    </row>
    <row r="7" spans="1:3" x14ac:dyDescent="0.25">
      <c r="A7" t="s">
        <v>1526</v>
      </c>
    </row>
    <row r="8" spans="1:3" x14ac:dyDescent="0.25">
      <c r="A8" t="s">
        <v>1517</v>
      </c>
    </row>
    <row r="10" spans="1:3" x14ac:dyDescent="0.25">
      <c r="A10" t="s">
        <v>1527</v>
      </c>
    </row>
    <row r="11" spans="1:3" x14ac:dyDescent="0.25">
      <c r="A11" t="s">
        <v>1528</v>
      </c>
    </row>
    <row r="12" spans="1:3" x14ac:dyDescent="0.25">
      <c r="A12" t="s">
        <v>1529</v>
      </c>
    </row>
    <row r="13" spans="1:3" x14ac:dyDescent="0.25">
      <c r="A13" t="s">
        <v>1530</v>
      </c>
      <c r="B13">
        <v>5</v>
      </c>
      <c r="C13" t="s">
        <v>1531</v>
      </c>
    </row>
    <row r="14" spans="1:3" x14ac:dyDescent="0.25">
      <c r="A14" t="s">
        <v>1530</v>
      </c>
      <c r="B14">
        <v>3</v>
      </c>
      <c r="C14" t="s">
        <v>1532</v>
      </c>
    </row>
    <row r="15" spans="1:3" x14ac:dyDescent="0.25">
      <c r="A15" t="s">
        <v>1530</v>
      </c>
      <c r="B15">
        <v>1</v>
      </c>
      <c r="C15" t="s">
        <v>1533</v>
      </c>
    </row>
    <row r="16" spans="1:3" x14ac:dyDescent="0.25">
      <c r="A16" t="s">
        <v>1534</v>
      </c>
    </row>
    <row r="17" spans="1:1" x14ac:dyDescent="0.25">
      <c r="A17" t="s">
        <v>1535</v>
      </c>
    </row>
    <row r="18" spans="1:1" x14ac:dyDescent="0.25">
      <c r="A18" t="s">
        <v>1517</v>
      </c>
    </row>
    <row r="20" spans="1:1" x14ac:dyDescent="0.25">
      <c r="A20" t="s">
        <v>1536</v>
      </c>
    </row>
    <row r="21" spans="1:1" x14ac:dyDescent="0.25">
      <c r="A21" t="s">
        <v>1537</v>
      </c>
    </row>
    <row r="22" spans="1:1" x14ac:dyDescent="0.25">
      <c r="A22" t="s">
        <v>1529</v>
      </c>
    </row>
    <row r="23" spans="1:1" x14ac:dyDescent="0.25">
      <c r="A23" t="s">
        <v>1538</v>
      </c>
    </row>
    <row r="24" spans="1:1" x14ac:dyDescent="0.25">
      <c r="A24" t="s">
        <v>1539</v>
      </c>
    </row>
    <row r="25" spans="1:1" x14ac:dyDescent="0.25">
      <c r="A25" t="s">
        <v>1540</v>
      </c>
    </row>
    <row r="26" spans="1:1" x14ac:dyDescent="0.25">
      <c r="A26" t="s">
        <v>1541</v>
      </c>
    </row>
    <row r="27" spans="1:1" x14ac:dyDescent="0.25">
      <c r="A27" t="s">
        <v>1542</v>
      </c>
    </row>
    <row r="28" spans="1:1" x14ac:dyDescent="0.25">
      <c r="A28" t="s">
        <v>1543</v>
      </c>
    </row>
    <row r="29" spans="1:1" x14ac:dyDescent="0.25">
      <c r="A29" t="s">
        <v>1544</v>
      </c>
    </row>
    <row r="30" spans="1:1" x14ac:dyDescent="0.25">
      <c r="A30" t="s">
        <v>1545</v>
      </c>
    </row>
    <row r="31" spans="1:1" x14ac:dyDescent="0.25">
      <c r="A31" t="s">
        <v>1546</v>
      </c>
    </row>
    <row r="32" spans="1:1" x14ac:dyDescent="0.25">
      <c r="A32" t="s">
        <v>1547</v>
      </c>
    </row>
    <row r="33" spans="1:1" x14ac:dyDescent="0.25">
      <c r="A33" t="s">
        <v>1548</v>
      </c>
    </row>
    <row r="34" spans="1:1" x14ac:dyDescent="0.25">
      <c r="A34" t="s">
        <v>1549</v>
      </c>
    </row>
    <row r="35" spans="1:1" x14ac:dyDescent="0.25">
      <c r="A35" t="s">
        <v>1550</v>
      </c>
    </row>
    <row r="36" spans="1:1" x14ac:dyDescent="0.25">
      <c r="A36" t="s">
        <v>1551</v>
      </c>
    </row>
    <row r="37" spans="1:1" x14ac:dyDescent="0.25">
      <c r="A37" t="s">
        <v>1552</v>
      </c>
    </row>
    <row r="38" spans="1:1" x14ac:dyDescent="0.25">
      <c r="A38" t="s">
        <v>1553</v>
      </c>
    </row>
    <row r="39" spans="1:1" x14ac:dyDescent="0.25">
      <c r="A39" t="s">
        <v>1554</v>
      </c>
    </row>
    <row r="40" spans="1:1" x14ac:dyDescent="0.25">
      <c r="A40" t="s">
        <v>1555</v>
      </c>
    </row>
    <row r="41" spans="1:1" x14ac:dyDescent="0.25">
      <c r="A41" t="s">
        <v>1556</v>
      </c>
    </row>
    <row r="42" spans="1:1" x14ac:dyDescent="0.25">
      <c r="A42" t="s">
        <v>1557</v>
      </c>
    </row>
    <row r="43" spans="1:1" x14ac:dyDescent="0.25">
      <c r="A43" t="s">
        <v>1558</v>
      </c>
    </row>
    <row r="44" spans="1:1" x14ac:dyDescent="0.25">
      <c r="A44" t="s">
        <v>1517</v>
      </c>
    </row>
    <row r="46" spans="1:1" x14ac:dyDescent="0.25">
      <c r="A46" t="e" cm="1">
        <f t="array" ref="A46">-- Carga de transacciones de Abonos desde mcfv075</f>
        <v>#NAME?</v>
      </c>
    </row>
    <row r="47" spans="1:1" x14ac:dyDescent="0.25">
      <c r="A47" t="s">
        <v>1559</v>
      </c>
    </row>
    <row r="48" spans="1:1" x14ac:dyDescent="0.25">
      <c r="A48" t="s">
        <v>1560</v>
      </c>
    </row>
    <row r="49" spans="1:2" x14ac:dyDescent="0.25">
      <c r="A49" t="s">
        <v>1561</v>
      </c>
    </row>
    <row r="50" spans="1:2" x14ac:dyDescent="0.25">
      <c r="A50" t="s">
        <v>1562</v>
      </c>
    </row>
    <row r="51" spans="1:2" x14ac:dyDescent="0.25">
      <c r="A51" t="s">
        <v>1563</v>
      </c>
    </row>
    <row r="52" spans="1:2" x14ac:dyDescent="0.25">
      <c r="A52" t="s">
        <v>1517</v>
      </c>
    </row>
    <row r="54" spans="1:2" x14ac:dyDescent="0.25">
      <c r="A54" t="e" cm="1">
        <f t="array" ref="A54">-- Filtro de los Datos relevantes para el reporte</f>
        <v>#NAME?</v>
      </c>
    </row>
    <row r="55" spans="1:2" x14ac:dyDescent="0.25">
      <c r="A55" t="s">
        <v>1564</v>
      </c>
    </row>
    <row r="56" spans="1:2" x14ac:dyDescent="0.25">
      <c r="A56" t="s">
        <v>1529</v>
      </c>
    </row>
    <row r="57" spans="1:2" x14ac:dyDescent="0.25">
      <c r="A57" t="s">
        <v>1565</v>
      </c>
    </row>
    <row r="58" spans="1:2" x14ac:dyDescent="0.25">
      <c r="A58" t="s">
        <v>1566</v>
      </c>
      <c r="B58" t="s">
        <v>1567</v>
      </c>
    </row>
    <row r="59" spans="1:2" x14ac:dyDescent="0.25">
      <c r="A59" t="s">
        <v>1568</v>
      </c>
    </row>
    <row r="60" spans="1:2" x14ac:dyDescent="0.25">
      <c r="A60" t="s">
        <v>1569</v>
      </c>
    </row>
    <row r="61" spans="1:2" x14ac:dyDescent="0.25">
      <c r="A61" t="s">
        <v>1570</v>
      </c>
    </row>
    <row r="62" spans="1:2" x14ac:dyDescent="0.25">
      <c r="A62" t="s">
        <v>1571</v>
      </c>
    </row>
    <row r="63" spans="1:2" x14ac:dyDescent="0.25">
      <c r="A63" t="s">
        <v>1572</v>
      </c>
    </row>
    <row r="64" spans="1:2" x14ac:dyDescent="0.25">
      <c r="A64" t="s">
        <v>1573</v>
      </c>
    </row>
    <row r="65" spans="1:4" x14ac:dyDescent="0.25">
      <c r="A65" t="s">
        <v>1574</v>
      </c>
    </row>
    <row r="66" spans="1:4" x14ac:dyDescent="0.25">
      <c r="A66" t="s">
        <v>1575</v>
      </c>
    </row>
    <row r="67" spans="1:4" x14ac:dyDescent="0.25">
      <c r="A67" t="s">
        <v>1517</v>
      </c>
    </row>
    <row r="69" spans="1:4" x14ac:dyDescent="0.25">
      <c r="A69" t="s">
        <v>1576</v>
      </c>
    </row>
    <row r="70" spans="1:4" x14ac:dyDescent="0.25">
      <c r="A70" t="e" cm="1">
        <f t="array" ref="A70">-- Se asumen constantes como en AS399                   : CIA=99</f>
        <v>#NAME?</v>
      </c>
      <c r="B70" t="s">
        <v>1577</v>
      </c>
      <c r="C70" t="s">
        <v>1578</v>
      </c>
      <c r="D70" t="s">
        <v>1579</v>
      </c>
    </row>
    <row r="71" spans="1:4" x14ac:dyDescent="0.25">
      <c r="A71" t="s">
        <v>1580</v>
      </c>
    </row>
    <row r="72" spans="1:4" x14ac:dyDescent="0.25">
      <c r="A72" t="s">
        <v>1529</v>
      </c>
    </row>
    <row r="73" spans="1:4" x14ac:dyDescent="0.25">
      <c r="A73" t="s">
        <v>1581</v>
      </c>
      <c r="B73" t="s">
        <v>1582</v>
      </c>
    </row>
    <row r="74" spans="1:4" x14ac:dyDescent="0.25">
      <c r="A74" t="s">
        <v>1583</v>
      </c>
    </row>
    <row r="75" spans="1:4" x14ac:dyDescent="0.25">
      <c r="A75" t="s">
        <v>1584</v>
      </c>
    </row>
    <row r="76" spans="1:4" x14ac:dyDescent="0.25">
      <c r="A76" t="s">
        <v>1585</v>
      </c>
    </row>
    <row r="77" spans="1:4" x14ac:dyDescent="0.25">
      <c r="A77" t="s">
        <v>1586</v>
      </c>
    </row>
    <row r="78" spans="1:4" x14ac:dyDescent="0.25">
      <c r="A78" t="s">
        <v>1587</v>
      </c>
    </row>
    <row r="79" spans="1:4" x14ac:dyDescent="0.25">
      <c r="A79" t="s">
        <v>1588</v>
      </c>
    </row>
    <row r="80" spans="1:4" x14ac:dyDescent="0.25">
      <c r="A80" t="s">
        <v>1589</v>
      </c>
    </row>
    <row r="81" spans="1:1" x14ac:dyDescent="0.25">
      <c r="A81" t="s">
        <v>1590</v>
      </c>
    </row>
    <row r="82" spans="1:1" x14ac:dyDescent="0.25">
      <c r="A82" t="s">
        <v>1517</v>
      </c>
    </row>
    <row r="84" spans="1:1" x14ac:dyDescent="0.25">
      <c r="A84" t="s">
        <v>1591</v>
      </c>
    </row>
    <row r="85" spans="1:1" x14ac:dyDescent="0.25">
      <c r="A85" t="s">
        <v>1592</v>
      </c>
    </row>
    <row r="86" spans="1:1" x14ac:dyDescent="0.25">
      <c r="A86" t="s">
        <v>1529</v>
      </c>
    </row>
    <row r="87" spans="1:1" x14ac:dyDescent="0.25">
      <c r="A87" t="s">
        <v>1593</v>
      </c>
    </row>
    <row r="88" spans="1:1" x14ac:dyDescent="0.25">
      <c r="A88" t="s">
        <v>1594</v>
      </c>
    </row>
    <row r="89" spans="1:1" x14ac:dyDescent="0.25">
      <c r="A89" t="s">
        <v>1595</v>
      </c>
    </row>
    <row r="90" spans="1:1" x14ac:dyDescent="0.25">
      <c r="A90" t="s">
        <v>1596</v>
      </c>
    </row>
    <row r="91" spans="1:1" x14ac:dyDescent="0.25">
      <c r="A91" t="s">
        <v>1597</v>
      </c>
    </row>
    <row r="92" spans="1:1" x14ac:dyDescent="0.25">
      <c r="A92" t="s">
        <v>1598</v>
      </c>
    </row>
    <row r="93" spans="1:1" x14ac:dyDescent="0.25">
      <c r="A93" t="s">
        <v>1517</v>
      </c>
    </row>
    <row r="95" spans="1:1" x14ac:dyDescent="0.25">
      <c r="A95" t="s">
        <v>1599</v>
      </c>
    </row>
    <row r="96" spans="1:1" x14ac:dyDescent="0.25">
      <c r="A96" t="s">
        <v>1529</v>
      </c>
    </row>
    <row r="97" spans="1:1" x14ac:dyDescent="0.25">
      <c r="A97" t="s">
        <v>1600</v>
      </c>
    </row>
    <row r="98" spans="1:1" x14ac:dyDescent="0.25">
      <c r="A98" t="s">
        <v>1601</v>
      </c>
    </row>
    <row r="99" spans="1:1" x14ac:dyDescent="0.25">
      <c r="A99" t="s">
        <v>1602</v>
      </c>
    </row>
    <row r="100" spans="1:1" x14ac:dyDescent="0.25">
      <c r="A100" t="s">
        <v>1517</v>
      </c>
    </row>
    <row r="102" spans="1:1" x14ac:dyDescent="0.25">
      <c r="A102" t="s">
        <v>1603</v>
      </c>
    </row>
    <row r="103" spans="1:1" x14ac:dyDescent="0.25">
      <c r="A103" t="s">
        <v>1604</v>
      </c>
    </row>
    <row r="104" spans="1:1" x14ac:dyDescent="0.25">
      <c r="A104" t="s">
        <v>1529</v>
      </c>
    </row>
    <row r="105" spans="1:1" x14ac:dyDescent="0.25">
      <c r="A105" t="s">
        <v>1605</v>
      </c>
    </row>
    <row r="106" spans="1:1" x14ac:dyDescent="0.25">
      <c r="A106" t="s">
        <v>1606</v>
      </c>
    </row>
    <row r="107" spans="1:1" x14ac:dyDescent="0.25">
      <c r="A107" t="s">
        <v>1607</v>
      </c>
    </row>
    <row r="108" spans="1:1" x14ac:dyDescent="0.25">
      <c r="A108" t="s">
        <v>1608</v>
      </c>
    </row>
    <row r="109" spans="1:1" x14ac:dyDescent="0.25">
      <c r="A109" t="s">
        <v>1609</v>
      </c>
    </row>
    <row r="110" spans="1:1" x14ac:dyDescent="0.25">
      <c r="A110" t="s">
        <v>1610</v>
      </c>
    </row>
    <row r="111" spans="1:1" x14ac:dyDescent="0.25">
      <c r="A111" t="s">
        <v>1611</v>
      </c>
    </row>
    <row r="112" spans="1:1" x14ac:dyDescent="0.25">
      <c r="A112" t="s">
        <v>1612</v>
      </c>
    </row>
    <row r="113" spans="1:3" x14ac:dyDescent="0.25">
      <c r="A113" t="s">
        <v>1613</v>
      </c>
      <c r="B113" t="s">
        <v>1614</v>
      </c>
      <c r="C113" t="s">
        <v>1615</v>
      </c>
    </row>
    <row r="114" spans="1:3" x14ac:dyDescent="0.25">
      <c r="A114" t="s">
        <v>1616</v>
      </c>
      <c r="B114" t="s">
        <v>1615</v>
      </c>
    </row>
    <row r="115" spans="1:3" x14ac:dyDescent="0.25">
      <c r="A115" t="s">
        <v>1617</v>
      </c>
    </row>
    <row r="116" spans="1:3" x14ac:dyDescent="0.25">
      <c r="A116" t="s">
        <v>1618</v>
      </c>
    </row>
    <row r="117" spans="1:3" x14ac:dyDescent="0.25">
      <c r="A117" t="s">
        <v>1619</v>
      </c>
    </row>
    <row r="118" spans="1:3" x14ac:dyDescent="0.25">
      <c r="A118" t="s">
        <v>1620</v>
      </c>
      <c r="B118" t="s">
        <v>1621</v>
      </c>
      <c r="C118" t="s">
        <v>1622</v>
      </c>
    </row>
    <row r="119" spans="1:3" x14ac:dyDescent="0.25">
      <c r="A119" t="s">
        <v>1620</v>
      </c>
      <c r="B119" t="s">
        <v>1621</v>
      </c>
      <c r="C119" t="s">
        <v>1623</v>
      </c>
    </row>
    <row r="120" spans="1:3" x14ac:dyDescent="0.25">
      <c r="A120" t="s">
        <v>1624</v>
      </c>
    </row>
    <row r="121" spans="1:3" x14ac:dyDescent="0.25">
      <c r="A121" t="s">
        <v>1625</v>
      </c>
    </row>
    <row r="122" spans="1:3" x14ac:dyDescent="0.25">
      <c r="A122" t="s">
        <v>1626</v>
      </c>
    </row>
    <row r="123" spans="1:3" x14ac:dyDescent="0.25">
      <c r="A123" t="s">
        <v>1627</v>
      </c>
    </row>
    <row r="124" spans="1:3" x14ac:dyDescent="0.25">
      <c r="A124" t="s">
        <v>1628</v>
      </c>
    </row>
    <row r="125" spans="1:3" x14ac:dyDescent="0.25">
      <c r="A125" t="s">
        <v>1629</v>
      </c>
    </row>
    <row r="126" spans="1:3" x14ac:dyDescent="0.25">
      <c r="A126" t="s">
        <v>1630</v>
      </c>
    </row>
    <row r="127" spans="1:3" x14ac:dyDescent="0.25">
      <c r="A127" t="s">
        <v>1631</v>
      </c>
    </row>
    <row r="128" spans="1:3" x14ac:dyDescent="0.25">
      <c r="A128" t="s">
        <v>1632</v>
      </c>
    </row>
    <row r="129" spans="1:2" x14ac:dyDescent="0.25">
      <c r="A129" t="s">
        <v>1517</v>
      </c>
    </row>
    <row r="131" spans="1:2" x14ac:dyDescent="0.25">
      <c r="A131" t="e" cm="1">
        <f t="array" ref="A131">-- Consulta final ordenada</f>
        <v>#NAME?</v>
      </c>
    </row>
    <row r="132" spans="1:2" x14ac:dyDescent="0.25">
      <c r="A132" t="s">
        <v>1633</v>
      </c>
    </row>
    <row r="133" spans="1:2" x14ac:dyDescent="0.25">
      <c r="A133" t="s">
        <v>1634</v>
      </c>
    </row>
    <row r="134" spans="1:2" x14ac:dyDescent="0.25">
      <c r="A134" t="s">
        <v>1635</v>
      </c>
      <c r="B134" t="s">
        <v>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D0C8-428E-4A04-B6FF-060CAAEE1493}">
  <dimension ref="A1:A94"/>
  <sheetViews>
    <sheetView topLeftCell="A85" workbookViewId="0">
      <selection activeCell="G110" sqref="G110"/>
    </sheetView>
  </sheetViews>
  <sheetFormatPr baseColWidth="10" defaultColWidth="11.42578125" defaultRowHeight="15" x14ac:dyDescent="0.25"/>
  <sheetData>
    <row r="1" spans="1:1" x14ac:dyDescent="0.25">
      <c r="A1" s="14" t="s">
        <v>1637</v>
      </c>
    </row>
    <row r="2" spans="1:1" x14ac:dyDescent="0.25">
      <c r="A2" s="14" t="s">
        <v>1638</v>
      </c>
    </row>
    <row r="3" spans="1:1" x14ac:dyDescent="0.25">
      <c r="A3" s="14" t="s">
        <v>1637</v>
      </c>
    </row>
    <row r="4" spans="1:1" x14ac:dyDescent="0.25">
      <c r="A4" s="15" t="s">
        <v>1639</v>
      </c>
    </row>
    <row r="5" spans="1:1" x14ac:dyDescent="0.25">
      <c r="A5" s="16" t="s">
        <v>1640</v>
      </c>
    </row>
    <row r="6" spans="1:1" x14ac:dyDescent="0.25">
      <c r="A6" s="16" t="s">
        <v>1641</v>
      </c>
    </row>
    <row r="7" spans="1:1" x14ac:dyDescent="0.25">
      <c r="A7" s="16" t="s">
        <v>1642</v>
      </c>
    </row>
    <row r="8" spans="1:1" x14ac:dyDescent="0.25">
      <c r="A8" s="16" t="s">
        <v>1643</v>
      </c>
    </row>
    <row r="9" spans="1:1" x14ac:dyDescent="0.25">
      <c r="A9" s="17" t="s">
        <v>1644</v>
      </c>
    </row>
    <row r="10" spans="1:1" x14ac:dyDescent="0.25">
      <c r="A10" s="18"/>
    </row>
    <row r="11" spans="1:1" x14ac:dyDescent="0.25">
      <c r="A11" s="14" t="s">
        <v>1637</v>
      </c>
    </row>
    <row r="12" spans="1:1" x14ac:dyDescent="0.25">
      <c r="A12" s="14" t="s">
        <v>1645</v>
      </c>
    </row>
    <row r="13" spans="1:1" x14ac:dyDescent="0.25">
      <c r="A13" s="14" t="s">
        <v>1637</v>
      </c>
    </row>
    <row r="14" spans="1:1" x14ac:dyDescent="0.25">
      <c r="A14" s="19" t="s">
        <v>1646</v>
      </c>
    </row>
    <row r="15" spans="1:1" x14ac:dyDescent="0.25">
      <c r="A15" s="16" t="s">
        <v>1647</v>
      </c>
    </row>
    <row r="16" spans="1:1" x14ac:dyDescent="0.25">
      <c r="A16" s="16" t="s">
        <v>1648</v>
      </c>
    </row>
    <row r="17" spans="1:1" x14ac:dyDescent="0.25">
      <c r="A17" s="16" t="s">
        <v>1649</v>
      </c>
    </row>
    <row r="18" spans="1:1" x14ac:dyDescent="0.25">
      <c r="A18" s="16" t="s">
        <v>1650</v>
      </c>
    </row>
    <row r="19" spans="1:1" x14ac:dyDescent="0.25">
      <c r="A19" s="16" t="s">
        <v>1651</v>
      </c>
    </row>
    <row r="20" spans="1:1" x14ac:dyDescent="0.25">
      <c r="A20" s="16" t="s">
        <v>1652</v>
      </c>
    </row>
    <row r="21" spans="1:1" x14ac:dyDescent="0.25">
      <c r="A21" s="16" t="s">
        <v>1653</v>
      </c>
    </row>
    <row r="22" spans="1:1" x14ac:dyDescent="0.25">
      <c r="A22" s="16" t="s">
        <v>1654</v>
      </c>
    </row>
    <row r="23" spans="1:1" x14ac:dyDescent="0.25">
      <c r="A23" s="16" t="s">
        <v>1655</v>
      </c>
    </row>
    <row r="24" spans="1:1" x14ac:dyDescent="0.25">
      <c r="A24" s="16" t="s">
        <v>1656</v>
      </c>
    </row>
    <row r="25" spans="1:1" x14ac:dyDescent="0.25">
      <c r="A25" s="16" t="s">
        <v>1657</v>
      </c>
    </row>
    <row r="26" spans="1:1" x14ac:dyDescent="0.25">
      <c r="A26" s="17" t="s">
        <v>1644</v>
      </c>
    </row>
    <row r="27" spans="1:1" x14ac:dyDescent="0.25">
      <c r="A27" s="18"/>
    </row>
    <row r="28" spans="1:1" x14ac:dyDescent="0.25">
      <c r="A28" s="18"/>
    </row>
    <row r="29" spans="1:1" x14ac:dyDescent="0.25">
      <c r="A29" s="14" t="s">
        <v>1637</v>
      </c>
    </row>
    <row r="30" spans="1:1" x14ac:dyDescent="0.25">
      <c r="A30" s="14" t="s">
        <v>1658</v>
      </c>
    </row>
    <row r="31" spans="1:1" x14ac:dyDescent="0.25">
      <c r="A31" s="14" t="s">
        <v>1637</v>
      </c>
    </row>
    <row r="32" spans="1:1" x14ac:dyDescent="0.25">
      <c r="A32" s="19" t="s">
        <v>1659</v>
      </c>
    </row>
    <row r="33" spans="1:1" x14ac:dyDescent="0.25">
      <c r="A33" s="16" t="s">
        <v>1647</v>
      </c>
    </row>
    <row r="34" spans="1:1" x14ac:dyDescent="0.25">
      <c r="A34" s="18"/>
    </row>
    <row r="35" spans="1:1" x14ac:dyDescent="0.25">
      <c r="A35" s="16" t="s">
        <v>1660</v>
      </c>
    </row>
    <row r="36" spans="1:1" x14ac:dyDescent="0.25">
      <c r="A36" s="16" t="s">
        <v>1661</v>
      </c>
    </row>
    <row r="37" spans="1:1" x14ac:dyDescent="0.25">
      <c r="A37" s="16" t="s">
        <v>1662</v>
      </c>
    </row>
    <row r="38" spans="1:1" x14ac:dyDescent="0.25">
      <c r="A38" s="16" t="s">
        <v>1663</v>
      </c>
    </row>
    <row r="39" spans="1:1" x14ac:dyDescent="0.25">
      <c r="A39" s="16" t="s">
        <v>1664</v>
      </c>
    </row>
    <row r="40" spans="1:1" x14ac:dyDescent="0.25">
      <c r="A40" s="16" t="s">
        <v>1665</v>
      </c>
    </row>
    <row r="41" spans="1:1" x14ac:dyDescent="0.25">
      <c r="A41" s="16" t="s">
        <v>1666</v>
      </c>
    </row>
    <row r="42" spans="1:1" x14ac:dyDescent="0.25">
      <c r="A42" s="16" t="s">
        <v>1667</v>
      </c>
    </row>
    <row r="43" spans="1:1" x14ac:dyDescent="0.25">
      <c r="A43" s="16" t="s">
        <v>1668</v>
      </c>
    </row>
    <row r="44" spans="1:1" x14ac:dyDescent="0.25">
      <c r="A44" s="16" t="s">
        <v>1669</v>
      </c>
    </row>
    <row r="45" spans="1:1" x14ac:dyDescent="0.25">
      <c r="A45" s="16" t="s">
        <v>1670</v>
      </c>
    </row>
    <row r="46" spans="1:1" x14ac:dyDescent="0.25">
      <c r="A46" s="16" t="s">
        <v>1671</v>
      </c>
    </row>
    <row r="47" spans="1:1" x14ac:dyDescent="0.25">
      <c r="A47" s="16" t="s">
        <v>1672</v>
      </c>
    </row>
    <row r="48" spans="1:1" x14ac:dyDescent="0.25">
      <c r="A48" s="16" t="s">
        <v>1673</v>
      </c>
    </row>
    <row r="49" spans="1:1" x14ac:dyDescent="0.25">
      <c r="A49" s="17" t="s">
        <v>1644</v>
      </c>
    </row>
    <row r="50" spans="1:1" x14ac:dyDescent="0.25">
      <c r="A50" s="18"/>
    </row>
    <row r="51" spans="1:1" x14ac:dyDescent="0.25">
      <c r="A51" s="18"/>
    </row>
    <row r="52" spans="1:1" x14ac:dyDescent="0.25">
      <c r="A52" s="14" t="s">
        <v>1637</v>
      </c>
    </row>
    <row r="53" spans="1:1" x14ac:dyDescent="0.25">
      <c r="A53" s="14" t="s">
        <v>1674</v>
      </c>
    </row>
    <row r="54" spans="1:1" x14ac:dyDescent="0.25">
      <c r="A54" s="14" t="s">
        <v>1637</v>
      </c>
    </row>
    <row r="55" spans="1:1" x14ac:dyDescent="0.25">
      <c r="A55" s="19" t="s">
        <v>1675</v>
      </c>
    </row>
    <row r="56" spans="1:1" x14ac:dyDescent="0.25">
      <c r="A56" s="16" t="s">
        <v>1647</v>
      </c>
    </row>
    <row r="57" spans="1:1" x14ac:dyDescent="0.25">
      <c r="A57" s="16" t="s">
        <v>1676</v>
      </c>
    </row>
    <row r="58" spans="1:1" x14ac:dyDescent="0.25">
      <c r="A58" s="16" t="s">
        <v>1677</v>
      </c>
    </row>
    <row r="59" spans="1:1" x14ac:dyDescent="0.25">
      <c r="A59" s="16" t="s">
        <v>1678</v>
      </c>
    </row>
    <row r="60" spans="1:1" x14ac:dyDescent="0.25">
      <c r="A60" s="16" t="s">
        <v>1679</v>
      </c>
    </row>
    <row r="61" spans="1:1" x14ac:dyDescent="0.25">
      <c r="A61" s="16" t="s">
        <v>1680</v>
      </c>
    </row>
    <row r="62" spans="1:1" x14ac:dyDescent="0.25">
      <c r="A62" s="16" t="s">
        <v>1681</v>
      </c>
    </row>
    <row r="63" spans="1:1" x14ac:dyDescent="0.25">
      <c r="A63" s="16" t="s">
        <v>1682</v>
      </c>
    </row>
    <row r="64" spans="1:1" x14ac:dyDescent="0.25">
      <c r="A64" s="16" t="s">
        <v>1683</v>
      </c>
    </row>
    <row r="65" spans="1:1" x14ac:dyDescent="0.25">
      <c r="A65" s="16" t="s">
        <v>1684</v>
      </c>
    </row>
    <row r="66" spans="1:1" x14ac:dyDescent="0.25">
      <c r="A66" s="16" t="s">
        <v>1685</v>
      </c>
    </row>
    <row r="67" spans="1:1" x14ac:dyDescent="0.25">
      <c r="A67" s="16" t="s">
        <v>1686</v>
      </c>
    </row>
    <row r="68" spans="1:1" x14ac:dyDescent="0.25">
      <c r="A68" s="16" t="s">
        <v>1687</v>
      </c>
    </row>
    <row r="69" spans="1:1" x14ac:dyDescent="0.25">
      <c r="A69" s="16" t="s">
        <v>1688</v>
      </c>
    </row>
    <row r="70" spans="1:1" x14ac:dyDescent="0.25">
      <c r="A70" s="16" t="s">
        <v>1689</v>
      </c>
    </row>
    <row r="71" spans="1:1" x14ac:dyDescent="0.25">
      <c r="A71" s="16" t="s">
        <v>1690</v>
      </c>
    </row>
    <row r="72" spans="1:1" x14ac:dyDescent="0.25">
      <c r="A72" s="16" t="s">
        <v>1691</v>
      </c>
    </row>
    <row r="73" spans="1:1" x14ac:dyDescent="0.25">
      <c r="A73" s="16" t="s">
        <v>1692</v>
      </c>
    </row>
    <row r="74" spans="1:1" x14ac:dyDescent="0.25">
      <c r="A74" s="16" t="s">
        <v>1693</v>
      </c>
    </row>
    <row r="75" spans="1:1" x14ac:dyDescent="0.25">
      <c r="A75" s="16" t="s">
        <v>1694</v>
      </c>
    </row>
    <row r="76" spans="1:1" x14ac:dyDescent="0.25">
      <c r="A76" s="16" t="s">
        <v>1695</v>
      </c>
    </row>
    <row r="77" spans="1:1" x14ac:dyDescent="0.25">
      <c r="A77" s="16" t="s">
        <v>1696</v>
      </c>
    </row>
    <row r="78" spans="1:1" x14ac:dyDescent="0.25">
      <c r="A78" s="16" t="s">
        <v>1697</v>
      </c>
    </row>
    <row r="79" spans="1:1" x14ac:dyDescent="0.25">
      <c r="A79" s="16" t="s">
        <v>1698</v>
      </c>
    </row>
    <row r="80" spans="1:1" x14ac:dyDescent="0.25">
      <c r="A80" s="16" t="s">
        <v>1699</v>
      </c>
    </row>
    <row r="81" spans="1:1" x14ac:dyDescent="0.25">
      <c r="A81" s="16" t="s">
        <v>1700</v>
      </c>
    </row>
    <row r="82" spans="1:1" x14ac:dyDescent="0.25">
      <c r="A82" s="16" t="s">
        <v>1701</v>
      </c>
    </row>
    <row r="83" spans="1:1" x14ac:dyDescent="0.25">
      <c r="A83" s="16" t="s">
        <v>1702</v>
      </c>
    </row>
    <row r="84" spans="1:1" x14ac:dyDescent="0.25">
      <c r="A84" s="16" t="s">
        <v>1703</v>
      </c>
    </row>
    <row r="85" spans="1:1" x14ac:dyDescent="0.25">
      <c r="A85" s="16" t="s">
        <v>1704</v>
      </c>
    </row>
    <row r="86" spans="1:1" x14ac:dyDescent="0.25">
      <c r="A86" s="16" t="s">
        <v>1705</v>
      </c>
    </row>
    <row r="87" spans="1:1" x14ac:dyDescent="0.25">
      <c r="A87" s="16" t="s">
        <v>1706</v>
      </c>
    </row>
    <row r="88" spans="1:1" x14ac:dyDescent="0.25">
      <c r="A88" s="18"/>
    </row>
    <row r="89" spans="1:1" x14ac:dyDescent="0.25">
      <c r="A89" s="16" t="s">
        <v>1707</v>
      </c>
    </row>
    <row r="90" spans="1:1" x14ac:dyDescent="0.25">
      <c r="A90" s="17" t="s">
        <v>1517</v>
      </c>
    </row>
    <row r="91" spans="1:1" x14ac:dyDescent="0.25">
      <c r="A91" s="16" t="s">
        <v>1708</v>
      </c>
    </row>
    <row r="92" spans="1:1" x14ac:dyDescent="0.25">
      <c r="A92" s="15" t="s">
        <v>1709</v>
      </c>
    </row>
    <row r="93" spans="1:1" x14ac:dyDescent="0.25">
      <c r="A93" s="15" t="s">
        <v>1710</v>
      </c>
    </row>
    <row r="94" spans="1:1" x14ac:dyDescent="0.25">
      <c r="A94" s="15" t="s">
        <v>1711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D894-A2F3-48ED-A4D9-69D765123041}">
  <dimension ref="A1:K103"/>
  <sheetViews>
    <sheetView topLeftCell="A52" zoomScale="120" zoomScaleNormal="120" workbookViewId="0">
      <selection activeCell="A52" sqref="A1:A1048576"/>
    </sheetView>
  </sheetViews>
  <sheetFormatPr baseColWidth="10" defaultColWidth="11.42578125" defaultRowHeight="15" x14ac:dyDescent="0.25"/>
  <cols>
    <col min="10" max="10" width="24.5703125" customWidth="1"/>
    <col min="11" max="11" width="18.85546875" customWidth="1"/>
  </cols>
  <sheetData>
    <row r="1" spans="1:11" x14ac:dyDescent="0.25">
      <c r="A1" s="14" t="s">
        <v>1637</v>
      </c>
    </row>
    <row r="2" spans="1:11" x14ac:dyDescent="0.25">
      <c r="A2" s="14" t="s">
        <v>1638</v>
      </c>
    </row>
    <row r="3" spans="1:11" x14ac:dyDescent="0.25">
      <c r="A3" s="14" t="s">
        <v>1637</v>
      </c>
    </row>
    <row r="4" spans="1:11" x14ac:dyDescent="0.25">
      <c r="A4" s="15" t="s">
        <v>1639</v>
      </c>
      <c r="I4" s="21" t="s">
        <v>1712</v>
      </c>
      <c r="J4" s="21" t="s">
        <v>1713</v>
      </c>
      <c r="K4" s="21" t="s">
        <v>1714</v>
      </c>
    </row>
    <row r="5" spans="1:11" x14ac:dyDescent="0.25">
      <c r="A5" s="16" t="s">
        <v>1715</v>
      </c>
      <c r="I5" s="21" t="s">
        <v>1716</v>
      </c>
      <c r="J5" s="22" t="s">
        <v>1717</v>
      </c>
      <c r="K5" s="21" t="s">
        <v>1718</v>
      </c>
    </row>
    <row r="6" spans="1:11" x14ac:dyDescent="0.25">
      <c r="A6" s="16" t="s">
        <v>1719</v>
      </c>
      <c r="I6" s="21" t="s">
        <v>1720</v>
      </c>
      <c r="J6" s="22" t="s">
        <v>1717</v>
      </c>
      <c r="K6" s="21" t="s">
        <v>1721</v>
      </c>
    </row>
    <row r="7" spans="1:11" x14ac:dyDescent="0.25">
      <c r="A7" s="16" t="s">
        <v>1722</v>
      </c>
      <c r="I7" s="22" t="s">
        <v>1723</v>
      </c>
      <c r="J7" s="22" t="s">
        <v>1724</v>
      </c>
      <c r="K7" s="21" t="s">
        <v>1725</v>
      </c>
    </row>
    <row r="8" spans="1:11" x14ac:dyDescent="0.25">
      <c r="A8" s="16" t="s">
        <v>1726</v>
      </c>
      <c r="I8" s="21" t="s">
        <v>1727</v>
      </c>
      <c r="J8" s="22" t="s">
        <v>1717</v>
      </c>
      <c r="K8" s="21" t="s">
        <v>1718</v>
      </c>
    </row>
    <row r="9" spans="1:11" x14ac:dyDescent="0.25">
      <c r="A9" s="17" t="s">
        <v>1644</v>
      </c>
      <c r="I9" s="21" t="s">
        <v>1728</v>
      </c>
      <c r="J9" s="22" t="s">
        <v>1717</v>
      </c>
      <c r="K9" s="21" t="s">
        <v>1718</v>
      </c>
    </row>
    <row r="10" spans="1:11" x14ac:dyDescent="0.25">
      <c r="A10" s="18"/>
      <c r="I10" s="21" t="s">
        <v>1729</v>
      </c>
      <c r="J10" s="22" t="s">
        <v>1724</v>
      </c>
      <c r="K10" s="21" t="s">
        <v>1725</v>
      </c>
    </row>
    <row r="11" spans="1:11" x14ac:dyDescent="0.25">
      <c r="A11" s="14" t="s">
        <v>1637</v>
      </c>
    </row>
    <row r="12" spans="1:11" x14ac:dyDescent="0.25">
      <c r="A12" s="14" t="s">
        <v>1730</v>
      </c>
    </row>
    <row r="13" spans="1:11" x14ac:dyDescent="0.25">
      <c r="A13" s="14" t="s">
        <v>1637</v>
      </c>
    </row>
    <row r="14" spans="1:11" x14ac:dyDescent="0.25">
      <c r="A14" s="19" t="s">
        <v>1731</v>
      </c>
    </row>
    <row r="15" spans="1:11" x14ac:dyDescent="0.25">
      <c r="A15" s="16" t="s">
        <v>1732</v>
      </c>
    </row>
    <row r="16" spans="1:11" x14ac:dyDescent="0.25">
      <c r="A16" s="16" t="s">
        <v>1733</v>
      </c>
    </row>
    <row r="17" spans="1:1" x14ac:dyDescent="0.25">
      <c r="A17" s="16" t="s">
        <v>1734</v>
      </c>
    </row>
    <row r="18" spans="1:1" x14ac:dyDescent="0.25">
      <c r="A18" s="16" t="s">
        <v>1735</v>
      </c>
    </row>
    <row r="19" spans="1:1" x14ac:dyDescent="0.25">
      <c r="A19" s="16" t="s">
        <v>1736</v>
      </c>
    </row>
    <row r="20" spans="1:1" x14ac:dyDescent="0.25">
      <c r="A20" s="16" t="s">
        <v>1737</v>
      </c>
    </row>
    <row r="21" spans="1:1" x14ac:dyDescent="0.25">
      <c r="A21" s="16" t="s">
        <v>1738</v>
      </c>
    </row>
    <row r="22" spans="1:1" x14ac:dyDescent="0.25">
      <c r="A22" s="16" t="s">
        <v>1739</v>
      </c>
    </row>
    <row r="23" spans="1:1" x14ac:dyDescent="0.25">
      <c r="A23" s="16" t="s">
        <v>1740</v>
      </c>
    </row>
    <row r="24" spans="1:1" x14ac:dyDescent="0.25">
      <c r="A24" s="16" t="s">
        <v>1741</v>
      </c>
    </row>
    <row r="25" spans="1:1" x14ac:dyDescent="0.25">
      <c r="A25" s="16" t="s">
        <v>1742</v>
      </c>
    </row>
    <row r="26" spans="1:1" x14ac:dyDescent="0.25">
      <c r="A26" s="16" t="s">
        <v>1743</v>
      </c>
    </row>
    <row r="27" spans="1:1" x14ac:dyDescent="0.25">
      <c r="A27" s="17" t="s">
        <v>1644</v>
      </c>
    </row>
    <row r="28" spans="1:1" x14ac:dyDescent="0.25">
      <c r="A28" s="18"/>
    </row>
    <row r="29" spans="1:1" x14ac:dyDescent="0.25">
      <c r="A29" s="18"/>
    </row>
    <row r="30" spans="1:1" x14ac:dyDescent="0.25">
      <c r="A30" s="14" t="s">
        <v>1637</v>
      </c>
    </row>
    <row r="31" spans="1:1" x14ac:dyDescent="0.25">
      <c r="A31" s="20" t="s">
        <v>1744</v>
      </c>
    </row>
    <row r="32" spans="1:1" x14ac:dyDescent="0.25">
      <c r="A32" s="14" t="s">
        <v>1637</v>
      </c>
    </row>
    <row r="33" spans="1:1" x14ac:dyDescent="0.25">
      <c r="A33" s="19" t="s">
        <v>1659</v>
      </c>
    </row>
    <row r="34" spans="1:1" x14ac:dyDescent="0.25">
      <c r="A34" s="16" t="s">
        <v>1732</v>
      </c>
    </row>
    <row r="35" spans="1:1" x14ac:dyDescent="0.25">
      <c r="A35" s="18"/>
    </row>
    <row r="36" spans="1:1" x14ac:dyDescent="0.25">
      <c r="A36" s="16" t="s">
        <v>1745</v>
      </c>
    </row>
    <row r="37" spans="1:1" x14ac:dyDescent="0.25">
      <c r="A37" s="16" t="s">
        <v>1746</v>
      </c>
    </row>
    <row r="38" spans="1:1" x14ac:dyDescent="0.25">
      <c r="A38" s="16" t="s">
        <v>1747</v>
      </c>
    </row>
    <row r="39" spans="1:1" x14ac:dyDescent="0.25">
      <c r="A39" s="16" t="s">
        <v>1748</v>
      </c>
    </row>
    <row r="40" spans="1:1" x14ac:dyDescent="0.25">
      <c r="A40" s="16" t="s">
        <v>1749</v>
      </c>
    </row>
    <row r="41" spans="1:1" x14ac:dyDescent="0.25">
      <c r="A41" s="16" t="s">
        <v>1750</v>
      </c>
    </row>
    <row r="42" spans="1:1" x14ac:dyDescent="0.25">
      <c r="A42" s="16" t="s">
        <v>1751</v>
      </c>
    </row>
    <row r="43" spans="1:1" x14ac:dyDescent="0.25">
      <c r="A43" s="16" t="s">
        <v>1752</v>
      </c>
    </row>
    <row r="44" spans="1:1" x14ac:dyDescent="0.25">
      <c r="A44" s="16" t="s">
        <v>1753</v>
      </c>
    </row>
    <row r="45" spans="1:1" x14ac:dyDescent="0.25">
      <c r="A45" s="16" t="s">
        <v>1754</v>
      </c>
    </row>
    <row r="46" spans="1:1" x14ac:dyDescent="0.25">
      <c r="A46" s="16" t="s">
        <v>1755</v>
      </c>
    </row>
    <row r="47" spans="1:1" x14ac:dyDescent="0.25">
      <c r="A47" s="16" t="s">
        <v>1756</v>
      </c>
    </row>
    <row r="48" spans="1:1" x14ac:dyDescent="0.25">
      <c r="A48" s="16" t="s">
        <v>1757</v>
      </c>
    </row>
    <row r="49" spans="1:1" x14ac:dyDescent="0.25">
      <c r="A49" s="16" t="s">
        <v>1758</v>
      </c>
    </row>
    <row r="50" spans="1:1" x14ac:dyDescent="0.25">
      <c r="A50" s="17" t="s">
        <v>1644</v>
      </c>
    </row>
    <row r="51" spans="1:1" x14ac:dyDescent="0.25">
      <c r="A51" s="18"/>
    </row>
    <row r="52" spans="1:1" x14ac:dyDescent="0.25">
      <c r="A52" s="18"/>
    </row>
    <row r="53" spans="1:1" x14ac:dyDescent="0.25">
      <c r="A53" s="14" t="s">
        <v>1637</v>
      </c>
    </row>
    <row r="54" spans="1:1" x14ac:dyDescent="0.25">
      <c r="A54" s="20" t="s">
        <v>1759</v>
      </c>
    </row>
    <row r="55" spans="1:1" x14ac:dyDescent="0.25">
      <c r="A55" s="14" t="s">
        <v>1637</v>
      </c>
    </row>
    <row r="56" spans="1:1" x14ac:dyDescent="0.25">
      <c r="A56" s="19" t="s">
        <v>1675</v>
      </c>
    </row>
    <row r="57" spans="1:1" x14ac:dyDescent="0.25">
      <c r="A57" s="16" t="s">
        <v>1732</v>
      </c>
    </row>
    <row r="58" spans="1:1" x14ac:dyDescent="0.25">
      <c r="A58" s="16" t="s">
        <v>1760</v>
      </c>
    </row>
    <row r="59" spans="1:1" x14ac:dyDescent="0.25">
      <c r="A59" s="16" t="s">
        <v>1761</v>
      </c>
    </row>
    <row r="60" spans="1:1" x14ac:dyDescent="0.25">
      <c r="A60" s="16" t="s">
        <v>1762</v>
      </c>
    </row>
    <row r="61" spans="1:1" x14ac:dyDescent="0.25">
      <c r="A61" s="16" t="s">
        <v>1763</v>
      </c>
    </row>
    <row r="62" spans="1:1" x14ac:dyDescent="0.25">
      <c r="A62" s="16" t="s">
        <v>1764</v>
      </c>
    </row>
    <row r="63" spans="1:1" x14ac:dyDescent="0.25">
      <c r="A63" s="16" t="s">
        <v>1765</v>
      </c>
    </row>
    <row r="64" spans="1:1" x14ac:dyDescent="0.25">
      <c r="A64" s="16" t="s">
        <v>1766</v>
      </c>
    </row>
    <row r="65" spans="1:1" x14ac:dyDescent="0.25">
      <c r="A65" s="16" t="s">
        <v>1767</v>
      </c>
    </row>
    <row r="66" spans="1:1" x14ac:dyDescent="0.25">
      <c r="A66" s="16" t="s">
        <v>1768</v>
      </c>
    </row>
    <row r="67" spans="1:1" x14ac:dyDescent="0.25">
      <c r="A67" s="16" t="s">
        <v>1769</v>
      </c>
    </row>
    <row r="68" spans="1:1" x14ac:dyDescent="0.25">
      <c r="A68" s="16" t="s">
        <v>1770</v>
      </c>
    </row>
    <row r="69" spans="1:1" x14ac:dyDescent="0.25">
      <c r="A69" s="16" t="s">
        <v>1771</v>
      </c>
    </row>
    <row r="70" spans="1:1" x14ac:dyDescent="0.25">
      <c r="A70" s="16" t="s">
        <v>1772</v>
      </c>
    </row>
    <row r="71" spans="1:1" x14ac:dyDescent="0.25">
      <c r="A71" s="16" t="s">
        <v>1773</v>
      </c>
    </row>
    <row r="72" spans="1:1" x14ac:dyDescent="0.25">
      <c r="A72" s="16" t="s">
        <v>1774</v>
      </c>
    </row>
    <row r="73" spans="1:1" x14ac:dyDescent="0.25">
      <c r="A73" s="16" t="s">
        <v>1775</v>
      </c>
    </row>
    <row r="74" spans="1:1" x14ac:dyDescent="0.25">
      <c r="A74" s="16" t="s">
        <v>1776</v>
      </c>
    </row>
    <row r="75" spans="1:1" x14ac:dyDescent="0.25">
      <c r="A75" s="16" t="s">
        <v>1777</v>
      </c>
    </row>
    <row r="76" spans="1:1" x14ac:dyDescent="0.25">
      <c r="A76" s="16" t="s">
        <v>1778</v>
      </c>
    </row>
    <row r="77" spans="1:1" x14ac:dyDescent="0.25">
      <c r="A77" s="16" t="s">
        <v>1779</v>
      </c>
    </row>
    <row r="78" spans="1:1" x14ac:dyDescent="0.25">
      <c r="A78" s="16" t="s">
        <v>1780</v>
      </c>
    </row>
    <row r="79" spans="1:1" x14ac:dyDescent="0.25">
      <c r="A79" s="16" t="s">
        <v>1781</v>
      </c>
    </row>
    <row r="80" spans="1:1" x14ac:dyDescent="0.25">
      <c r="A80" s="16" t="s">
        <v>1782</v>
      </c>
    </row>
    <row r="81" spans="1:1" x14ac:dyDescent="0.25">
      <c r="A81" s="16" t="s">
        <v>1783</v>
      </c>
    </row>
    <row r="82" spans="1:1" x14ac:dyDescent="0.25">
      <c r="A82" s="16" t="s">
        <v>1784</v>
      </c>
    </row>
    <row r="83" spans="1:1" x14ac:dyDescent="0.25">
      <c r="A83" s="18"/>
    </row>
    <row r="84" spans="1:1" x14ac:dyDescent="0.25">
      <c r="A84" s="18"/>
    </row>
    <row r="85" spans="1:1" x14ac:dyDescent="0.25">
      <c r="A85" s="16" t="s">
        <v>1785</v>
      </c>
    </row>
    <row r="86" spans="1:1" x14ac:dyDescent="0.25">
      <c r="A86" s="16" t="s">
        <v>1786</v>
      </c>
    </row>
    <row r="87" spans="1:1" x14ac:dyDescent="0.25">
      <c r="A87" s="16" t="s">
        <v>1787</v>
      </c>
    </row>
    <row r="88" spans="1:1" x14ac:dyDescent="0.25">
      <c r="A88" s="16" t="s">
        <v>1788</v>
      </c>
    </row>
    <row r="91" spans="1:1" x14ac:dyDescent="0.25">
      <c r="A91" s="16" t="s">
        <v>1789</v>
      </c>
    </row>
    <row r="92" spans="1:1" x14ac:dyDescent="0.25">
      <c r="A92" s="16" t="s">
        <v>1790</v>
      </c>
    </row>
    <row r="93" spans="1:1" x14ac:dyDescent="0.25">
      <c r="A93" s="16" t="s">
        <v>1791</v>
      </c>
    </row>
    <row r="94" spans="1:1" x14ac:dyDescent="0.25">
      <c r="A94" s="16" t="s">
        <v>1792</v>
      </c>
    </row>
    <row r="95" spans="1:1" x14ac:dyDescent="0.25">
      <c r="A95" s="16" t="s">
        <v>1793</v>
      </c>
    </row>
    <row r="96" spans="1:1" x14ac:dyDescent="0.25">
      <c r="A96" s="16" t="s">
        <v>1794</v>
      </c>
    </row>
    <row r="97" spans="1:1" x14ac:dyDescent="0.25">
      <c r="A97" s="16" t="s">
        <v>1795</v>
      </c>
    </row>
    <row r="98" spans="1:1" x14ac:dyDescent="0.25">
      <c r="A98" s="16" t="s">
        <v>1796</v>
      </c>
    </row>
    <row r="99" spans="1:1" x14ac:dyDescent="0.25">
      <c r="A99" s="16" t="s">
        <v>1797</v>
      </c>
    </row>
    <row r="100" spans="1:1" x14ac:dyDescent="0.25">
      <c r="A100" s="17" t="s">
        <v>1517</v>
      </c>
    </row>
    <row r="101" spans="1:1" x14ac:dyDescent="0.25">
      <c r="A101" s="15" t="s">
        <v>1798</v>
      </c>
    </row>
    <row r="102" spans="1:1" x14ac:dyDescent="0.25">
      <c r="A102" s="15" t="s">
        <v>1799</v>
      </c>
    </row>
    <row r="103" spans="1:1" x14ac:dyDescent="0.25">
      <c r="A103" s="1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84FC71-1D45-4B10-AD4A-900C9C4EF1B4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B2EACDBB-BEC6-4F67-815E-9E33AD6C6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B62B72-73BC-46AB-81A6-41EBD0CC60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logica_RPG</vt:lpstr>
      <vt:lpstr>tablas</vt:lpstr>
      <vt:lpstr>Logica_SQL</vt:lpstr>
      <vt:lpstr>Logica_SQL_V2</vt:lpstr>
      <vt:lpstr>sql_final</vt:lpstr>
      <vt:lpstr>sq_final-v2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YUPANQUI</dc:creator>
  <cp:keywords/>
  <dc:description/>
  <cp:lastModifiedBy>ANGELLO BRAVO</cp:lastModifiedBy>
  <cp:revision/>
  <dcterms:created xsi:type="dcterms:W3CDTF">2015-06-05T18:19:34Z</dcterms:created>
  <dcterms:modified xsi:type="dcterms:W3CDTF">2025-09-18T23:04:32Z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