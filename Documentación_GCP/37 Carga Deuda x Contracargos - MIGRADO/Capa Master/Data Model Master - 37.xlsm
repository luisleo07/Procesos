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mc:AlternateContent xmlns:mc="http://schemas.openxmlformats.org/markup-compatibility/2006">
    <mc:Choice Requires="x15">
      <x15ac:absPath xmlns:x15ac="http://schemas.microsoft.com/office/spreadsheetml/2010/11/ac" url="https://pmpmc.sharepoint.com/sites/EquipoDataIzipay/Shared Documents/1. Proyectos D&amp;A/2025/Migración OnPremises a Cloud/Operaciones y Riesgos (Walter Cori)/Documentación GCP/37 Carga Deuda x Contracargos - MIGRADO/Capa Master/"/>
    </mc:Choice>
  </mc:AlternateContent>
  <xr:revisionPtr revIDLastSave="248" documentId="8_{1DCF88E8-8811-44D0-8773-D3AB89B02E57}" xr6:coauthVersionLast="47" xr6:coauthVersionMax="47" xr10:uidLastSave="{15AEF2D9-EB29-4495-AECE-FBFB12C4AFCD}"/>
  <bookViews>
    <workbookView xWindow="-108" yWindow="-108" windowWidth="23256" windowHeight="12456" tabRatio="511" activeTab="2" xr2:uid="{00000000-000D-0000-FFFF-FFFF00000000}"/>
  </bookViews>
  <sheets>
    <sheet name="Datos Sensibles" sheetId="4" r:id="rId1"/>
    <sheet name="Estructuras del Modelo" sheetId="1" r:id="rId2"/>
    <sheet name="m_contracargo_devolucion" sheetId="2" r:id="rId3"/>
  </sheets>
  <functionGroups builtInGroupCount="19"/>
  <definedNames>
    <definedName name="_xlnm._FilterDatabase" localSheetId="2" hidden="1">m_contracargo_devolucion!$A$2:$M$40</definedName>
    <definedName name="_xleta.AND"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1" i="2" l="1"/>
  <c r="E18" i="2"/>
  <c r="E5" i="2"/>
  <c r="E6" i="2"/>
  <c r="E7" i="2"/>
  <c r="E8" i="2"/>
  <c r="E9" i="2"/>
  <c r="E10" i="2"/>
  <c r="E11" i="2"/>
  <c r="E12" i="2"/>
  <c r="E13" i="2"/>
  <c r="E14" i="2"/>
  <c r="E15" i="2"/>
  <c r="E16" i="2"/>
  <c r="E17" i="2"/>
  <c r="E19" i="2"/>
  <c r="E20" i="2"/>
  <c r="E22" i="2"/>
  <c r="E23" i="2"/>
  <c r="E24" i="2"/>
  <c r="E25" i="2"/>
  <c r="E26" i="2"/>
  <c r="E27" i="2"/>
  <c r="E28" i="2"/>
  <c r="E29" i="2"/>
  <c r="E30" i="2"/>
  <c r="E31" i="2"/>
  <c r="E32" i="2"/>
  <c r="E33" i="2"/>
  <c r="E34" i="2"/>
  <c r="E35" i="2"/>
  <c r="E36" i="2"/>
  <c r="E37" i="2"/>
  <c r="E4" i="2"/>
  <c r="E38" i="2"/>
  <c r="E39" i="2"/>
  <c r="E40" i="2"/>
  <c r="E3" i="2"/>
</calcChain>
</file>

<file path=xl/sharedStrings.xml><?xml version="1.0" encoding="utf-8"?>
<sst xmlns="http://schemas.openxmlformats.org/spreadsheetml/2006/main" count="545" uniqueCount="192">
  <si>
    <t>Configuración de Datos Sensibles</t>
  </si>
  <si>
    <r>
      <t xml:space="preserve">El catálogo </t>
    </r>
    <r>
      <rPr>
        <b/>
        <sz val="11"/>
        <color rgb="FF000000"/>
        <rFont val="Calibri"/>
        <family val="2"/>
        <scheme val="minor"/>
      </rPr>
      <t>config_protected_data</t>
    </r>
    <r>
      <rPr>
        <sz val="11"/>
        <color rgb="FF000000"/>
        <rFont val="Calibri"/>
        <family val="2"/>
        <scheme val="minor"/>
      </rPr>
      <t xml:space="preserve"> deberá ser utilizado para la carga RAW por cada origen de información que tenga datos sensibles. Por ejemplo, para cargar algún RAW de personas, necesitaremos consultar este catálogo para encriptar el primer nombre, segundo nombre, direcciones, entre otros. Este catálogo deberá ser administrado por el equipo de la empresa con el mayor nivel de seguridad posible, ya que aquí se ingresará la llave de encriptamiento y desencriptamiento (campo Key).</t>
    </r>
  </si>
  <si>
    <t>Id</t>
  </si>
  <si>
    <t>Attribute_Group</t>
  </si>
  <si>
    <t>Attribute</t>
  </si>
  <si>
    <t>Code</t>
  </si>
  <si>
    <t>Table</t>
  </si>
  <si>
    <t>Column</t>
  </si>
  <si>
    <t>Description</t>
  </si>
  <si>
    <t>HEREDADA</t>
  </si>
  <si>
    <t>m_comercio</t>
  </si>
  <si>
    <t>nom_responsable_cuenta</t>
  </si>
  <si>
    <t>Apellido paterno</t>
  </si>
  <si>
    <t>nom_ejecutivo_dealer</t>
  </si>
  <si>
    <t>Apellido materno</t>
  </si>
  <si>
    <t>Organization</t>
  </si>
  <si>
    <t>Business Domain</t>
  </si>
  <si>
    <t>Business Sub Domain</t>
  </si>
  <si>
    <t>Technical Domain</t>
  </si>
  <si>
    <t>Technical Sub Domain</t>
  </si>
  <si>
    <t>Project</t>
  </si>
  <si>
    <t>Dataset</t>
  </si>
  <si>
    <t>Load Strategy</t>
  </si>
  <si>
    <t>Load Frequency</t>
  </si>
  <si>
    <t>Big query Structure</t>
  </si>
  <si>
    <t>Data Operator</t>
  </si>
  <si>
    <t>Public</t>
  </si>
  <si>
    <t>Environment</t>
  </si>
  <si>
    <t>Zone</t>
  </si>
  <si>
    <t>Area</t>
  </si>
  <si>
    <t>Area Data Steward</t>
  </si>
  <si>
    <t>Org. Data Steward</t>
  </si>
  <si>
    <t>Corp. Data Steward</t>
  </si>
  <si>
    <t>Empresa del grupo IC</t>
  </si>
  <si>
    <t>Dominio de negocio al que pertenece el concepto de datos</t>
  </si>
  <si>
    <t>Sub dominio de negocio al que pertenece el concepto de datos</t>
  </si>
  <si>
    <t>Dominio del modelo de datos al cual pertenece la tabla</t>
  </si>
  <si>
    <t>Subdominio del modelo de datos al cual la tabla</t>
  </si>
  <si>
    <t>Nombre del proyecto que almacena la entidad</t>
  </si>
  <si>
    <t>Nombre del dataset donde se almacena la entidad</t>
  </si>
  <si>
    <t>Nombre de la Tabla</t>
  </si>
  <si>
    <t>Propósito de la tabla</t>
  </si>
  <si>
    <t>Estrategia de carga</t>
  </si>
  <si>
    <t>Indica la frecuencia de carga</t>
  </si>
  <si>
    <t>Identifica al operador de la tabla</t>
  </si>
  <si>
    <t>Identifica si una tabla es púbica o no
(Yes / No)</t>
  </si>
  <si>
    <t>dev/test/prod</t>
  </si>
  <si>
    <t>Zona (Raw, Master, BI)</t>
  </si>
  <si>
    <t>Area o departamento al que pertenece el Owner</t>
  </si>
  <si>
    <t>Es el responsable a nivel de Área de la información contenida en la tabla.</t>
  </si>
  <si>
    <t>Es el responsable a nivel de Organización de la información contenida en la tabla.</t>
  </si>
  <si>
    <t>Es el responsable a nivel de Corporativo de la información contenida en la tabla.</t>
  </si>
  <si>
    <t>IZIPAY</t>
  </si>
  <si>
    <t>RIESGOS</t>
  </si>
  <si>
    <t>CONTRACARGO</t>
  </si>
  <si>
    <t>prd-izipay-data-storage-pv</t>
  </si>
  <si>
    <t>master_risk</t>
  </si>
  <si>
    <t>m_contracargo_devolucion</t>
  </si>
  <si>
    <t>Tabla transformada con los datos de retenciones 34 y devoluciones 876</t>
  </si>
  <si>
    <t>Última foto</t>
  </si>
  <si>
    <t>Diario (7:00am)</t>
  </si>
  <si>
    <t>mc2103@izipay.pe</t>
  </si>
  <si>
    <t>N</t>
  </si>
  <si>
    <t>prod</t>
  </si>
  <si>
    <t>Master</t>
  </si>
  <si>
    <t>Riesgos</t>
  </si>
  <si>
    <t>Load Strategy:</t>
  </si>
  <si>
    <t>Incremental = inserta nuevo registro sin versionar los datos anteriores</t>
  </si>
  <si>
    <t>Incremental última actualización = última versión del registro siempre actualizado</t>
  </si>
  <si>
    <t>Histórico = versiona el estado del registro (flag_active = true/false) almacenando todo el tracking o versión de los datos en toda la historia</t>
  </si>
  <si>
    <t>Truncate &amp; Full Load = trunca y carga la tabla destino en cada ejecución</t>
  </si>
  <si>
    <t>Data Element name</t>
  </si>
  <si>
    <t>Business Definition</t>
  </si>
  <si>
    <t>Sensitive</t>
  </si>
  <si>
    <t>Data Type</t>
  </si>
  <si>
    <t>Valid values</t>
  </si>
  <si>
    <t>Primary Key 
(Y/N)</t>
  </si>
  <si>
    <t>NULL 
(Y/N)</t>
  </si>
  <si>
    <t>Partition
(Y/N)</t>
  </si>
  <si>
    <t>Cluster
(Y/N)</t>
  </si>
  <si>
    <t>Nombre de la tabla</t>
  </si>
  <si>
    <t>Nombre del campo</t>
  </si>
  <si>
    <t>Nombre único con el cual el Negocio identifica al Elemento de Dato (ponerlo en Mayúscula)</t>
  </si>
  <si>
    <t>Concepto definido por el negocio para el elemento de dato. Contiene las propiedades, características y exclusiones relacionadas al dato</t>
  </si>
  <si>
    <t>Yes / No</t>
  </si>
  <si>
    <t>Tipo de dato físico en BigQuery</t>
  </si>
  <si>
    <t>Incluye los valores que puede contener el campo (sólo para variables discretas, p.e. A, B, C,… 1, 2, 3, Todos, etc.)</t>
  </si>
  <si>
    <t>Describe si el elemento de datos es una llave primaria en la base de datos</t>
  </si>
  <si>
    <t>Indica si es posible que el campo admita NULL</t>
  </si>
  <si>
    <t>Indica si el elemento es parte de la partición de la tabla</t>
  </si>
  <si>
    <t>process_date</t>
  </si>
  <si>
    <t>Fecha de foto/datos configurada en el ETL para la extracción de datos, corresponde a aperturas de comercios hasta el cierre del día anterior</t>
  </si>
  <si>
    <t>DATE</t>
  </si>
  <si>
    <t>Y</t>
  </si>
  <si>
    <t>cod_producto</t>
  </si>
  <si>
    <t>Código del tipo de producto de la transacción.</t>
  </si>
  <si>
    <t>STRING</t>
  </si>
  <si>
    <t>CF, MC, MR, SU, ETC</t>
  </si>
  <si>
    <t>nom_facilitador</t>
  </si>
  <si>
    <t>Pasarela/agrupador que procesó la transacción (p. ej., Izipay).</t>
  </si>
  <si>
    <t xml:space="preserve">MERCADO PAGO                       </t>
  </si>
  <si>
    <t>cod_comercio</t>
  </si>
  <si>
    <t>Código del comercio (7 dígitos del CIO/establecimiento).</t>
  </si>
  <si>
    <t>desc_situacion_comercio</t>
  </si>
  <si>
    <t>Situación/estado operativo del comercio o del registro al procesarse.</t>
  </si>
  <si>
    <t xml:space="preserve">1-ACTIVO                                            </t>
  </si>
  <si>
    <t>nom_comercio</t>
  </si>
  <si>
    <t>Nombre comercial o de fantasía del comercio.</t>
  </si>
  <si>
    <t xml:space="preserve">MDOPAGO*MERCADO PAGO                              </t>
  </si>
  <si>
    <t>party_id_izi</t>
  </si>
  <si>
    <t>Código identificador del documento afiliado a IziPay</t>
  </si>
  <si>
    <t>razon_social</t>
  </si>
  <si>
    <t>Razón social registrada del comercio.</t>
  </si>
  <si>
    <t xml:space="preserve">MERCADOPAGO PERU S.R.L.                           </t>
  </si>
  <si>
    <t>segmento</t>
  </si>
  <si>
    <t>Segmento del comercio</t>
  </si>
  <si>
    <t xml:space="preserve">C-CORPORACIONES                                     </t>
  </si>
  <si>
    <t>giro_comercio</t>
  </si>
  <si>
    <t>Código y nombre del giro del comercio</t>
  </si>
  <si>
    <t xml:space="preserve">7399-Servicios comerciales, no clasificados en otra parte        </t>
  </si>
  <si>
    <t>metodo_ingreso</t>
  </si>
  <si>
    <t>Modo de captura (chip, banda, manual, e-commerce, contactless, etc.).</t>
  </si>
  <si>
    <t xml:space="preserve">EC-E-COMMERCE                                        </t>
  </si>
  <si>
    <t>fecha_proceso</t>
  </si>
  <si>
    <t>Fecha en que el registro fue cargado/procesado en el sistema.</t>
  </si>
  <si>
    <t>fecha_trx</t>
  </si>
  <si>
    <t>Fecha de la transacción original.</t>
  </si>
  <si>
    <t>cod_tipo_trx</t>
  </si>
  <si>
    <t>Identificador/número de la transacción.</t>
  </si>
  <si>
    <t>cod_autorizacion</t>
  </si>
  <si>
    <t>Código de autorización de la transacción.</t>
  </si>
  <si>
    <t>cod_moneda</t>
  </si>
  <si>
    <t>Código de moneda de la transacción (604=PEN, 840=USD).</t>
  </si>
  <si>
    <t>604, 840</t>
  </si>
  <si>
    <t>moneda</t>
  </si>
  <si>
    <t>Moneda de la transacción (604=PEN, 840=USD).</t>
  </si>
  <si>
    <t>PEN, USD</t>
  </si>
  <si>
    <t>mto_venta_bruto</t>
  </si>
  <si>
    <t>Monto bruto de la transacción.</t>
  </si>
  <si>
    <t>FLOAT64</t>
  </si>
  <si>
    <t>comision_comercio</t>
  </si>
  <si>
    <t>Comisión cobrada al comercio</t>
  </si>
  <si>
    <t>comision_adquirente</t>
  </si>
  <si>
    <t>Comisión del adquirente (MCPerú).</t>
  </si>
  <si>
    <t>impuesto_adquirente</t>
  </si>
  <si>
    <t>Impuesto aplicado a la comisión del adquirente.</t>
  </si>
  <si>
    <t>comision_emisor</t>
  </si>
  <si>
    <t>Comisión/interchange del emisor.</t>
  </si>
  <si>
    <t>mto_venta_neto</t>
  </si>
  <si>
    <t>Monto neto resultante tras comisiones/impuestos (liquidable).</t>
  </si>
  <si>
    <t>mto_pendiente_caso</t>
  </si>
  <si>
    <t>Saldo pendiente por recuperar asociado al caso.</t>
  </si>
  <si>
    <t>arn</t>
  </si>
  <si>
    <t>Número de referencia del adquirente (ARN) para trazabilidad.</t>
  </si>
  <si>
    <t>ard</t>
  </si>
  <si>
    <t>Identificador/código interno de seguimiento en AS400 (PDARER).</t>
  </si>
  <si>
    <t>estado_cobro_adquirente</t>
  </si>
  <si>
    <t>Estado de cobro gestionado por PMP.</t>
  </si>
  <si>
    <t>SI</t>
  </si>
  <si>
    <t>estado_cobro_facilitador</t>
  </si>
  <si>
    <t>Estado de cobro gestionado por Izipay.</t>
  </si>
  <si>
    <t>NO APLICA</t>
  </si>
  <si>
    <t>mto_cobrado_adquirente</t>
  </si>
  <si>
    <t>Monto cobrado por PMP.</t>
  </si>
  <si>
    <t>mto_pendiente_facilitador</t>
  </si>
  <si>
    <t>Saldo pendiente de cobro por Izipay.</t>
  </si>
  <si>
    <t>cod_razon_contracargo</t>
  </si>
  <si>
    <t>Reason code del contracargo/devolución.</t>
  </si>
  <si>
    <t xml:space="preserve"> </t>
  </si>
  <si>
    <t>estado_caso</t>
  </si>
  <si>
    <t>Estado del caso (p. ej., abierto, cerrado, ganado, perdido).</t>
  </si>
  <si>
    <t xml:space="preserve">CANCELADA </t>
  </si>
  <si>
    <t>usuario_aprobador</t>
  </si>
  <si>
    <t>Usuario/área que ingresó o gestionó el registro.</t>
  </si>
  <si>
    <t>MCPC100WEB</t>
  </si>
  <si>
    <t>record_source</t>
  </si>
  <si>
    <t>Dato de Auditoría: Descripción del aplicativo origen de los datos.</t>
  </si>
  <si>
    <t>as400</t>
  </si>
  <si>
    <t>load_date</t>
  </si>
  <si>
    <t>Fecha y hora de inserción del registro en el modelo</t>
  </si>
  <si>
    <t>DATETIME</t>
  </si>
  <si>
    <t>2025-07-04T03:07:39.145385</t>
  </si>
  <si>
    <t>creation_user</t>
  </si>
  <si>
    <t>Usuario que crea el registro en la BD</t>
  </si>
  <si>
    <t>prd-data-operation-migration@prd-izipay-data-operation.iam.gserviceaccount.com</t>
  </si>
  <si>
    <t>BYTES</t>
  </si>
  <si>
    <t>tarjeta_enmascarada</t>
  </si>
  <si>
    <t>bin</t>
  </si>
  <si>
    <t>Tarjeta enmascarada, conformada por los 6 primeros dígitos, 6 astericos y 4 últimos dígitos</t>
  </si>
  <si>
    <t>Bin de 9</t>
  </si>
  <si>
    <t>458745******5452</t>
  </si>
  <si>
    <t>452587459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</si>
</sst>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14">
    <font>
      <sz val="11"/>
      <color theme="1"/>
      <name val="Calibri"/>
      <family val="2"/>
      <scheme val="minor"/>
    </font>
    <font>
      <b/>
      <sz val="11"/>
      <color theme="1"/>
      <name val="Calibri"/>
      <family val="2"/>
      <scheme val="minor"/>
    </font>
    <font>
      <b/>
      <sz val="11"/>
      <color rgb="FFFFFFFF"/>
      <name val="Calibri"/>
      <family val="2"/>
      <scheme val="minor"/>
    </font>
    <font>
      <sz val="11"/>
      <color rgb="FFFFFFFF"/>
      <name val="Calibri"/>
      <family val="2"/>
      <scheme val="minor"/>
    </font>
    <font>
      <sz val="11"/>
      <color theme="1"/>
      <name val="Exo"/>
    </font>
    <font>
      <u/>
      <sz val="11"/>
      <color theme="10"/>
      <name val="Calibri"/>
      <family val="2"/>
      <scheme val="minor"/>
    </font>
    <font>
      <b/>
      <sz val="12"/>
      <color rgb="FFFFFFFF"/>
      <name val="Calibri"/>
      <family val="2"/>
      <scheme val="minor"/>
    </font>
    <font>
      <sz val="12"/>
      <color rgb="FFFFFFFF"/>
      <name val="Calibri"/>
      <family val="2"/>
      <scheme val="minor"/>
    </font>
    <font>
      <b/>
      <sz val="12"/>
      <color theme="1"/>
      <name val="Calibri"/>
      <family val="2"/>
      <scheme val="minor"/>
    </font>
    <font>
      <sz val="11"/>
      <color rgb="FF222222"/>
      <name val="Calibri"/>
      <family val="2"/>
      <scheme val="minor"/>
    </font>
    <font>
      <b/>
      <sz val="23"/>
      <color theme="1"/>
      <name val="Calibri"/>
      <family val="2"/>
      <scheme val="minor"/>
    </font>
    <font>
      <sz val="11"/>
      <color rgb="FF000000"/>
      <name val="Calibri"/>
      <family val="2"/>
      <scheme val="minor"/>
    </font>
    <font>
      <b/>
      <sz val="11"/>
      <color rgb="FF000000"/>
      <name val="Calibri"/>
      <family val="2"/>
      <scheme val="minor"/>
    </font>
    <font>
      <sz val="10"/>
      <color theme="1"/>
      <name val="Arial"/>
      <family val="2"/>
    </font>
  </fonts>
  <fills count="6">
    <fill>
      <patternFill patternType="none"/>
    </fill>
    <fill>
      <patternFill patternType="gray125"/>
    </fill>
    <fill>
      <patternFill patternType="solid">
        <fgColor rgb="FF333399"/>
        <bgColor indexed="64"/>
      </patternFill>
    </fill>
    <fill>
      <patternFill patternType="solid">
        <fgColor rgb="FF99CCFF"/>
        <bgColor indexed="64"/>
      </patternFill>
    </fill>
    <fill>
      <patternFill patternType="solid">
        <fgColor rgb="FFFFFFFF"/>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33">
    <xf numFmtId="0" fontId="0" fillId="0" borderId="0" xfId="0"/>
    <xf numFmtId="0" fontId="0" fillId="0" borderId="0" xfId="0" applyAlignment="1">
      <alignment wrapText="1"/>
    </xf>
    <xf numFmtId="0" fontId="1" fillId="0" borderId="0" xfId="0" applyFont="1" applyAlignment="1">
      <alignment wrapText="1"/>
    </xf>
    <xf numFmtId="0" fontId="0" fillId="0" borderId="0" xfId="0" applyAlignment="1">
      <alignment vertical="center"/>
    </xf>
    <xf numFmtId="0" fontId="0" fillId="0" borderId="0" xfId="0" applyAlignment="1">
      <alignment vertical="center" wrapText="1"/>
    </xf>
    <xf numFmtId="0" fontId="0" fillId="0" borderId="1" xfId="0" applyBorder="1" applyAlignment="1">
      <alignment horizontal="center" wrapText="1"/>
    </xf>
    <xf numFmtId="0" fontId="5" fillId="0" borderId="1" xfId="1" applyBorder="1" applyAlignment="1">
      <alignment wrapText="1"/>
    </xf>
    <xf numFmtId="0" fontId="0" fillId="0" borderId="1" xfId="0" applyBorder="1"/>
    <xf numFmtId="0" fontId="0" fillId="0" borderId="1" xfId="0" applyBorder="1" applyAlignment="1">
      <alignment wrapText="1"/>
    </xf>
    <xf numFmtId="0" fontId="10" fillId="0" borderId="0" xfId="0" applyFont="1" applyAlignment="1">
      <alignment vertical="center"/>
    </xf>
    <xf numFmtId="0" fontId="2" fillId="2" borderId="1" xfId="0" applyFont="1" applyFill="1" applyBorder="1" applyAlignment="1">
      <alignment horizontal="center" vertical="center" wrapText="1"/>
    </xf>
    <xf numFmtId="0" fontId="0" fillId="0" borderId="1" xfId="0" applyBorder="1" applyAlignment="1">
      <alignment horizontal="right" wrapText="1"/>
    </xf>
    <xf numFmtId="0" fontId="0" fillId="4" borderId="1" xfId="0" applyFill="1" applyBorder="1" applyAlignment="1">
      <alignment vertical="top" wrapText="1"/>
    </xf>
    <xf numFmtId="0" fontId="13" fillId="4" borderId="1" xfId="0" applyFont="1" applyFill="1" applyBorder="1" applyAlignment="1">
      <alignment horizontal="center" vertical="center" wrapText="1"/>
    </xf>
    <xf numFmtId="0" fontId="0" fillId="4" borderId="1" xfId="0" applyFill="1" applyBorder="1" applyAlignment="1">
      <alignment wrapText="1"/>
    </xf>
    <xf numFmtId="0" fontId="2" fillId="2" borderId="1" xfId="0" applyFont="1" applyFill="1" applyBorder="1" applyAlignment="1">
      <alignment horizontal="center" wrapText="1"/>
    </xf>
    <xf numFmtId="0" fontId="3" fillId="2" borderId="1" xfId="0" applyFont="1" applyFill="1" applyBorder="1" applyAlignment="1">
      <alignment horizontal="center" wrapText="1"/>
    </xf>
    <xf numFmtId="0" fontId="4" fillId="3" borderId="1" xfId="0" applyFont="1" applyFill="1" applyBorder="1" applyAlignment="1">
      <alignment horizontal="center" vertical="center" wrapText="1"/>
    </xf>
    <xf numFmtId="0" fontId="0" fillId="3" borderId="1" xfId="0" applyFill="1" applyBorder="1" applyAlignment="1">
      <alignment horizontal="center" vertical="center" wrapText="1"/>
    </xf>
    <xf numFmtId="0" fontId="0" fillId="3" borderId="1" xfId="0" applyFill="1" applyBorder="1" applyAlignment="1">
      <alignment vertical="center" wrapText="1"/>
    </xf>
    <xf numFmtId="0" fontId="6" fillId="2" borderId="1" xfId="0" applyFont="1" applyFill="1" applyBorder="1" applyAlignment="1">
      <alignment horizontal="center" vertical="center" wrapText="1"/>
    </xf>
    <xf numFmtId="0" fontId="7" fillId="2" borderId="1" xfId="0" applyFont="1" applyFill="1" applyBorder="1" applyAlignment="1">
      <alignment horizontal="center" vertical="center" wrapText="1"/>
    </xf>
    <xf numFmtId="0" fontId="8" fillId="3" borderId="1" xfId="0" applyFont="1" applyFill="1" applyBorder="1" applyAlignment="1">
      <alignment horizontal="center" vertical="center" wrapText="1"/>
    </xf>
    <xf numFmtId="0" fontId="0" fillId="0" borderId="1" xfId="0" applyBorder="1" applyAlignment="1">
      <alignment horizontal="center" vertical="center"/>
    </xf>
    <xf numFmtId="0" fontId="9" fillId="0" borderId="1" xfId="0" applyFont="1" applyBorder="1" applyAlignment="1">
      <alignment horizontal="center" vertical="center"/>
    </xf>
    <xf numFmtId="0" fontId="0" fillId="0" borderId="1" xfId="0" applyBorder="1" applyAlignment="1">
      <alignment vertical="center"/>
    </xf>
    <xf numFmtId="14" fontId="0" fillId="0" borderId="1" xfId="0" applyNumberFormat="1" applyBorder="1" applyAlignment="1">
      <alignment vertical="center"/>
    </xf>
    <xf numFmtId="0" fontId="5" fillId="0" borderId="1" xfId="1" applyBorder="1" applyAlignment="1">
      <alignment vertical="center"/>
    </xf>
    <xf numFmtId="0" fontId="0" fillId="0" borderId="1" xfId="0" applyBorder="1" applyAlignment="1">
      <alignment horizontal="left" vertical="center"/>
    </xf>
    <xf numFmtId="0" fontId="0" fillId="5" borderId="1" xfId="0" applyFill="1" applyBorder="1" applyAlignment="1">
      <alignment vertical="center"/>
    </xf>
    <xf numFmtId="49" fontId="0" fillId="0" borderId="1" xfId="0" applyNumberFormat="1" applyBorder="1" applyAlignment="1">
      <alignment horizontal="left" vertical="center"/>
    </xf>
    <xf numFmtId="164" fontId="0" fillId="0" borderId="1" xfId="0" applyNumberFormat="1" applyBorder="1" applyAlignment="1">
      <alignment horizontal="left" vertical="center"/>
    </xf>
    <xf numFmtId="0" fontId="11" fillId="0" borderId="0" xfId="0" applyFont="1" applyAlignment="1">
      <alignment vertical="center"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mailto:mc2103@izipay.pe" TargetMode="External"/></Relationships>
</file>

<file path=xl/worksheets/_rels/sheet3.xml.rels><?xml version="1.0" encoding="UTF-8" standalone="yes"?>
<Relationships xmlns="http://schemas.openxmlformats.org/package/2006/relationships"><Relationship Id="rId1" Type="http://schemas.openxmlformats.org/officeDocument/2006/relationships/hyperlink" Target="mailto:prd-data-operation-migration@prd-izipay-data-operation.iam.gserviceaccou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4B969-DDCF-4033-BEF7-29FEF7CDA28A}">
  <dimension ref="A1:G22"/>
  <sheetViews>
    <sheetView showGridLines="0" workbookViewId="0">
      <selection activeCell="K8" sqref="K8"/>
    </sheetView>
  </sheetViews>
  <sheetFormatPr baseColWidth="10" defaultColWidth="11.44140625" defaultRowHeight="14.4"/>
  <cols>
    <col min="1" max="1" width="7.33203125" customWidth="1"/>
    <col min="2" max="5" width="23.33203125" customWidth="1"/>
    <col min="6" max="6" width="27.88671875" customWidth="1"/>
    <col min="7" max="7" width="23.33203125" customWidth="1"/>
  </cols>
  <sheetData>
    <row r="1" spans="1:7">
      <c r="A1" s="1"/>
      <c r="B1" s="1"/>
      <c r="C1" s="1"/>
      <c r="D1" s="1"/>
      <c r="E1" s="1"/>
      <c r="F1" s="1"/>
      <c r="G1" s="1"/>
    </row>
    <row r="2" spans="1:7" ht="29.4">
      <c r="A2" s="9" t="s">
        <v>0</v>
      </c>
      <c r="B2" s="1"/>
      <c r="C2" s="1"/>
      <c r="D2" s="1"/>
      <c r="E2" s="1"/>
      <c r="F2" s="1"/>
      <c r="G2" s="1"/>
    </row>
    <row r="3" spans="1:7" s="1" customFormat="1" ht="66" customHeight="1">
      <c r="A3" s="32" t="s">
        <v>1</v>
      </c>
      <c r="B3" s="32"/>
      <c r="C3" s="32"/>
      <c r="D3" s="32"/>
      <c r="E3" s="32"/>
      <c r="F3" s="32"/>
      <c r="G3" s="32"/>
    </row>
    <row r="4" spans="1:7">
      <c r="A4" s="1"/>
      <c r="B4" s="1"/>
      <c r="C4" s="1"/>
      <c r="D4" s="1"/>
      <c r="E4" s="1"/>
      <c r="F4" s="1"/>
      <c r="G4" s="1"/>
    </row>
    <row r="5" spans="1:7">
      <c r="A5" s="10" t="s">
        <v>2</v>
      </c>
      <c r="B5" s="10" t="s">
        <v>3</v>
      </c>
      <c r="C5" s="10" t="s">
        <v>4</v>
      </c>
      <c r="D5" s="10" t="s">
        <v>5</v>
      </c>
      <c r="E5" s="10" t="s">
        <v>6</v>
      </c>
      <c r="F5" s="10" t="s">
        <v>7</v>
      </c>
      <c r="G5" s="10" t="s">
        <v>8</v>
      </c>
    </row>
    <row r="6" spans="1:7">
      <c r="A6" s="11">
        <v>1</v>
      </c>
      <c r="B6" s="8" t="s">
        <v>9</v>
      </c>
      <c r="C6" s="8" t="s">
        <v>9</v>
      </c>
      <c r="D6" s="8" t="s">
        <v>9</v>
      </c>
      <c r="E6" s="8" t="s">
        <v>10</v>
      </c>
      <c r="F6" s="12" t="s">
        <v>11</v>
      </c>
      <c r="G6" s="13" t="s">
        <v>12</v>
      </c>
    </row>
    <row r="7" spans="1:7">
      <c r="A7" s="11">
        <v>2</v>
      </c>
      <c r="B7" s="8" t="s">
        <v>9</v>
      </c>
      <c r="C7" s="8" t="s">
        <v>9</v>
      </c>
      <c r="D7" s="8" t="s">
        <v>9</v>
      </c>
      <c r="E7" s="8" t="s">
        <v>10</v>
      </c>
      <c r="F7" s="12" t="s">
        <v>13</v>
      </c>
      <c r="G7" s="13" t="s">
        <v>14</v>
      </c>
    </row>
    <row r="8" spans="1:7">
      <c r="A8" s="11"/>
      <c r="B8" s="8"/>
      <c r="C8" s="8"/>
      <c r="D8" s="8"/>
      <c r="E8" s="8"/>
      <c r="F8" s="12"/>
      <c r="G8" s="13"/>
    </row>
    <row r="9" spans="1:7">
      <c r="A9" s="11"/>
      <c r="B9" s="8"/>
      <c r="C9" s="8"/>
      <c r="D9" s="8"/>
      <c r="E9" s="8"/>
      <c r="F9" s="12"/>
      <c r="G9" s="13"/>
    </row>
    <row r="10" spans="1:7">
      <c r="A10" s="11"/>
      <c r="B10" s="8"/>
      <c r="C10" s="8"/>
      <c r="D10" s="8"/>
      <c r="E10" s="8"/>
      <c r="F10" s="12"/>
      <c r="G10" s="13"/>
    </row>
    <row r="11" spans="1:7">
      <c r="A11" s="11"/>
      <c r="B11" s="8"/>
      <c r="C11" s="8"/>
      <c r="D11" s="8"/>
      <c r="E11" s="8"/>
      <c r="F11" s="12"/>
      <c r="G11" s="13"/>
    </row>
    <row r="12" spans="1:7">
      <c r="A12" s="11"/>
      <c r="B12" s="8"/>
      <c r="C12" s="8"/>
      <c r="D12" s="8"/>
      <c r="E12" s="8"/>
      <c r="F12" s="14"/>
      <c r="G12" s="13"/>
    </row>
    <row r="13" spans="1:7">
      <c r="A13" s="11"/>
      <c r="B13" s="8"/>
      <c r="C13" s="8"/>
      <c r="D13" s="8"/>
      <c r="E13" s="8"/>
      <c r="F13" s="14"/>
      <c r="G13" s="13"/>
    </row>
    <row r="14" spans="1:7">
      <c r="A14" s="11"/>
      <c r="B14" s="8"/>
      <c r="C14" s="8"/>
      <c r="D14" s="8"/>
      <c r="E14" s="8"/>
      <c r="F14" s="14"/>
      <c r="G14" s="13"/>
    </row>
    <row r="15" spans="1:7">
      <c r="A15" s="11"/>
      <c r="B15" s="8"/>
      <c r="C15" s="8"/>
      <c r="D15" s="8"/>
      <c r="E15" s="8"/>
      <c r="F15" s="14"/>
      <c r="G15" s="13"/>
    </row>
    <row r="16" spans="1:7">
      <c r="A16" s="11"/>
      <c r="B16" s="8"/>
      <c r="C16" s="8"/>
      <c r="D16" s="8"/>
      <c r="E16" s="8"/>
      <c r="F16" s="14"/>
      <c r="G16" s="13"/>
    </row>
    <row r="17" spans="1:7">
      <c r="A17" s="11"/>
      <c r="B17" s="8"/>
      <c r="C17" s="8"/>
      <c r="D17" s="8"/>
      <c r="E17" s="8"/>
      <c r="F17" s="14"/>
      <c r="G17" s="13"/>
    </row>
    <row r="18" spans="1:7">
      <c r="A18" s="11"/>
      <c r="B18" s="8"/>
      <c r="C18" s="8"/>
      <c r="D18" s="8"/>
      <c r="E18" s="8"/>
      <c r="F18" s="14"/>
      <c r="G18" s="13"/>
    </row>
    <row r="19" spans="1:7">
      <c r="A19" s="11"/>
      <c r="B19" s="8"/>
      <c r="C19" s="8"/>
      <c r="D19" s="8"/>
      <c r="E19" s="8"/>
      <c r="F19" s="14"/>
      <c r="G19" s="13"/>
    </row>
    <row r="20" spans="1:7">
      <c r="A20" s="11"/>
      <c r="B20" s="8"/>
      <c r="C20" s="8"/>
      <c r="D20" s="8"/>
      <c r="E20" s="8"/>
      <c r="F20" s="14"/>
      <c r="G20" s="13"/>
    </row>
    <row r="21" spans="1:7">
      <c r="A21" s="1"/>
      <c r="B21" s="1"/>
      <c r="C21" s="1"/>
      <c r="D21" s="1"/>
      <c r="E21" s="1"/>
      <c r="F21" s="1"/>
      <c r="G21" s="1"/>
    </row>
    <row r="22" spans="1:7">
      <c r="A22" s="1"/>
      <c r="B22" s="1"/>
      <c r="C22" s="1"/>
      <c r="D22" s="1"/>
      <c r="E22" s="1"/>
      <c r="F22" s="1"/>
      <c r="G22" s="1"/>
    </row>
  </sheetData>
  <mergeCells count="1">
    <mergeCell ref="A3:G3"/>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T10"/>
  <sheetViews>
    <sheetView showGridLines="0" topLeftCell="H1" workbookViewId="0">
      <selection activeCell="J3" sqref="J3"/>
    </sheetView>
  </sheetViews>
  <sheetFormatPr baseColWidth="10" defaultColWidth="9.109375" defaultRowHeight="14.4"/>
  <cols>
    <col min="1" max="8" width="33.33203125" customWidth="1"/>
    <col min="9" max="9" width="67.44140625" customWidth="1"/>
    <col min="10" max="20" width="33.33203125" customWidth="1"/>
  </cols>
  <sheetData>
    <row r="1" spans="1:20">
      <c r="A1" s="15" t="s">
        <v>15</v>
      </c>
      <c r="B1" s="15" t="s">
        <v>16</v>
      </c>
      <c r="C1" s="15" t="s">
        <v>17</v>
      </c>
      <c r="D1" s="15" t="s">
        <v>18</v>
      </c>
      <c r="E1" s="15" t="s">
        <v>19</v>
      </c>
      <c r="F1" s="16" t="s">
        <v>20</v>
      </c>
      <c r="G1" s="15" t="s">
        <v>21</v>
      </c>
      <c r="H1" s="15" t="s">
        <v>6</v>
      </c>
      <c r="I1" s="15" t="s">
        <v>8</v>
      </c>
      <c r="J1" s="15" t="s">
        <v>22</v>
      </c>
      <c r="K1" s="15" t="s">
        <v>23</v>
      </c>
      <c r="L1" s="15" t="s">
        <v>24</v>
      </c>
      <c r="M1" s="15" t="s">
        <v>25</v>
      </c>
      <c r="N1" s="15" t="s">
        <v>26</v>
      </c>
      <c r="O1" s="15" t="s">
        <v>27</v>
      </c>
      <c r="P1" s="15" t="s">
        <v>28</v>
      </c>
      <c r="Q1" s="15" t="s">
        <v>29</v>
      </c>
      <c r="R1" s="15" t="s">
        <v>30</v>
      </c>
      <c r="S1" s="15" t="s">
        <v>31</v>
      </c>
      <c r="T1" s="15" t="s">
        <v>32</v>
      </c>
    </row>
    <row r="2" spans="1:20" ht="41.4">
      <c r="A2" s="17" t="s">
        <v>33</v>
      </c>
      <c r="B2" s="17" t="s">
        <v>34</v>
      </c>
      <c r="C2" s="17" t="s">
        <v>35</v>
      </c>
      <c r="D2" s="17" t="s">
        <v>36</v>
      </c>
      <c r="E2" s="17" t="s">
        <v>37</v>
      </c>
      <c r="F2" s="17" t="s">
        <v>38</v>
      </c>
      <c r="G2" s="17" t="s">
        <v>39</v>
      </c>
      <c r="H2" s="17" t="s">
        <v>40</v>
      </c>
      <c r="I2" s="17" t="s">
        <v>41</v>
      </c>
      <c r="J2" s="18" t="s">
        <v>42</v>
      </c>
      <c r="K2" s="18" t="s">
        <v>43</v>
      </c>
      <c r="L2" s="19"/>
      <c r="M2" s="17" t="s">
        <v>44</v>
      </c>
      <c r="N2" s="17" t="s">
        <v>45</v>
      </c>
      <c r="O2" s="17" t="s">
        <v>46</v>
      </c>
      <c r="P2" s="17" t="s">
        <v>47</v>
      </c>
      <c r="Q2" s="17" t="s">
        <v>48</v>
      </c>
      <c r="R2" s="17" t="s">
        <v>49</v>
      </c>
      <c r="S2" s="17" t="s">
        <v>50</v>
      </c>
      <c r="T2" s="17" t="s">
        <v>51</v>
      </c>
    </row>
    <row r="3" spans="1:20">
      <c r="A3" s="5" t="s">
        <v>52</v>
      </c>
      <c r="B3" s="5" t="s">
        <v>53</v>
      </c>
      <c r="C3" s="5" t="s">
        <v>54</v>
      </c>
      <c r="D3" s="5" t="s">
        <v>53</v>
      </c>
      <c r="E3" s="5" t="s">
        <v>54</v>
      </c>
      <c r="F3" s="5" t="s">
        <v>55</v>
      </c>
      <c r="G3" s="5" t="s">
        <v>56</v>
      </c>
      <c r="H3" s="6" t="s">
        <v>57</v>
      </c>
      <c r="I3" s="7" t="s">
        <v>58</v>
      </c>
      <c r="J3" s="5" t="s">
        <v>59</v>
      </c>
      <c r="K3" s="5" t="s">
        <v>60</v>
      </c>
      <c r="L3" s="8"/>
      <c r="M3" s="6" t="s">
        <v>61</v>
      </c>
      <c r="N3" s="5" t="s">
        <v>62</v>
      </c>
      <c r="O3" s="5" t="s">
        <v>63</v>
      </c>
      <c r="P3" s="5" t="s">
        <v>64</v>
      </c>
      <c r="Q3" s="5" t="s">
        <v>65</v>
      </c>
      <c r="R3" s="5"/>
      <c r="S3" s="5"/>
      <c r="T3" s="5"/>
    </row>
    <row r="4" spans="1:20">
      <c r="A4" s="1"/>
      <c r="B4" s="1"/>
      <c r="C4" s="1"/>
      <c r="D4" s="1"/>
      <c r="E4" s="1"/>
      <c r="F4" s="1"/>
      <c r="G4" s="1"/>
      <c r="H4" s="1"/>
      <c r="I4" s="1"/>
      <c r="J4" s="1"/>
      <c r="K4" s="1"/>
      <c r="L4" s="1"/>
      <c r="M4" s="1"/>
      <c r="N4" s="1"/>
      <c r="O4" s="1"/>
      <c r="P4" s="1"/>
      <c r="Q4" s="1"/>
      <c r="R4" s="1"/>
      <c r="S4" s="1"/>
      <c r="T4" s="1"/>
    </row>
    <row r="5" spans="1:20">
      <c r="A5" s="2" t="s">
        <v>66</v>
      </c>
      <c r="B5" s="1"/>
      <c r="C5" s="1"/>
      <c r="D5" s="1"/>
      <c r="E5" s="1"/>
      <c r="F5" s="1"/>
      <c r="G5" s="1"/>
      <c r="H5" s="1"/>
      <c r="I5" s="1"/>
      <c r="J5" s="1"/>
      <c r="K5" s="1"/>
      <c r="L5" s="1"/>
      <c r="M5" s="1"/>
      <c r="N5" s="1"/>
      <c r="O5" s="1"/>
      <c r="P5" s="1"/>
      <c r="Q5" s="1"/>
      <c r="R5" s="1"/>
      <c r="S5" s="1"/>
      <c r="T5" s="1"/>
    </row>
    <row r="6" spans="1:20">
      <c r="A6" s="3" t="s">
        <v>67</v>
      </c>
      <c r="B6" s="1"/>
      <c r="C6" s="1"/>
      <c r="D6" s="4"/>
      <c r="E6" s="4"/>
      <c r="F6" s="4"/>
      <c r="G6" s="4"/>
      <c r="H6" s="1"/>
      <c r="I6" s="1"/>
      <c r="J6" s="1"/>
      <c r="K6" s="1"/>
      <c r="L6" s="1"/>
      <c r="M6" s="1"/>
      <c r="N6" s="1"/>
      <c r="O6" s="1"/>
      <c r="P6" s="1"/>
      <c r="Q6" s="1"/>
      <c r="R6" s="1"/>
      <c r="S6" s="1"/>
      <c r="T6" s="1"/>
    </row>
    <row r="7" spans="1:20">
      <c r="A7" s="3" t="s">
        <v>68</v>
      </c>
      <c r="B7" s="1"/>
      <c r="C7" s="1"/>
      <c r="D7" s="4"/>
      <c r="E7" s="4"/>
      <c r="F7" s="4"/>
      <c r="G7" s="4"/>
      <c r="H7" s="1"/>
      <c r="I7" s="1"/>
      <c r="J7" s="1"/>
      <c r="K7" s="1"/>
      <c r="L7" s="1"/>
      <c r="M7" s="1"/>
      <c r="N7" s="1"/>
      <c r="O7" s="1"/>
      <c r="P7" s="1"/>
      <c r="Q7" s="1"/>
      <c r="R7" s="1"/>
      <c r="S7" s="1"/>
      <c r="T7" s="1"/>
    </row>
    <row r="8" spans="1:20">
      <c r="A8" s="3" t="s">
        <v>69</v>
      </c>
      <c r="B8" s="1"/>
      <c r="C8" s="1"/>
      <c r="D8" s="1"/>
      <c r="E8" s="1"/>
      <c r="F8" s="1"/>
      <c r="G8" s="1"/>
      <c r="H8" s="1"/>
      <c r="I8" s="1"/>
      <c r="J8" s="1"/>
      <c r="K8" s="1"/>
      <c r="L8" s="1"/>
      <c r="M8" s="1"/>
      <c r="N8" s="1"/>
      <c r="O8" s="1"/>
      <c r="P8" s="1"/>
      <c r="Q8" s="1"/>
      <c r="R8" s="1"/>
      <c r="S8" s="1"/>
      <c r="T8" s="1"/>
    </row>
    <row r="9" spans="1:20">
      <c r="A9" s="3" t="s">
        <v>70</v>
      </c>
      <c r="B9" s="1"/>
      <c r="C9" s="1"/>
      <c r="D9" s="1"/>
      <c r="E9" s="1"/>
      <c r="F9" s="1"/>
      <c r="G9" s="1"/>
      <c r="H9" s="1"/>
      <c r="I9" s="1"/>
      <c r="J9" s="1"/>
      <c r="K9" s="1"/>
      <c r="L9" s="1"/>
      <c r="M9" s="1"/>
      <c r="N9" s="1"/>
      <c r="O9" s="1"/>
      <c r="P9" s="1"/>
      <c r="Q9" s="1"/>
      <c r="R9" s="1"/>
      <c r="S9" s="1"/>
      <c r="T9" s="1"/>
    </row>
    <row r="10" spans="1:20">
      <c r="A10" s="1"/>
      <c r="B10" s="1"/>
      <c r="C10" s="1"/>
      <c r="D10" s="1"/>
      <c r="E10" s="1"/>
      <c r="F10" s="1"/>
      <c r="G10" s="1"/>
      <c r="H10" s="1"/>
      <c r="I10" s="1"/>
      <c r="J10" s="1"/>
      <c r="K10" s="1"/>
      <c r="L10" s="1"/>
      <c r="M10" s="1"/>
      <c r="N10" s="1"/>
      <c r="O10" s="1"/>
      <c r="P10" s="1"/>
      <c r="Q10" s="1"/>
      <c r="R10" s="1"/>
      <c r="S10" s="1"/>
      <c r="T10" s="1"/>
    </row>
  </sheetData>
  <hyperlinks>
    <hyperlink ref="H3" location="m_contracargo_devolucion!A1" display="m_contracargo_devolucion" xr:uid="{0DB9A7A6-B614-41D9-8932-0970FDE8FB75}"/>
    <hyperlink ref="M3" r:id="rId1" xr:uid="{AE7499B5-4EFF-4EE2-9DA4-B351D470EE4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8BE03-B52F-4C6B-A89B-93AA54382303}">
  <sheetPr codeName="Hoja2"/>
  <dimension ref="A1:M40"/>
  <sheetViews>
    <sheetView showGridLines="0" tabSelected="1" topLeftCell="B1" workbookViewId="0">
      <selection activeCell="D19" sqref="D19"/>
    </sheetView>
  </sheetViews>
  <sheetFormatPr baseColWidth="10" defaultColWidth="11.44140625" defaultRowHeight="14.4"/>
  <cols>
    <col min="1" max="4" width="29" customWidth="1"/>
    <col min="5" max="5" width="76.44140625" customWidth="1"/>
    <col min="6" max="6" width="64.6640625" customWidth="1"/>
    <col min="7" max="8" width="29" customWidth="1"/>
    <col min="9" max="9" width="40.5546875" customWidth="1"/>
    <col min="10" max="13" width="29" customWidth="1"/>
  </cols>
  <sheetData>
    <row r="1" spans="1:13" ht="31.2">
      <c r="A1" s="20" t="s">
        <v>20</v>
      </c>
      <c r="B1" s="21" t="s">
        <v>21</v>
      </c>
      <c r="C1" s="21" t="s">
        <v>6</v>
      </c>
      <c r="D1" s="21" t="s">
        <v>7</v>
      </c>
      <c r="E1" s="21" t="s">
        <v>71</v>
      </c>
      <c r="F1" s="21" t="s">
        <v>72</v>
      </c>
      <c r="G1" s="21" t="s">
        <v>73</v>
      </c>
      <c r="H1" s="21" t="s">
        <v>74</v>
      </c>
      <c r="I1" s="21" t="s">
        <v>75</v>
      </c>
      <c r="J1" s="21" t="s">
        <v>76</v>
      </c>
      <c r="K1" s="21" t="s">
        <v>77</v>
      </c>
      <c r="L1" s="21" t="s">
        <v>78</v>
      </c>
      <c r="M1" s="21" t="s">
        <v>79</v>
      </c>
    </row>
    <row r="2" spans="1:13" ht="46.8">
      <c r="A2" s="22" t="s">
        <v>38</v>
      </c>
      <c r="B2" s="22" t="s">
        <v>39</v>
      </c>
      <c r="C2" s="22" t="s">
        <v>80</v>
      </c>
      <c r="D2" s="22" t="s">
        <v>81</v>
      </c>
      <c r="E2" s="22" t="s">
        <v>82</v>
      </c>
      <c r="F2" s="22" t="s">
        <v>83</v>
      </c>
      <c r="G2" s="22" t="s">
        <v>84</v>
      </c>
      <c r="H2" s="22" t="s">
        <v>85</v>
      </c>
      <c r="I2" s="22" t="s">
        <v>86</v>
      </c>
      <c r="J2" s="22" t="s">
        <v>87</v>
      </c>
      <c r="K2" s="22" t="s">
        <v>88</v>
      </c>
      <c r="L2" s="22" t="s">
        <v>89</v>
      </c>
      <c r="M2" s="22" t="s">
        <v>88</v>
      </c>
    </row>
    <row r="3" spans="1:13">
      <c r="A3" s="23" t="s">
        <v>55</v>
      </c>
      <c r="B3" s="23" t="s">
        <v>56</v>
      </c>
      <c r="C3" s="24" t="s">
        <v>57</v>
      </c>
      <c r="D3" s="25" t="s">
        <v>90</v>
      </c>
      <c r="E3" s="25" t="str">
        <f>UPPER(F3)</f>
        <v>FECHA DE FOTO/DATOS CONFIGURADA EN EL ETL PARA LA EXTRACCIÓN DE DATOS, CORRESPONDE A APERTURAS DE COMERCIOS HASTA EL CIERRE DEL DÍA ANTERIOR</v>
      </c>
      <c r="F3" s="25" t="s">
        <v>91</v>
      </c>
      <c r="G3" s="23" t="s">
        <v>62</v>
      </c>
      <c r="H3" s="23" t="s">
        <v>92</v>
      </c>
      <c r="I3" s="26">
        <v>45841</v>
      </c>
      <c r="J3" s="23" t="s">
        <v>62</v>
      </c>
      <c r="K3" s="23" t="s">
        <v>62</v>
      </c>
      <c r="L3" s="23" t="s">
        <v>93</v>
      </c>
      <c r="M3" s="23" t="s">
        <v>62</v>
      </c>
    </row>
    <row r="4" spans="1:13">
      <c r="A4" s="23" t="s">
        <v>55</v>
      </c>
      <c r="B4" s="23" t="s">
        <v>56</v>
      </c>
      <c r="C4" s="24" t="s">
        <v>57</v>
      </c>
      <c r="D4" s="25" t="s">
        <v>94</v>
      </c>
      <c r="E4" s="25" t="str">
        <f t="shared" ref="E4:E37" si="0">UPPER(F4)</f>
        <v>CÓDIGO DEL TIPO DE PRODUCTO DE LA TRANSACCIÓN.</v>
      </c>
      <c r="F4" s="25" t="s">
        <v>95</v>
      </c>
      <c r="G4" s="23" t="s">
        <v>62</v>
      </c>
      <c r="H4" s="23" t="s">
        <v>96</v>
      </c>
      <c r="I4" s="28" t="s">
        <v>97</v>
      </c>
      <c r="J4" s="23" t="s">
        <v>62</v>
      </c>
      <c r="K4" s="23" t="s">
        <v>93</v>
      </c>
      <c r="L4" s="23" t="s">
        <v>62</v>
      </c>
      <c r="M4" s="23" t="s">
        <v>62</v>
      </c>
    </row>
    <row r="5" spans="1:13">
      <c r="A5" s="23" t="s">
        <v>55</v>
      </c>
      <c r="B5" s="23" t="s">
        <v>56</v>
      </c>
      <c r="C5" s="24" t="s">
        <v>57</v>
      </c>
      <c r="D5" s="25" t="s">
        <v>98</v>
      </c>
      <c r="E5" s="25" t="str">
        <f t="shared" si="0"/>
        <v>PASARELA/AGRUPADOR QUE PROCESÓ LA TRANSACCIÓN (P. EJ., IZIPAY).</v>
      </c>
      <c r="F5" s="25" t="s">
        <v>99</v>
      </c>
      <c r="G5" s="23" t="s">
        <v>62</v>
      </c>
      <c r="H5" s="23" t="s">
        <v>96</v>
      </c>
      <c r="I5" s="28" t="s">
        <v>100</v>
      </c>
      <c r="J5" s="23" t="s">
        <v>62</v>
      </c>
      <c r="K5" s="23" t="s">
        <v>93</v>
      </c>
      <c r="L5" s="23" t="s">
        <v>62</v>
      </c>
      <c r="M5" s="23" t="s">
        <v>62</v>
      </c>
    </row>
    <row r="6" spans="1:13">
      <c r="A6" s="23" t="s">
        <v>55</v>
      </c>
      <c r="B6" s="23" t="s">
        <v>56</v>
      </c>
      <c r="C6" s="24" t="s">
        <v>57</v>
      </c>
      <c r="D6" s="25" t="s">
        <v>101</v>
      </c>
      <c r="E6" s="25" t="str">
        <f t="shared" si="0"/>
        <v>CÓDIGO DEL COMERCIO (7 DÍGITOS DEL CIO/ESTABLECIMIENTO).</v>
      </c>
      <c r="F6" s="25" t="s">
        <v>102</v>
      </c>
      <c r="G6" s="23" t="s">
        <v>62</v>
      </c>
      <c r="H6" s="23" t="s">
        <v>96</v>
      </c>
      <c r="I6" s="28">
        <v>4032676</v>
      </c>
      <c r="J6" s="23" t="s">
        <v>62</v>
      </c>
      <c r="K6" s="23" t="s">
        <v>93</v>
      </c>
      <c r="L6" s="23" t="s">
        <v>62</v>
      </c>
      <c r="M6" s="23" t="s">
        <v>93</v>
      </c>
    </row>
    <row r="7" spans="1:13">
      <c r="A7" s="23" t="s">
        <v>55</v>
      </c>
      <c r="B7" s="23" t="s">
        <v>56</v>
      </c>
      <c r="C7" s="24" t="s">
        <v>57</v>
      </c>
      <c r="D7" s="25" t="s">
        <v>103</v>
      </c>
      <c r="E7" s="25" t="str">
        <f t="shared" si="0"/>
        <v>SITUACIÓN/ESTADO OPERATIVO DEL COMERCIO O DEL REGISTRO AL PROCESARSE.</v>
      </c>
      <c r="F7" s="25" t="s">
        <v>104</v>
      </c>
      <c r="G7" s="23" t="s">
        <v>62</v>
      </c>
      <c r="H7" s="23" t="s">
        <v>96</v>
      </c>
      <c r="I7" s="28" t="s">
        <v>105</v>
      </c>
      <c r="J7" s="23" t="s">
        <v>62</v>
      </c>
      <c r="K7" s="23" t="s">
        <v>93</v>
      </c>
      <c r="L7" s="23" t="s">
        <v>62</v>
      </c>
      <c r="M7" s="23" t="s">
        <v>62</v>
      </c>
    </row>
    <row r="8" spans="1:13">
      <c r="A8" s="23" t="s">
        <v>55</v>
      </c>
      <c r="B8" s="23" t="s">
        <v>56</v>
      </c>
      <c r="C8" s="24" t="s">
        <v>57</v>
      </c>
      <c r="D8" s="25" t="s">
        <v>106</v>
      </c>
      <c r="E8" s="25" t="str">
        <f t="shared" si="0"/>
        <v>NOMBRE COMERCIAL O DE FANTASÍA DEL COMERCIO.</v>
      </c>
      <c r="F8" s="25" t="s">
        <v>107</v>
      </c>
      <c r="G8" s="23" t="s">
        <v>62</v>
      </c>
      <c r="H8" s="23" t="s">
        <v>96</v>
      </c>
      <c r="I8" s="28" t="s">
        <v>108</v>
      </c>
      <c r="J8" s="23" t="s">
        <v>62</v>
      </c>
      <c r="K8" s="23" t="s">
        <v>93</v>
      </c>
      <c r="L8" s="23" t="s">
        <v>62</v>
      </c>
      <c r="M8" s="23" t="s">
        <v>62</v>
      </c>
    </row>
    <row r="9" spans="1:13">
      <c r="A9" s="23" t="s">
        <v>55</v>
      </c>
      <c r="B9" s="23" t="s">
        <v>56</v>
      </c>
      <c r="C9" s="24" t="s">
        <v>57</v>
      </c>
      <c r="D9" s="29" t="s">
        <v>109</v>
      </c>
      <c r="E9" s="25" t="str">
        <f t="shared" si="0"/>
        <v>CÓDIGO IDENTIFICADOR DEL DOCUMENTO AFILIADO A IZIPAY</v>
      </c>
      <c r="F9" s="25" t="s">
        <v>110</v>
      </c>
      <c r="G9" s="23" t="s">
        <v>93</v>
      </c>
      <c r="H9" s="23" t="s">
        <v>96</v>
      </c>
      <c r="I9" s="28">
        <v>20462540745</v>
      </c>
      <c r="J9" s="23" t="s">
        <v>93</v>
      </c>
      <c r="K9" s="23" t="s">
        <v>93</v>
      </c>
      <c r="L9" s="23" t="s">
        <v>62</v>
      </c>
      <c r="M9" s="23" t="s">
        <v>62</v>
      </c>
    </row>
    <row r="10" spans="1:13">
      <c r="A10" s="23" t="s">
        <v>55</v>
      </c>
      <c r="B10" s="23" t="s">
        <v>56</v>
      </c>
      <c r="C10" s="24" t="s">
        <v>57</v>
      </c>
      <c r="D10" s="29" t="s">
        <v>111</v>
      </c>
      <c r="E10" s="25" t="str">
        <f t="shared" si="0"/>
        <v>RAZÓN SOCIAL REGISTRADA DEL COMERCIO.</v>
      </c>
      <c r="F10" s="25" t="s">
        <v>112</v>
      </c>
      <c r="G10" s="23" t="s">
        <v>93</v>
      </c>
      <c r="H10" s="23" t="s">
        <v>185</v>
      </c>
      <c r="I10" s="28" t="s">
        <v>113</v>
      </c>
      <c r="J10" s="23" t="s">
        <v>62</v>
      </c>
      <c r="K10" s="23" t="s">
        <v>93</v>
      </c>
      <c r="L10" s="23" t="s">
        <v>62</v>
      </c>
      <c r="M10" s="23" t="s">
        <v>62</v>
      </c>
    </row>
    <row r="11" spans="1:13">
      <c r="A11" s="23" t="s">
        <v>55</v>
      </c>
      <c r="B11" s="23" t="s">
        <v>56</v>
      </c>
      <c r="C11" s="24" t="s">
        <v>57</v>
      </c>
      <c r="D11" s="25" t="s">
        <v>114</v>
      </c>
      <c r="E11" s="25" t="str">
        <f t="shared" si="0"/>
        <v>SEGMENTO DEL COMERCIO</v>
      </c>
      <c r="F11" s="25" t="s">
        <v>115</v>
      </c>
      <c r="G11" s="23" t="s">
        <v>62</v>
      </c>
      <c r="H11" s="23" t="s">
        <v>96</v>
      </c>
      <c r="I11" s="28" t="s">
        <v>116</v>
      </c>
      <c r="J11" s="23" t="s">
        <v>62</v>
      </c>
      <c r="K11" s="23" t="s">
        <v>93</v>
      </c>
      <c r="L11" s="23" t="s">
        <v>62</v>
      </c>
      <c r="M11" s="23" t="s">
        <v>62</v>
      </c>
    </row>
    <row r="12" spans="1:13">
      <c r="A12" s="23" t="s">
        <v>55</v>
      </c>
      <c r="B12" s="23" t="s">
        <v>56</v>
      </c>
      <c r="C12" s="24" t="s">
        <v>57</v>
      </c>
      <c r="D12" s="25" t="s">
        <v>117</v>
      </c>
      <c r="E12" s="25" t="str">
        <f t="shared" si="0"/>
        <v>CÓDIGO Y NOMBRE DEL GIRO DEL COMERCIO</v>
      </c>
      <c r="F12" s="25" t="s">
        <v>118</v>
      </c>
      <c r="G12" s="23" t="s">
        <v>62</v>
      </c>
      <c r="H12" s="23" t="s">
        <v>96</v>
      </c>
      <c r="I12" s="28" t="s">
        <v>119</v>
      </c>
      <c r="J12" s="23" t="s">
        <v>62</v>
      </c>
      <c r="K12" s="23" t="s">
        <v>93</v>
      </c>
      <c r="L12" s="23" t="s">
        <v>62</v>
      </c>
      <c r="M12" s="23" t="s">
        <v>93</v>
      </c>
    </row>
    <row r="13" spans="1:13">
      <c r="A13" s="23" t="s">
        <v>55</v>
      </c>
      <c r="B13" s="23" t="s">
        <v>56</v>
      </c>
      <c r="C13" s="24" t="s">
        <v>57</v>
      </c>
      <c r="D13" s="25" t="s">
        <v>120</v>
      </c>
      <c r="E13" s="25" t="str">
        <f t="shared" si="0"/>
        <v>MODO DE CAPTURA (CHIP, BANDA, MANUAL, E-COMMERCE, CONTACTLESS, ETC.).</v>
      </c>
      <c r="F13" s="25" t="s">
        <v>121</v>
      </c>
      <c r="G13" s="23" t="s">
        <v>62</v>
      </c>
      <c r="H13" s="23" t="s">
        <v>96</v>
      </c>
      <c r="I13" s="28" t="s">
        <v>122</v>
      </c>
      <c r="J13" s="23" t="s">
        <v>62</v>
      </c>
      <c r="K13" s="23" t="s">
        <v>93</v>
      </c>
      <c r="L13" s="23" t="s">
        <v>62</v>
      </c>
      <c r="M13" s="23" t="s">
        <v>62</v>
      </c>
    </row>
    <row r="14" spans="1:13">
      <c r="A14" s="23" t="s">
        <v>55</v>
      </c>
      <c r="B14" s="23" t="s">
        <v>56</v>
      </c>
      <c r="C14" s="24" t="s">
        <v>57</v>
      </c>
      <c r="D14" s="25" t="s">
        <v>123</v>
      </c>
      <c r="E14" s="25" t="str">
        <f t="shared" si="0"/>
        <v>FECHA EN QUE EL REGISTRO FUE CARGADO/PROCESADO EN EL SISTEMA.</v>
      </c>
      <c r="F14" s="25" t="s">
        <v>124</v>
      </c>
      <c r="G14" s="23" t="s">
        <v>62</v>
      </c>
      <c r="H14" s="23" t="s">
        <v>92</v>
      </c>
      <c r="I14" s="31">
        <v>45994</v>
      </c>
      <c r="J14" s="23" t="s">
        <v>62</v>
      </c>
      <c r="K14" s="23" t="s">
        <v>93</v>
      </c>
      <c r="L14" s="23" t="s">
        <v>62</v>
      </c>
      <c r="M14" s="23" t="s">
        <v>93</v>
      </c>
    </row>
    <row r="15" spans="1:13">
      <c r="A15" s="23" t="s">
        <v>55</v>
      </c>
      <c r="B15" s="23" t="s">
        <v>56</v>
      </c>
      <c r="C15" s="24" t="s">
        <v>57</v>
      </c>
      <c r="D15" s="25" t="s">
        <v>125</v>
      </c>
      <c r="E15" s="25" t="str">
        <f t="shared" si="0"/>
        <v>FECHA DE LA TRANSACCIÓN ORIGINAL.</v>
      </c>
      <c r="F15" s="25" t="s">
        <v>126</v>
      </c>
      <c r="G15" s="23" t="s">
        <v>62</v>
      </c>
      <c r="H15" s="23" t="s">
        <v>92</v>
      </c>
      <c r="I15" s="31">
        <v>44988</v>
      </c>
      <c r="J15" s="23" t="s">
        <v>62</v>
      </c>
      <c r="K15" s="23" t="s">
        <v>93</v>
      </c>
      <c r="L15" s="23" t="s">
        <v>62</v>
      </c>
      <c r="M15" s="23" t="s">
        <v>62</v>
      </c>
    </row>
    <row r="16" spans="1:13">
      <c r="A16" s="23" t="s">
        <v>55</v>
      </c>
      <c r="B16" s="23" t="s">
        <v>56</v>
      </c>
      <c r="C16" s="24" t="s">
        <v>57</v>
      </c>
      <c r="D16" s="25" t="s">
        <v>127</v>
      </c>
      <c r="E16" s="25" t="str">
        <f t="shared" si="0"/>
        <v>IDENTIFICADOR/NÚMERO DE LA TRANSACCIÓN.</v>
      </c>
      <c r="F16" s="25" t="s">
        <v>128</v>
      </c>
      <c r="G16" s="23" t="s">
        <v>62</v>
      </c>
      <c r="H16" s="23" t="s">
        <v>96</v>
      </c>
      <c r="I16" s="28">
        <v>876</v>
      </c>
      <c r="J16" s="23" t="s">
        <v>62</v>
      </c>
      <c r="K16" s="23" t="s">
        <v>93</v>
      </c>
      <c r="L16" s="23" t="s">
        <v>62</v>
      </c>
      <c r="M16" s="23" t="s">
        <v>62</v>
      </c>
    </row>
    <row r="17" spans="1:13">
      <c r="A17" s="23" t="s">
        <v>55</v>
      </c>
      <c r="B17" s="23" t="s">
        <v>56</v>
      </c>
      <c r="C17" s="24" t="s">
        <v>57</v>
      </c>
      <c r="D17" s="25" t="s">
        <v>186</v>
      </c>
      <c r="E17" s="25" t="str">
        <f t="shared" si="0"/>
        <v>TARJETA ENMASCARADA, CONFORMADA POR LOS 6 PRIMEROS DÍGITOS, 6 ASTERICOS Y 4 ÚLTIMOS DÍGITOS</v>
      </c>
      <c r="F17" s="25" t="s">
        <v>188</v>
      </c>
      <c r="G17" s="23" t="s">
        <v>62</v>
      </c>
      <c r="H17" s="23" t="s">
        <v>96</v>
      </c>
      <c r="I17" s="30" t="s">
        <v>190</v>
      </c>
      <c r="J17" s="23" t="s">
        <v>62</v>
      </c>
      <c r="K17" s="23" t="s">
        <v>93</v>
      </c>
      <c r="L17" s="23" t="s">
        <v>62</v>
      </c>
      <c r="M17" s="23" t="s">
        <v>62</v>
      </c>
    </row>
    <row r="18" spans="1:13">
      <c r="A18" s="23" t="s">
        <v>55</v>
      </c>
      <c r="B18" s="23" t="s">
        <v>56</v>
      </c>
      <c r="C18" s="24" t="s">
        <v>57</v>
      </c>
      <c r="D18" s="25" t="s">
        <v>187</v>
      </c>
      <c r="E18" s="25" t="str">
        <f t="shared" si="0"/>
        <v>BIN DE 9</v>
      </c>
      <c r="F18" s="25" t="s">
        <v>189</v>
      </c>
      <c r="G18" s="23" t="s">
        <v>62</v>
      </c>
      <c r="H18" s="23" t="s">
        <v>96</v>
      </c>
      <c r="I18" s="30" t="s">
        <v>191</v>
      </c>
      <c r="J18" s="23" t="s">
        <v>62</v>
      </c>
      <c r="K18" s="23" t="s">
        <v>93</v>
      </c>
      <c r="L18" s="23" t="s">
        <v>62</v>
      </c>
      <c r="M18" s="23" t="s">
        <v>62</v>
      </c>
    </row>
    <row r="19" spans="1:13">
      <c r="A19" s="23" t="s">
        <v>55</v>
      </c>
      <c r="B19" s="23" t="s">
        <v>56</v>
      </c>
      <c r="C19" s="24" t="s">
        <v>57</v>
      </c>
      <c r="D19" s="25" t="s">
        <v>129</v>
      </c>
      <c r="E19" s="25" t="str">
        <f t="shared" si="0"/>
        <v>CÓDIGO DE AUTORIZACIÓN DE LA TRANSACCIÓN.</v>
      </c>
      <c r="F19" s="25" t="s">
        <v>130</v>
      </c>
      <c r="G19" s="23" t="s">
        <v>62</v>
      </c>
      <c r="H19" s="23" t="s">
        <v>96</v>
      </c>
      <c r="I19" s="28">
        <v>16822</v>
      </c>
      <c r="J19" s="23" t="s">
        <v>62</v>
      </c>
      <c r="K19" s="23" t="s">
        <v>93</v>
      </c>
      <c r="L19" s="23" t="s">
        <v>62</v>
      </c>
      <c r="M19" s="23" t="s">
        <v>62</v>
      </c>
    </row>
    <row r="20" spans="1:13">
      <c r="A20" s="23" t="s">
        <v>55</v>
      </c>
      <c r="B20" s="23" t="s">
        <v>56</v>
      </c>
      <c r="C20" s="24" t="s">
        <v>57</v>
      </c>
      <c r="D20" s="25" t="s">
        <v>131</v>
      </c>
      <c r="E20" s="25" t="str">
        <f t="shared" si="0"/>
        <v>CÓDIGO DE MONEDA DE LA TRANSACCIÓN (604=PEN, 840=USD).</v>
      </c>
      <c r="F20" s="25" t="s">
        <v>132</v>
      </c>
      <c r="G20" s="23" t="s">
        <v>62</v>
      </c>
      <c r="H20" s="23" t="s">
        <v>96</v>
      </c>
      <c r="I20" s="28" t="s">
        <v>133</v>
      </c>
      <c r="J20" s="23" t="s">
        <v>62</v>
      </c>
      <c r="K20" s="23" t="s">
        <v>93</v>
      </c>
      <c r="L20" s="23" t="s">
        <v>62</v>
      </c>
      <c r="M20" s="23" t="s">
        <v>62</v>
      </c>
    </row>
    <row r="21" spans="1:13">
      <c r="A21" s="23" t="s">
        <v>55</v>
      </c>
      <c r="B21" s="23" t="s">
        <v>56</v>
      </c>
      <c r="C21" s="24" t="s">
        <v>57</v>
      </c>
      <c r="D21" s="25" t="s">
        <v>134</v>
      </c>
      <c r="E21" s="25" t="str">
        <f t="shared" ref="E21" si="1">UPPER(F21)</f>
        <v>MONEDA DE LA TRANSACCIÓN (604=PEN, 840=USD).</v>
      </c>
      <c r="F21" s="25" t="s">
        <v>135</v>
      </c>
      <c r="G21" s="23" t="s">
        <v>62</v>
      </c>
      <c r="H21" s="23" t="s">
        <v>96</v>
      </c>
      <c r="I21" s="28" t="s">
        <v>136</v>
      </c>
      <c r="J21" s="23" t="s">
        <v>62</v>
      </c>
      <c r="K21" s="23" t="s">
        <v>93</v>
      </c>
      <c r="L21" s="23" t="s">
        <v>62</v>
      </c>
      <c r="M21" s="23" t="s">
        <v>62</v>
      </c>
    </row>
    <row r="22" spans="1:13">
      <c r="A22" s="23" t="s">
        <v>55</v>
      </c>
      <c r="B22" s="23" t="s">
        <v>56</v>
      </c>
      <c r="C22" s="24" t="s">
        <v>57</v>
      </c>
      <c r="D22" s="25" t="s">
        <v>137</v>
      </c>
      <c r="E22" s="25" t="str">
        <f t="shared" si="0"/>
        <v>MONTO BRUTO DE LA TRANSACCIÓN.</v>
      </c>
      <c r="F22" s="25" t="s">
        <v>138</v>
      </c>
      <c r="G22" s="23" t="s">
        <v>62</v>
      </c>
      <c r="H22" s="23" t="s">
        <v>139</v>
      </c>
      <c r="I22" s="28">
        <v>95.16</v>
      </c>
      <c r="J22" s="23" t="s">
        <v>62</v>
      </c>
      <c r="K22" s="23" t="s">
        <v>93</v>
      </c>
      <c r="L22" s="23" t="s">
        <v>62</v>
      </c>
      <c r="M22" s="23" t="s">
        <v>62</v>
      </c>
    </row>
    <row r="23" spans="1:13">
      <c r="A23" s="23" t="s">
        <v>55</v>
      </c>
      <c r="B23" s="23" t="s">
        <v>56</v>
      </c>
      <c r="C23" s="24" t="s">
        <v>57</v>
      </c>
      <c r="D23" s="25" t="s">
        <v>140</v>
      </c>
      <c r="E23" s="25" t="str">
        <f t="shared" si="0"/>
        <v>COMISIÓN COBRADA AL COMERCIO</v>
      </c>
      <c r="F23" s="25" t="s">
        <v>141</v>
      </c>
      <c r="G23" s="23" t="s">
        <v>62</v>
      </c>
      <c r="H23" s="23" t="s">
        <v>139</v>
      </c>
      <c r="I23" s="28">
        <v>2.48</v>
      </c>
      <c r="J23" s="23" t="s">
        <v>62</v>
      </c>
      <c r="K23" s="23" t="s">
        <v>93</v>
      </c>
      <c r="L23" s="23" t="s">
        <v>62</v>
      </c>
      <c r="M23" s="23" t="s">
        <v>62</v>
      </c>
    </row>
    <row r="24" spans="1:13">
      <c r="A24" s="23" t="s">
        <v>55</v>
      </c>
      <c r="B24" s="23" t="s">
        <v>56</v>
      </c>
      <c r="C24" s="24" t="s">
        <v>57</v>
      </c>
      <c r="D24" s="25" t="s">
        <v>142</v>
      </c>
      <c r="E24" s="25" t="str">
        <f t="shared" si="0"/>
        <v>COMISIÓN DEL ADQUIRENTE (MCPERÚ).</v>
      </c>
      <c r="F24" s="25" t="s">
        <v>143</v>
      </c>
      <c r="G24" s="23" t="s">
        <v>62</v>
      </c>
      <c r="H24" s="23" t="s">
        <v>139</v>
      </c>
      <c r="I24" s="28">
        <v>1.01</v>
      </c>
      <c r="J24" s="23" t="s">
        <v>62</v>
      </c>
      <c r="K24" s="23" t="s">
        <v>93</v>
      </c>
      <c r="L24" s="23" t="s">
        <v>62</v>
      </c>
      <c r="M24" s="23" t="s">
        <v>62</v>
      </c>
    </row>
    <row r="25" spans="1:13">
      <c r="A25" s="23" t="s">
        <v>55</v>
      </c>
      <c r="B25" s="23" t="s">
        <v>56</v>
      </c>
      <c r="C25" s="24" t="s">
        <v>57</v>
      </c>
      <c r="D25" s="25" t="s">
        <v>144</v>
      </c>
      <c r="E25" s="25" t="str">
        <f t="shared" si="0"/>
        <v>IMPUESTO APLICADO A LA COMISIÓN DEL ADQUIRENTE.</v>
      </c>
      <c r="F25" s="25" t="s">
        <v>145</v>
      </c>
      <c r="G25" s="23" t="s">
        <v>62</v>
      </c>
      <c r="H25" s="23" t="s">
        <v>139</v>
      </c>
      <c r="I25" s="28">
        <v>0.18</v>
      </c>
      <c r="J25" s="23" t="s">
        <v>62</v>
      </c>
      <c r="K25" s="23" t="s">
        <v>93</v>
      </c>
      <c r="L25" s="23" t="s">
        <v>62</v>
      </c>
      <c r="M25" s="23" t="s">
        <v>62</v>
      </c>
    </row>
    <row r="26" spans="1:13">
      <c r="A26" s="23" t="s">
        <v>55</v>
      </c>
      <c r="B26" s="23" t="s">
        <v>56</v>
      </c>
      <c r="C26" s="24" t="s">
        <v>57</v>
      </c>
      <c r="D26" s="25" t="s">
        <v>146</v>
      </c>
      <c r="E26" s="25" t="str">
        <f t="shared" si="0"/>
        <v>COMISIÓN/INTERCHANGE DEL EMISOR.</v>
      </c>
      <c r="F26" s="25" t="s">
        <v>147</v>
      </c>
      <c r="G26" s="23" t="s">
        <v>62</v>
      </c>
      <c r="H26" s="23" t="s">
        <v>139</v>
      </c>
      <c r="I26" s="28">
        <v>1.47</v>
      </c>
      <c r="J26" s="23" t="s">
        <v>62</v>
      </c>
      <c r="K26" s="23" t="s">
        <v>93</v>
      </c>
      <c r="L26" s="23" t="s">
        <v>62</v>
      </c>
      <c r="M26" s="23" t="s">
        <v>62</v>
      </c>
    </row>
    <row r="27" spans="1:13">
      <c r="A27" s="23" t="s">
        <v>55</v>
      </c>
      <c r="B27" s="23" t="s">
        <v>56</v>
      </c>
      <c r="C27" s="24" t="s">
        <v>57</v>
      </c>
      <c r="D27" s="25" t="s">
        <v>148</v>
      </c>
      <c r="E27" s="25" t="str">
        <f t="shared" si="0"/>
        <v>MONTO NETO RESULTANTE TRAS COMISIONES/IMPUESTOS (LIQUIDABLE).</v>
      </c>
      <c r="F27" s="25" t="s">
        <v>149</v>
      </c>
      <c r="G27" s="23" t="s">
        <v>62</v>
      </c>
      <c r="H27" s="23" t="s">
        <v>139</v>
      </c>
      <c r="I27" s="28">
        <v>92.5</v>
      </c>
      <c r="J27" s="23" t="s">
        <v>62</v>
      </c>
      <c r="K27" s="23" t="s">
        <v>93</v>
      </c>
      <c r="L27" s="23" t="s">
        <v>62</v>
      </c>
      <c r="M27" s="23" t="s">
        <v>62</v>
      </c>
    </row>
    <row r="28" spans="1:13">
      <c r="A28" s="23" t="s">
        <v>55</v>
      </c>
      <c r="B28" s="23" t="s">
        <v>56</v>
      </c>
      <c r="C28" s="24" t="s">
        <v>57</v>
      </c>
      <c r="D28" s="25" t="s">
        <v>150</v>
      </c>
      <c r="E28" s="25" t="str">
        <f t="shared" si="0"/>
        <v>SALDO PENDIENTE POR RECUPERAR ASOCIADO AL CASO.</v>
      </c>
      <c r="F28" s="25" t="s">
        <v>151</v>
      </c>
      <c r="G28" s="23" t="s">
        <v>62</v>
      </c>
      <c r="H28" s="23" t="s">
        <v>139</v>
      </c>
      <c r="I28" s="28">
        <v>0</v>
      </c>
      <c r="J28" s="23" t="s">
        <v>62</v>
      </c>
      <c r="K28" s="23" t="s">
        <v>93</v>
      </c>
      <c r="L28" s="23" t="s">
        <v>62</v>
      </c>
      <c r="M28" s="23" t="s">
        <v>62</v>
      </c>
    </row>
    <row r="29" spans="1:13">
      <c r="A29" s="23" t="s">
        <v>55</v>
      </c>
      <c r="B29" s="23" t="s">
        <v>56</v>
      </c>
      <c r="C29" s="24" t="s">
        <v>57</v>
      </c>
      <c r="D29" s="25" t="s">
        <v>152</v>
      </c>
      <c r="E29" s="25" t="str">
        <f t="shared" si="0"/>
        <v>NÚMERO DE REFERENCIA DEL ADQUIRENTE (ARN) PARA TRAZABILIDAD.</v>
      </c>
      <c r="F29" s="25" t="s">
        <v>153</v>
      </c>
      <c r="G29" s="23" t="s">
        <v>62</v>
      </c>
      <c r="H29" s="23" t="s">
        <v>96</v>
      </c>
      <c r="I29" s="28">
        <v>7.4357043071001496E+22</v>
      </c>
      <c r="J29" s="23" t="s">
        <v>62</v>
      </c>
      <c r="K29" s="23" t="s">
        <v>93</v>
      </c>
      <c r="L29" s="23" t="s">
        <v>62</v>
      </c>
      <c r="M29" s="23" t="s">
        <v>62</v>
      </c>
    </row>
    <row r="30" spans="1:13">
      <c r="A30" s="23" t="s">
        <v>55</v>
      </c>
      <c r="B30" s="23" t="s">
        <v>56</v>
      </c>
      <c r="C30" s="24" t="s">
        <v>57</v>
      </c>
      <c r="D30" s="25" t="s">
        <v>154</v>
      </c>
      <c r="E30" s="25" t="str">
        <f t="shared" si="0"/>
        <v>IDENTIFICADOR/CÓDIGO INTERNO DE SEGUIMIENTO EN AS400 (PDARER).</v>
      </c>
      <c r="F30" s="25" t="s">
        <v>155</v>
      </c>
      <c r="G30" s="23" t="s">
        <v>62</v>
      </c>
      <c r="H30" s="23" t="s">
        <v>96</v>
      </c>
      <c r="I30" s="28">
        <v>7.4357043062002499E+22</v>
      </c>
      <c r="J30" s="23" t="s">
        <v>62</v>
      </c>
      <c r="K30" s="23" t="s">
        <v>93</v>
      </c>
      <c r="L30" s="23" t="s">
        <v>62</v>
      </c>
      <c r="M30" s="23" t="s">
        <v>62</v>
      </c>
    </row>
    <row r="31" spans="1:13">
      <c r="A31" s="23" t="s">
        <v>55</v>
      </c>
      <c r="B31" s="23" t="s">
        <v>56</v>
      </c>
      <c r="C31" s="24" t="s">
        <v>57</v>
      </c>
      <c r="D31" s="25" t="s">
        <v>156</v>
      </c>
      <c r="E31" s="25" t="str">
        <f t="shared" si="0"/>
        <v>ESTADO DE COBRO GESTIONADO POR PMP.</v>
      </c>
      <c r="F31" s="25" t="s">
        <v>157</v>
      </c>
      <c r="G31" s="23" t="s">
        <v>62</v>
      </c>
      <c r="H31" s="23" t="s">
        <v>96</v>
      </c>
      <c r="I31" s="28" t="s">
        <v>158</v>
      </c>
      <c r="J31" s="23" t="s">
        <v>62</v>
      </c>
      <c r="K31" s="23" t="s">
        <v>93</v>
      </c>
      <c r="L31" s="23" t="s">
        <v>62</v>
      </c>
      <c r="M31" s="23" t="s">
        <v>62</v>
      </c>
    </row>
    <row r="32" spans="1:13">
      <c r="A32" s="23" t="s">
        <v>55</v>
      </c>
      <c r="B32" s="23" t="s">
        <v>56</v>
      </c>
      <c r="C32" s="24" t="s">
        <v>57</v>
      </c>
      <c r="D32" s="25" t="s">
        <v>159</v>
      </c>
      <c r="E32" s="25" t="str">
        <f t="shared" si="0"/>
        <v>ESTADO DE COBRO GESTIONADO POR IZIPAY.</v>
      </c>
      <c r="F32" s="25" t="s">
        <v>160</v>
      </c>
      <c r="G32" s="23" t="s">
        <v>62</v>
      </c>
      <c r="H32" s="23" t="s">
        <v>96</v>
      </c>
      <c r="I32" s="28" t="s">
        <v>161</v>
      </c>
      <c r="J32" s="23" t="s">
        <v>62</v>
      </c>
      <c r="K32" s="23" t="s">
        <v>93</v>
      </c>
      <c r="L32" s="23" t="s">
        <v>62</v>
      </c>
      <c r="M32" s="23" t="s">
        <v>62</v>
      </c>
    </row>
    <row r="33" spans="1:13">
      <c r="A33" s="23" t="s">
        <v>55</v>
      </c>
      <c r="B33" s="23" t="s">
        <v>56</v>
      </c>
      <c r="C33" s="24" t="s">
        <v>57</v>
      </c>
      <c r="D33" s="25" t="s">
        <v>162</v>
      </c>
      <c r="E33" s="25" t="str">
        <f t="shared" si="0"/>
        <v>MONTO COBRADO POR PMP.</v>
      </c>
      <c r="F33" s="25" t="s">
        <v>163</v>
      </c>
      <c r="G33" s="23" t="s">
        <v>62</v>
      </c>
      <c r="H33" s="23" t="s">
        <v>139</v>
      </c>
      <c r="I33" s="28">
        <v>12.05</v>
      </c>
      <c r="J33" s="23" t="s">
        <v>62</v>
      </c>
      <c r="K33" s="23" t="s">
        <v>93</v>
      </c>
      <c r="L33" s="23" t="s">
        <v>62</v>
      </c>
      <c r="M33" s="23" t="s">
        <v>62</v>
      </c>
    </row>
    <row r="34" spans="1:13">
      <c r="A34" s="23" t="s">
        <v>55</v>
      </c>
      <c r="B34" s="23" t="s">
        <v>56</v>
      </c>
      <c r="C34" s="24" t="s">
        <v>57</v>
      </c>
      <c r="D34" s="25" t="s">
        <v>164</v>
      </c>
      <c r="E34" s="25" t="str">
        <f t="shared" si="0"/>
        <v>SALDO PENDIENTE DE COBRO POR IZIPAY.</v>
      </c>
      <c r="F34" s="25" t="s">
        <v>165</v>
      </c>
      <c r="G34" s="23" t="s">
        <v>62</v>
      </c>
      <c r="H34" s="23" t="s">
        <v>139</v>
      </c>
      <c r="I34" s="28">
        <v>1.65</v>
      </c>
      <c r="J34" s="23" t="s">
        <v>62</v>
      </c>
      <c r="K34" s="23" t="s">
        <v>93</v>
      </c>
      <c r="L34" s="23" t="s">
        <v>62</v>
      </c>
      <c r="M34" s="23" t="s">
        <v>62</v>
      </c>
    </row>
    <row r="35" spans="1:13">
      <c r="A35" s="23" t="s">
        <v>55</v>
      </c>
      <c r="B35" s="23" t="s">
        <v>56</v>
      </c>
      <c r="C35" s="24" t="s">
        <v>57</v>
      </c>
      <c r="D35" s="25" t="s">
        <v>166</v>
      </c>
      <c r="E35" s="25" t="str">
        <f t="shared" si="0"/>
        <v>REASON CODE DEL CONTRACARGO/DEVOLUCIÓN.</v>
      </c>
      <c r="F35" s="25" t="s">
        <v>167</v>
      </c>
      <c r="G35" s="23" t="s">
        <v>62</v>
      </c>
      <c r="H35" s="23" t="s">
        <v>96</v>
      </c>
      <c r="I35" s="28" t="s">
        <v>168</v>
      </c>
      <c r="J35" s="23" t="s">
        <v>62</v>
      </c>
      <c r="K35" s="23" t="s">
        <v>93</v>
      </c>
      <c r="L35" s="23" t="s">
        <v>62</v>
      </c>
      <c r="M35" s="23" t="s">
        <v>62</v>
      </c>
    </row>
    <row r="36" spans="1:13">
      <c r="A36" s="23" t="s">
        <v>55</v>
      </c>
      <c r="B36" s="23" t="s">
        <v>56</v>
      </c>
      <c r="C36" s="24" t="s">
        <v>57</v>
      </c>
      <c r="D36" s="25" t="s">
        <v>169</v>
      </c>
      <c r="E36" s="25" t="str">
        <f t="shared" si="0"/>
        <v>ESTADO DEL CASO (P. EJ., ABIERTO, CERRADO, GANADO, PERDIDO).</v>
      </c>
      <c r="F36" s="25" t="s">
        <v>170</v>
      </c>
      <c r="G36" s="23" t="s">
        <v>62</v>
      </c>
      <c r="H36" s="23" t="s">
        <v>96</v>
      </c>
      <c r="I36" s="28" t="s">
        <v>171</v>
      </c>
      <c r="J36" s="23" t="s">
        <v>62</v>
      </c>
      <c r="K36" s="23" t="s">
        <v>93</v>
      </c>
      <c r="L36" s="23" t="s">
        <v>62</v>
      </c>
      <c r="M36" s="23" t="s">
        <v>93</v>
      </c>
    </row>
    <row r="37" spans="1:13">
      <c r="A37" s="23" t="s">
        <v>55</v>
      </c>
      <c r="B37" s="23" t="s">
        <v>56</v>
      </c>
      <c r="C37" s="24" t="s">
        <v>57</v>
      </c>
      <c r="D37" s="25" t="s">
        <v>172</v>
      </c>
      <c r="E37" s="25" t="str">
        <f t="shared" si="0"/>
        <v>USUARIO/ÁREA QUE INGRESÓ O GESTIONÓ EL REGISTRO.</v>
      </c>
      <c r="F37" s="25" t="s">
        <v>173</v>
      </c>
      <c r="G37" s="23" t="s">
        <v>62</v>
      </c>
      <c r="H37" s="23" t="s">
        <v>96</v>
      </c>
      <c r="I37" s="28" t="s">
        <v>174</v>
      </c>
      <c r="J37" s="23" t="s">
        <v>62</v>
      </c>
      <c r="K37" s="23" t="s">
        <v>93</v>
      </c>
      <c r="L37" s="23" t="s">
        <v>62</v>
      </c>
      <c r="M37" s="23" t="s">
        <v>62</v>
      </c>
    </row>
    <row r="38" spans="1:13">
      <c r="A38" s="23" t="s">
        <v>55</v>
      </c>
      <c r="B38" s="23" t="s">
        <v>56</v>
      </c>
      <c r="C38" s="24" t="s">
        <v>57</v>
      </c>
      <c r="D38" s="25" t="s">
        <v>175</v>
      </c>
      <c r="E38" s="25" t="str">
        <f t="shared" ref="E38:E40" si="2">UPPER(F38)</f>
        <v>DATO DE AUDITORÍA: DESCRIPCIÓN DEL APLICATIVO ORIGEN DE LOS DATOS.</v>
      </c>
      <c r="F38" s="25" t="s">
        <v>176</v>
      </c>
      <c r="G38" s="23" t="s">
        <v>62</v>
      </c>
      <c r="H38" s="23" t="s">
        <v>96</v>
      </c>
      <c r="I38" s="25" t="s">
        <v>177</v>
      </c>
      <c r="J38" s="23" t="s">
        <v>62</v>
      </c>
      <c r="K38" s="23" t="s">
        <v>62</v>
      </c>
      <c r="L38" s="23" t="s">
        <v>62</v>
      </c>
      <c r="M38" s="23" t="s">
        <v>62</v>
      </c>
    </row>
    <row r="39" spans="1:13">
      <c r="A39" s="23" t="s">
        <v>55</v>
      </c>
      <c r="B39" s="23" t="s">
        <v>56</v>
      </c>
      <c r="C39" s="24" t="s">
        <v>57</v>
      </c>
      <c r="D39" s="25" t="s">
        <v>178</v>
      </c>
      <c r="E39" s="25" t="str">
        <f t="shared" si="2"/>
        <v>FECHA Y HORA DE INSERCIÓN DEL REGISTRO EN EL MODELO</v>
      </c>
      <c r="F39" s="25" t="s">
        <v>179</v>
      </c>
      <c r="G39" s="23" t="s">
        <v>62</v>
      </c>
      <c r="H39" s="23" t="s">
        <v>180</v>
      </c>
      <c r="I39" s="25" t="s">
        <v>181</v>
      </c>
      <c r="J39" s="23" t="s">
        <v>62</v>
      </c>
      <c r="K39" s="23" t="s">
        <v>62</v>
      </c>
      <c r="L39" s="23" t="s">
        <v>62</v>
      </c>
      <c r="M39" s="23" t="s">
        <v>62</v>
      </c>
    </row>
    <row r="40" spans="1:13">
      <c r="A40" s="23" t="s">
        <v>55</v>
      </c>
      <c r="B40" s="23" t="s">
        <v>56</v>
      </c>
      <c r="C40" s="24" t="s">
        <v>57</v>
      </c>
      <c r="D40" s="25" t="s">
        <v>182</v>
      </c>
      <c r="E40" s="25" t="str">
        <f t="shared" si="2"/>
        <v>USUARIO QUE CREA EL REGISTRO EN LA BD</v>
      </c>
      <c r="F40" s="25" t="s">
        <v>183</v>
      </c>
      <c r="G40" s="23" t="s">
        <v>62</v>
      </c>
      <c r="H40" s="23" t="s">
        <v>96</v>
      </c>
      <c r="I40" s="27" t="s">
        <v>184</v>
      </c>
      <c r="J40" s="23" t="s">
        <v>62</v>
      </c>
      <c r="K40" s="23" t="s">
        <v>62</v>
      </c>
      <c r="L40" s="23" t="s">
        <v>62</v>
      </c>
      <c r="M40" s="23" t="s">
        <v>62</v>
      </c>
    </row>
  </sheetData>
  <autoFilter ref="A2:M40" xr:uid="{43B8BE03-B52F-4C6B-A89B-93AA54382303}"/>
  <hyperlinks>
    <hyperlink ref="I40" r:id="rId1" xr:uid="{5055E7C2-704F-4DF8-B13D-BB52B0115323}"/>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80ac410-b05f-448e-8dee-046357d4e70e" xsi:nil="true"/>
    <lcf76f155ced4ddcb4097134ff3c332f xmlns="0d36e45e-9b33-40cd-9496-1b0b6d1fa39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F31DB9E7368290418064F68BD9FE06A8" ma:contentTypeVersion="16" ma:contentTypeDescription="Crear nuevo documento." ma:contentTypeScope="" ma:versionID="dd9c0b131b0ed042e74b799984da9575">
  <xsd:schema xmlns:xsd="http://www.w3.org/2001/XMLSchema" xmlns:xs="http://www.w3.org/2001/XMLSchema" xmlns:p="http://schemas.microsoft.com/office/2006/metadata/properties" xmlns:ns2="e80ac410-b05f-448e-8dee-046357d4e70e" xmlns:ns3="0d36e45e-9b33-40cd-9496-1b0b6d1fa39a" targetNamespace="http://schemas.microsoft.com/office/2006/metadata/properties" ma:root="true" ma:fieldsID="0579c5f1134b53f7abd87656f4786aa2" ns2:_="" ns3:_="">
    <xsd:import namespace="e80ac410-b05f-448e-8dee-046357d4e70e"/>
    <xsd:import namespace="0d36e45e-9b33-40cd-9496-1b0b6d1fa39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DateTaken" minOccurs="0"/>
                <xsd:element ref="ns3:MediaServiceGenerationTime" minOccurs="0"/>
                <xsd:element ref="ns3:MediaServiceEventHashCode" minOccurs="0"/>
                <xsd:element ref="ns3:MediaLengthInSeconds" minOccurs="0"/>
                <xsd:element ref="ns3:lcf76f155ced4ddcb4097134ff3c332f" minOccurs="0"/>
                <xsd:element ref="ns2:TaxCatchAll" minOccurs="0"/>
                <xsd:element ref="ns3:MediaServiceOCR" minOccurs="0"/>
                <xsd:element ref="ns3:MediaServiceLocation" minOccurs="0"/>
                <xsd:element ref="ns3: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80ac410-b05f-448e-8dee-046357d4e70e" elementFormDefault="qualified">
    <xsd:import namespace="http://schemas.microsoft.com/office/2006/documentManagement/types"/>
    <xsd:import namespace="http://schemas.microsoft.com/office/infopath/2007/PartnerControls"/>
    <xsd:element name="SharedWithUsers" ma:index="8"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internalName="SharedWithDetails" ma:readOnly="true">
      <xsd:simpleType>
        <xsd:restriction base="dms:Note">
          <xsd:maxLength value="255"/>
        </xsd:restriction>
      </xsd:simpleType>
    </xsd:element>
    <xsd:element name="TaxCatchAll" ma:index="20" nillable="true" ma:displayName="Taxonomy Catch All Column" ma:hidden="true" ma:list="{0df41d55-81af-4a44-a067-d7a5a5ddb24d}" ma:internalName="TaxCatchAll" ma:showField="CatchAllData" ma:web="e80ac410-b05f-448e-8dee-046357d4e70e">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0d36e45e-9b33-40cd-9496-1b0b6d1fa39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DateTaken" ma:index="14" nillable="true" ma:displayName="MediaServiceDateTaken" ma:hidden="true" ma:indexed="true" ma:internalName="MediaServiceDateTake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element name="lcf76f155ced4ddcb4097134ff3c332f" ma:index="19" nillable="true" ma:taxonomy="true" ma:internalName="lcf76f155ced4ddcb4097134ff3c332f" ma:taxonomyFieldName="MediaServiceImageTags" ma:displayName="Etiquetas de imagen" ma:readOnly="false" ma:fieldId="{5cf76f15-5ced-4ddc-b409-7134ff3c332f}" ma:taxonomyMulti="true" ma:sspId="6c341efc-c97d-44e1-9c58-c7d91e5dd07b"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element name="MediaServiceLocation" ma:index="22" nillable="true" ma:displayName="Location" ma:indexed="true" ma:internalName="MediaServiceLocation" ma:readOnly="true">
      <xsd:simpleType>
        <xsd:restriction base="dms:Text"/>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85006A4-5124-4F73-8C0E-FFC53E124586}">
  <ds:schemaRefs>
    <ds:schemaRef ds:uri="http://schemas.microsoft.com/office/2006/metadata/properties"/>
    <ds:schemaRef ds:uri="http://schemas.microsoft.com/office/infopath/2007/PartnerControls"/>
    <ds:schemaRef ds:uri="e80ac410-b05f-448e-8dee-046357d4e70e"/>
    <ds:schemaRef ds:uri="0d36e45e-9b33-40cd-9496-1b0b6d1fa39a"/>
  </ds:schemaRefs>
</ds:datastoreItem>
</file>

<file path=customXml/itemProps2.xml><?xml version="1.0" encoding="utf-8"?>
<ds:datastoreItem xmlns:ds="http://schemas.openxmlformats.org/officeDocument/2006/customXml" ds:itemID="{FCB7F921-B723-4C15-9B1B-F767409F206E}">
  <ds:schemaRefs>
    <ds:schemaRef ds:uri="http://schemas.microsoft.com/sharepoint/v3/contenttype/forms"/>
  </ds:schemaRefs>
</ds:datastoreItem>
</file>

<file path=customXml/itemProps3.xml><?xml version="1.0" encoding="utf-8"?>
<ds:datastoreItem xmlns:ds="http://schemas.openxmlformats.org/officeDocument/2006/customXml" ds:itemID="{31DAD11D-8571-43AB-B7CB-2EC7A99C0536}"/>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Datos Sensibles</vt:lpstr>
      <vt:lpstr>Estructuras del Modelo</vt:lpstr>
      <vt:lpstr>m_contracargo_devolucion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Angello Bravo</dc:creator>
  <cp:keywords/>
  <dc:description/>
  <cp:lastModifiedBy>ANGELLO BRAVO</cp:lastModifiedBy>
  <cp:revision/>
  <dcterms:created xsi:type="dcterms:W3CDTF">2015-06-05T18:19:34Z</dcterms:created>
  <dcterms:modified xsi:type="dcterms:W3CDTF">2026-07-01T13:56:39Z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0x010100F31DB9E7368290418064F68BD9FE06A8</vt:lpwstr>
  </property>
  <property fmtid="{D5CDD505-2E9C-101B-9397-08002B2CF9AE}" pid="3" name="MediaServiceImageTags">
    <vt:lpwstr/>
  </property>
</Properties>
</file>