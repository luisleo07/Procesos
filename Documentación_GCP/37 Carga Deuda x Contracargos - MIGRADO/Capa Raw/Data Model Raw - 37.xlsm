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https://pmpmc.sharepoint.com/sites/EquipoDataIzipay/Shared Documents/1. Proyectos D&amp;A/2025/Migración OnPremises a Cloud/Operaciones y Riesgos (Walter Cori)/Documentación GCP/37 Carga Deuda x Contracargos - MIGRADO/Capa Raw/"/>
    </mc:Choice>
  </mc:AlternateContent>
  <xr:revisionPtr revIDLastSave="296" documentId="8_{1DCF88E8-8811-44D0-8773-D3AB89B02E57}" xr6:coauthVersionLast="47" xr6:coauthVersionMax="47" xr10:uidLastSave="{3CCBDE0C-6ACA-4F2C-A3FE-FE96963746B7}"/>
  <bookViews>
    <workbookView xWindow="-108" yWindow="-108" windowWidth="23256" windowHeight="12456" activeTab="3" xr2:uid="{00000000-000D-0000-FFFF-FFFF00000000}"/>
  </bookViews>
  <sheets>
    <sheet name="Datos Sensibles" sheetId="4" r:id="rId1"/>
    <sheet name="Estructuras del Modelo" sheetId="1" r:id="rId2"/>
    <sheet name="mcft006" sheetId="2" r:id="rId3"/>
    <sheet name="mcfs006" sheetId="6" r:id="rId4"/>
    <sheet name="izft076" sheetId="7" r:id="rId5"/>
    <sheet name="mcfv102" sheetId="9" r:id="rId6"/>
  </sheets>
  <functionGroups builtInGroupCount="19"/>
  <definedNames>
    <definedName name="_xleta.AND"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1" i="2" l="1"/>
  <c r="E80" i="2"/>
  <c r="E79" i="6"/>
  <c r="E78" i="6"/>
  <c r="E67" i="7"/>
  <c r="E10" i="9"/>
  <c r="E9" i="9"/>
  <c r="E8" i="9"/>
  <c r="E7" i="9"/>
  <c r="E6" i="9"/>
  <c r="E5" i="9"/>
  <c r="E4" i="9"/>
  <c r="E3" i="9"/>
  <c r="E21" i="6"/>
  <c r="E20" i="6"/>
  <c r="E71" i="7"/>
  <c r="E70" i="7"/>
  <c r="E69" i="7"/>
  <c r="E68" i="7"/>
  <c r="E66" i="7"/>
  <c r="E65" i="7"/>
  <c r="E64" i="7"/>
  <c r="E63" i="7"/>
  <c r="E62" i="7"/>
  <c r="E61" i="7"/>
  <c r="E60" i="7"/>
  <c r="E59" i="7"/>
  <c r="E58" i="7"/>
  <c r="E57" i="7"/>
  <c r="E56" i="7"/>
  <c r="E55" i="7"/>
  <c r="E54" i="7"/>
  <c r="E53" i="7"/>
  <c r="E52" i="7"/>
  <c r="E51" i="7"/>
  <c r="E50" i="7"/>
  <c r="E49" i="7"/>
  <c r="E48" i="7"/>
  <c r="E47" i="7"/>
  <c r="E46" i="7"/>
  <c r="E45" i="7"/>
  <c r="E44" i="7"/>
  <c r="E43" i="7"/>
  <c r="E42" i="7"/>
  <c r="E41" i="7"/>
  <c r="E40" i="7"/>
  <c r="E39" i="7"/>
  <c r="E38" i="7"/>
  <c r="E37" i="7"/>
  <c r="E36" i="7"/>
  <c r="E35" i="7"/>
  <c r="E34" i="7"/>
  <c r="E33" i="7"/>
  <c r="E32" i="7"/>
  <c r="E31" i="7"/>
  <c r="E30" i="7"/>
  <c r="E29" i="7"/>
  <c r="E28" i="7"/>
  <c r="E27" i="7"/>
  <c r="E26" i="7"/>
  <c r="E25" i="7"/>
  <c r="E24" i="7"/>
  <c r="E23" i="7"/>
  <c r="E22" i="7"/>
  <c r="E21" i="7"/>
  <c r="E20" i="7"/>
  <c r="E19" i="7"/>
  <c r="E18" i="7"/>
  <c r="E17" i="7"/>
  <c r="E16" i="7"/>
  <c r="E15" i="7"/>
  <c r="E14" i="7"/>
  <c r="E13" i="7"/>
  <c r="E12" i="7"/>
  <c r="E11" i="7"/>
  <c r="E10" i="7"/>
  <c r="E9" i="7"/>
  <c r="E8" i="7"/>
  <c r="E7" i="7"/>
  <c r="E6" i="7"/>
  <c r="E5" i="7"/>
  <c r="E4" i="7"/>
  <c r="E3" i="7"/>
  <c r="E83" i="6"/>
  <c r="E82" i="6"/>
  <c r="E81" i="6"/>
  <c r="E80" i="6"/>
  <c r="E77" i="6"/>
  <c r="E76" i="6"/>
  <c r="E75" i="6"/>
  <c r="E74" i="6"/>
  <c r="E73" i="6"/>
  <c r="E72" i="6"/>
  <c r="E71" i="6"/>
  <c r="E70" i="6"/>
  <c r="E69" i="6"/>
  <c r="E68" i="6"/>
  <c r="E67" i="6"/>
  <c r="E66" i="6"/>
  <c r="E65" i="6"/>
  <c r="E64" i="6"/>
  <c r="E63" i="6"/>
  <c r="E62" i="6"/>
  <c r="E61" i="6"/>
  <c r="E60" i="6"/>
  <c r="E59" i="6"/>
  <c r="E58" i="6"/>
  <c r="E57" i="6"/>
  <c r="E56" i="6"/>
  <c r="E55" i="6"/>
  <c r="E54" i="6"/>
  <c r="E53" i="6"/>
  <c r="E52" i="6"/>
  <c r="E51" i="6"/>
  <c r="E50" i="6"/>
  <c r="E49" i="6"/>
  <c r="E48" i="6"/>
  <c r="E47" i="6"/>
  <c r="E46" i="6"/>
  <c r="E45" i="6"/>
  <c r="E44" i="6"/>
  <c r="E43" i="6"/>
  <c r="E42" i="6"/>
  <c r="E41" i="6"/>
  <c r="E40" i="6"/>
  <c r="E39" i="6"/>
  <c r="E38" i="6"/>
  <c r="E37" i="6"/>
  <c r="E36" i="6"/>
  <c r="E35" i="6"/>
  <c r="E34" i="6"/>
  <c r="E33" i="6"/>
  <c r="E32" i="6"/>
  <c r="E31" i="6"/>
  <c r="E30" i="6"/>
  <c r="E29" i="6"/>
  <c r="E28" i="6"/>
  <c r="E27" i="6"/>
  <c r="E26" i="6"/>
  <c r="E25" i="6"/>
  <c r="E24" i="6"/>
  <c r="E23" i="6"/>
  <c r="E22" i="6"/>
  <c r="E19" i="6"/>
  <c r="E18" i="6"/>
  <c r="E17" i="6"/>
  <c r="E16" i="6"/>
  <c r="E15" i="6"/>
  <c r="E14" i="6"/>
  <c r="E13" i="6"/>
  <c r="E12" i="6"/>
  <c r="E11" i="6"/>
  <c r="E10" i="6"/>
  <c r="E9" i="6"/>
  <c r="E8" i="6"/>
  <c r="E7" i="6"/>
  <c r="E6" i="6"/>
  <c r="E5" i="6"/>
  <c r="E4" i="6"/>
  <c r="E3" i="6"/>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2" i="2"/>
  <c r="E83" i="2"/>
  <c r="E84" i="2"/>
  <c r="E85" i="2"/>
  <c r="E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tc={3231D9E1-979B-48B4-ADD5-AEA7D97BD37D}</author>
  </authors>
  <commentList>
    <comment ref="D46" authorId="0" shapeId="0" xr:uid="{3231D9E1-979B-48B4-ADD5-AEA7D97BD37D}">
      <text>
        <t>[Comentario encadenado]
Su versión de Excel le permite leer este comentario encadenado; sin embargo, las ediciones que se apliquen se quitarán si el archivo se abre en una versión más reciente de Excel. Más información: https://go.microsoft.com/fwlink/?linkid=870924
Comentario:
    Original: dvruce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tc={35AF1BB8-BD83-4BDF-A6CA-0EB770599355}</author>
  </authors>
  <commentList>
    <comment ref="D46" authorId="0" shapeId="0" xr:uid="{35AF1BB8-BD83-4BDF-A6CA-0EB770599355}">
      <text>
        <t>[Comentario encadenado]
Su versión de Excel le permite leer este comentario encadenado; sin embargo, las ediciones que se apliquen se quitarán si el archivo se abre en una versión más reciente de Excel. Más información: https://go.microsoft.com/fwlink/?linkid=870924
Comentario:
    Original: dvruce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tc={3E1582F3-4B74-438C-8242-B57538CDA2B4}</author>
  </authors>
  <commentList>
    <comment ref="D42" authorId="0" shapeId="0" xr:uid="{3E1582F3-4B74-438C-8242-B57538CDA2B4}">
      <text>
        <t>[Comentario encadenado]
Su versión de Excel le permite leer este comentario encadenado; sin embargo, las ediciones que se apliquen se quitarán si el archivo se abre en una versión más reciente de Excel. Más información: https://go.microsoft.com/fwlink/?linkid=870924
Comentario:
    Original: dvruce</t>
      </text>
    </comment>
  </commentList>
</comments>
</file>

<file path=xl/sharedStrings.xml><?xml version="1.0" encoding="utf-8"?>
<sst xmlns="http://schemas.openxmlformats.org/spreadsheetml/2006/main" count="2919" uniqueCount="312">
  <si>
    <t>Configuración de Datos Sensibles</t>
  </si>
  <si>
    <r>
      <t xml:space="preserve">El catálogo </t>
    </r>
    <r>
      <rPr>
        <b/>
        <sz val="11"/>
        <color rgb="FF000000"/>
        <rFont val="Calibri"/>
        <family val="2"/>
        <scheme val="minor"/>
      </rPr>
      <t>config_protected_data</t>
    </r>
    <r>
      <rPr>
        <sz val="11"/>
        <color rgb="FF000000"/>
        <rFont val="Calibri"/>
        <family val="2"/>
        <scheme val="minor"/>
      </rPr>
      <t xml:space="preserve"> deberá ser utilizado para la carga RAW por cada origen de información que tenga datos sensibles. Por ejemplo, para cargar algún RAW de personas, necesitaremos consultar este catálogo para encriptar el primer nombre, segundo nombre, direcciones, entre otros. Este catálogo deberá ser administrado por el equipo de la empresa con el mayor nivel de seguridad posible, ya que aquí se ingresará la llave de encriptamiento y desencriptamiento (campo Key).</t>
    </r>
  </si>
  <si>
    <t>Id</t>
  </si>
  <si>
    <t>Attribute_Group</t>
  </si>
  <si>
    <t>Attribute</t>
  </si>
  <si>
    <t>Code</t>
  </si>
  <si>
    <t>Table</t>
  </si>
  <si>
    <t>Column</t>
  </si>
  <si>
    <t>Description</t>
  </si>
  <si>
    <t>Organization</t>
  </si>
  <si>
    <t>Business Domain</t>
  </si>
  <si>
    <t>Business Sub Domain</t>
  </si>
  <si>
    <t>Technical Domain</t>
  </si>
  <si>
    <t>Technical Sub Domain</t>
  </si>
  <si>
    <t>Project</t>
  </si>
  <si>
    <t>Dataset</t>
  </si>
  <si>
    <t>Load Strategy</t>
  </si>
  <si>
    <t>Load Frequency</t>
  </si>
  <si>
    <t>Big query Structure</t>
  </si>
  <si>
    <t>Data Operator</t>
  </si>
  <si>
    <t>Public</t>
  </si>
  <si>
    <t>Environment</t>
  </si>
  <si>
    <t>Zone</t>
  </si>
  <si>
    <t>Area</t>
  </si>
  <si>
    <t>Area Data Steward</t>
  </si>
  <si>
    <t>Org. Data Steward</t>
  </si>
  <si>
    <t>Corp. Data Steward</t>
  </si>
  <si>
    <t>Empresa del grupo IC</t>
  </si>
  <si>
    <t>Dominio de negocio al que pertenece el concepto de datos</t>
  </si>
  <si>
    <t>Sub dominio de negocio al que pertenece el concepto de datos</t>
  </si>
  <si>
    <t>Dominio del modelo de datos al cual pertenece la tabla</t>
  </si>
  <si>
    <t>Subdominio del modelo de datos al cual la tabla</t>
  </si>
  <si>
    <t>Nombre del proyecto que almacena la entidad</t>
  </si>
  <si>
    <t>Nombre del dataset donde se almacena la entidad</t>
  </si>
  <si>
    <t>Nombre de la Tabla</t>
  </si>
  <si>
    <t>Propósito de la tabla</t>
  </si>
  <si>
    <t>Estrategia de carga</t>
  </si>
  <si>
    <t>Indica la frecuencia de carga</t>
  </si>
  <si>
    <t>Identifica al operador de la tabla</t>
  </si>
  <si>
    <t>Identifica si una tabla es púbica o no
(Yes / No)</t>
  </si>
  <si>
    <t>dev/test/prod</t>
  </si>
  <si>
    <t>Zona (Raw, Master, BI)</t>
  </si>
  <si>
    <t>Area o departamento al que pertenece el Owner</t>
  </si>
  <si>
    <t>Es el responsable a nivel de Área de la información contenida en la tabla.</t>
  </si>
  <si>
    <t>Es el responsable a nivel de Organización de la información contenida en la tabla.</t>
  </si>
  <si>
    <t>Es el responsable a nivel de Corporativo de la información contenida en la tabla.</t>
  </si>
  <si>
    <t>IZIPAY</t>
  </si>
  <si>
    <t>RIESGOS</t>
  </si>
  <si>
    <t>CONTRACARGO</t>
  </si>
  <si>
    <t>prd-izipay-data-storage-pv</t>
  </si>
  <si>
    <t>raw_as400</t>
  </si>
  <si>
    <t>mcft006</t>
  </si>
  <si>
    <t>Cargos y devoluciones Pendientes (adquirente)</t>
  </si>
  <si>
    <t>Última foto</t>
  </si>
  <si>
    <t>Diario (6:00 am)</t>
  </si>
  <si>
    <t>mc2103@izipay.pe</t>
  </si>
  <si>
    <t>N</t>
  </si>
  <si>
    <t>prod</t>
  </si>
  <si>
    <t>Raw</t>
  </si>
  <si>
    <t>Riesgos</t>
  </si>
  <si>
    <t>mcfs006</t>
  </si>
  <si>
    <t>Cargos y devoluciones Histórico</t>
  </si>
  <si>
    <t>izft076</t>
  </si>
  <si>
    <t>Cargos y devoluciones Pendientes (facilitador)</t>
  </si>
  <si>
    <t>mcfv102</t>
  </si>
  <si>
    <t>Tabla del MTI</t>
  </si>
  <si>
    <t>Load Strategy:</t>
  </si>
  <si>
    <t>Incremental = inserta nuevo registro sin versionar los datos anteriores</t>
  </si>
  <si>
    <t>Incremental última actualización = última versión del registro siempre actualizado</t>
  </si>
  <si>
    <t>Histórico = versiona el estado del registro (flag_active = true/false) almacenando todo el tracking o versión de los datos en toda la historia</t>
  </si>
  <si>
    <t>Truncate &amp; Full Load = trunca y carga la tabla destino en cada ejecución</t>
  </si>
  <si>
    <t>Data Element name</t>
  </si>
  <si>
    <t>Business Definition</t>
  </si>
  <si>
    <t>Sensitive</t>
  </si>
  <si>
    <t>Data Type</t>
  </si>
  <si>
    <t>Valid values</t>
  </si>
  <si>
    <t>Primary Key 
(Y/N)</t>
  </si>
  <si>
    <t>NULL 
(Y/N)</t>
  </si>
  <si>
    <t>Partition
(Y/N)</t>
  </si>
  <si>
    <t>Cluster
(Y/N)</t>
  </si>
  <si>
    <t>Nombre de la tabla</t>
  </si>
  <si>
    <t>Nombre del campo</t>
  </si>
  <si>
    <t>Nombre único con el cual el Negocio identifica al Elemento de Dato (ponerlo en Mayúscula)</t>
  </si>
  <si>
    <t>Concepto definido por el negocio para el elemento de dato. Contiene las propiedades, características y exclusiones relacionadas al dato</t>
  </si>
  <si>
    <t>Yes / No</t>
  </si>
  <si>
    <t>Tipo de dato físico en BigQuery</t>
  </si>
  <si>
    <t>Incluye los valores que puede contener el campo (sólo para variables discretas, p.e. A, B, C,… 1, 2, 3, Todos, etc.)</t>
  </si>
  <si>
    <t>Describe si el elemento de datos es una llave primaria en la base de datos</t>
  </si>
  <si>
    <t>Indica si es posible que el campo admita NULL</t>
  </si>
  <si>
    <t>Indica si el elemento es parte de la partición de la tabla</t>
  </si>
  <si>
    <t>dvprod</t>
  </si>
  <si>
    <t>Producto</t>
  </si>
  <si>
    <t>STRING</t>
  </si>
  <si>
    <t>MC</t>
  </si>
  <si>
    <t>Y</t>
  </si>
  <si>
    <t>dvcest</t>
  </si>
  <si>
    <t>Comercio</t>
  </si>
  <si>
    <t>dvfpro</t>
  </si>
  <si>
    <t>Fecha Proceso</t>
  </si>
  <si>
    <t>dvndev</t>
  </si>
  <si>
    <t>Nro Dev Dia</t>
  </si>
  <si>
    <t>dvctra</t>
  </si>
  <si>
    <t>Transaccion</t>
  </si>
  <si>
    <t>dvbcop</t>
  </si>
  <si>
    <t>Bco Pagador</t>
  </si>
  <si>
    <t>dvlote</t>
  </si>
  <si>
    <t>Lote</t>
  </si>
  <si>
    <t>dvagep</t>
  </si>
  <si>
    <t>Agen Pagador</t>
  </si>
  <si>
    <t>dvbcor</t>
  </si>
  <si>
    <t>Bco Receptor</t>
  </si>
  <si>
    <t>dvbcoe</t>
  </si>
  <si>
    <t>Bco Emisor</t>
  </si>
  <si>
    <t>dvftra</t>
  </si>
  <si>
    <t>Fecha Transacc</t>
  </si>
  <si>
    <t>dvndoc</t>
  </si>
  <si>
    <t>Nro Documento</t>
  </si>
  <si>
    <t>dvauto</t>
  </si>
  <si>
    <t>Autorizacion</t>
  </si>
  <si>
    <t>09587B</t>
  </si>
  <si>
    <t>dvimpo</t>
  </si>
  <si>
    <t>Importe</t>
  </si>
  <si>
    <t>dvmone</t>
  </si>
  <si>
    <t>Moneda</t>
  </si>
  <si>
    <t>dviacc</t>
  </si>
  <si>
    <t>Abo/Car Comision</t>
  </si>
  <si>
    <t>dvcomi</t>
  </si>
  <si>
    <t>Comision</t>
  </si>
  <si>
    <t>dvcopr</t>
  </si>
  <si>
    <t>Comision Proces</t>
  </si>
  <si>
    <t>dvimpr</t>
  </si>
  <si>
    <t>Impuesto Proces</t>
  </si>
  <si>
    <t>dvcoem</t>
  </si>
  <si>
    <t>Comision Emisor</t>
  </si>
  <si>
    <t>dvimem</t>
  </si>
  <si>
    <t>Impuesto Emisor</t>
  </si>
  <si>
    <t>dvmetr</t>
  </si>
  <si>
    <t>Medio De Transac</t>
  </si>
  <si>
    <t>PC</t>
  </si>
  <si>
    <t>dvflot</t>
  </si>
  <si>
    <t>Fecha De Lote</t>
  </si>
  <si>
    <t>dvlotr</t>
  </si>
  <si>
    <t>Lote Referencia</t>
  </si>
  <si>
    <t>dvuser</t>
  </si>
  <si>
    <t>Usuario</t>
  </si>
  <si>
    <t>dvterm</t>
  </si>
  <si>
    <t>Terminal</t>
  </si>
  <si>
    <t>PS0001</t>
  </si>
  <si>
    <t>dvusap</t>
  </si>
  <si>
    <t>Aprobado Por</t>
  </si>
  <si>
    <t>MC0776</t>
  </si>
  <si>
    <t>dvfpen</t>
  </si>
  <si>
    <t>Fecha Pendiente</t>
  </si>
  <si>
    <t>dvicai</t>
  </si>
  <si>
    <t>Ica Emisor</t>
  </si>
  <si>
    <t>dvicaa</t>
  </si>
  <si>
    <t>Ica Adquir</t>
  </si>
  <si>
    <t>dvfjul</t>
  </si>
  <si>
    <t>Fecha Juliana</t>
  </si>
  <si>
    <t>dvmcc</t>
  </si>
  <si>
    <t>Mcc</t>
  </si>
  <si>
    <t>dvtcam</t>
  </si>
  <si>
    <t>Tipo Cambio</t>
  </si>
  <si>
    <t>dvimus</t>
  </si>
  <si>
    <t>Importe S/.</t>
  </si>
  <si>
    <t>dvnet1</t>
  </si>
  <si>
    <t>Neto 1</t>
  </si>
  <si>
    <t>dvidpa</t>
  </si>
  <si>
    <t>Impo Devoluc Pagado</t>
  </si>
  <si>
    <t>dvnet2</t>
  </si>
  <si>
    <t>Neto 2</t>
  </si>
  <si>
    <t>dvfppa</t>
  </si>
  <si>
    <t>Fecha 1Er Pago</t>
  </si>
  <si>
    <t>dvfcan</t>
  </si>
  <si>
    <t>Fecha Cancelacion</t>
  </si>
  <si>
    <t>dvtien</t>
  </si>
  <si>
    <t>Tienda</t>
  </si>
  <si>
    <t>dvcoer</t>
  </si>
  <si>
    <t>Serv.Procesamie</t>
  </si>
  <si>
    <t>dvimer</t>
  </si>
  <si>
    <t>Impuesto Serv.P</t>
  </si>
  <si>
    <t>party_id_izi</t>
  </si>
  <si>
    <t>Ruc</t>
  </si>
  <si>
    <t>dvprio</t>
  </si>
  <si>
    <t>Prioridad</t>
  </si>
  <si>
    <t>dvsitu</t>
  </si>
  <si>
    <t>Situacion (' ':ACTIVO, C:CANCELADA, K:CASTIGADA, I:CASTIGADA INCOBRABLE, 'G':EN GESTION, D:CANCELADA-CASTIGADA)</t>
  </si>
  <si>
    <t>K</t>
  </si>
  <si>
    <t>dvussi</t>
  </si>
  <si>
    <t>User Situacion</t>
  </si>
  <si>
    <t>dvfsit</t>
  </si>
  <si>
    <t>Fech Situacion</t>
  </si>
  <si>
    <t>dvtdev</t>
  </si>
  <si>
    <t>Indica Devolucion</t>
  </si>
  <si>
    <t>D</t>
  </si>
  <si>
    <t>dvaren</t>
  </si>
  <si>
    <t>Acquirer Refe Nbr</t>
  </si>
  <si>
    <t>dvmoti</t>
  </si>
  <si>
    <t>Motivo Carta</t>
  </si>
  <si>
    <t>dvtcop</t>
  </si>
  <si>
    <t>Tipo:Fac,N/C</t>
  </si>
  <si>
    <t>N/C</t>
  </si>
  <si>
    <t>dvncop</t>
  </si>
  <si>
    <t>Nro Comprob Pago</t>
  </si>
  <si>
    <t>dvfape</t>
  </si>
  <si>
    <t>Fec Apertura</t>
  </si>
  <si>
    <t>dvejec</t>
  </si>
  <si>
    <t>Ejecutivo</t>
  </si>
  <si>
    <t>dvprom</t>
  </si>
  <si>
    <t>Promotor</t>
  </si>
  <si>
    <t>dvfpre</t>
  </si>
  <si>
    <t>Fec.Pro.Referencia</t>
  </si>
  <si>
    <t>dvpais</t>
  </si>
  <si>
    <t>Pais</t>
  </si>
  <si>
    <t>USA</t>
  </si>
  <si>
    <t>dvtain</t>
  </si>
  <si>
    <t>Tasa Intercambio</t>
  </si>
  <si>
    <t>dvtint</t>
  </si>
  <si>
    <t>Tipo Intercambio</t>
  </si>
  <si>
    <t>dvarer</t>
  </si>
  <si>
    <t>Arn Referencia</t>
  </si>
  <si>
    <t>dvsadv</t>
  </si>
  <si>
    <t>No Aplicar Dev</t>
  </si>
  <si>
    <t>dvtarm</t>
  </si>
  <si>
    <t>Tarjeta Mask</t>
  </si>
  <si>
    <t>514887-3823</t>
  </si>
  <si>
    <t>dvtarr</t>
  </si>
  <si>
    <t>Tarjeta Rec</t>
  </si>
  <si>
    <t>dvltar</t>
  </si>
  <si>
    <t>Long Tarj</t>
  </si>
  <si>
    <t>dvface</t>
  </si>
  <si>
    <t>Fact Estab (D:DIARIA  M:MENSUA)</t>
  </si>
  <si>
    <t>dvicax</t>
  </si>
  <si>
    <t>dvbono</t>
  </si>
  <si>
    <t>Iata/Web/Sunat</t>
  </si>
  <si>
    <t>dvfsis</t>
  </si>
  <si>
    <t>Fec Sistema</t>
  </si>
  <si>
    <t>dvhsis</t>
  </si>
  <si>
    <t>Hora Sistema</t>
  </si>
  <si>
    <t>dvfprv</t>
  </si>
  <si>
    <t>Fec Provision</t>
  </si>
  <si>
    <t>dvmarp</t>
  </si>
  <si>
    <t>Marca Provision</t>
  </si>
  <si>
    <t>P</t>
  </si>
  <si>
    <t>dvtras</t>
  </si>
  <si>
    <t>Numero De Traspaso</t>
  </si>
  <si>
    <t>dvsecu</t>
  </si>
  <si>
    <t>Numero De Secuencia</t>
  </si>
  <si>
    <t>dvcorr</t>
  </si>
  <si>
    <t>Numero Correlativo</t>
  </si>
  <si>
    <t>dvitem</t>
  </si>
  <si>
    <t>Item</t>
  </si>
  <si>
    <t>process_date</t>
  </si>
  <si>
    <t>Fecha de foto/datos configurada en el ETL para la extracción de datos, corresponde a aperturas de comercios hasta el cierre del día anterior</t>
  </si>
  <si>
    <t>DATE</t>
  </si>
  <si>
    <t>record_source</t>
  </si>
  <si>
    <t>Dato de Auditoría: Descripción del aplicativo origen de los datos.</t>
  </si>
  <si>
    <t>as400</t>
  </si>
  <si>
    <t>load_date</t>
  </si>
  <si>
    <t>Fecha y hora de inserción del registro en el modelo</t>
  </si>
  <si>
    <t>DATETIME</t>
  </si>
  <si>
    <t>2025-07-04 03:07:39.145385 UTC</t>
  </si>
  <si>
    <t>creation_user</t>
  </si>
  <si>
    <t>Usuario que crea el registro en la BD</t>
  </si>
  <si>
    <t>prd-data-operation-migration@prd-izipay-data-operation.iam.gserviceaccount.com</t>
  </si>
  <si>
    <t>VA</t>
  </si>
  <si>
    <t>dvnope</t>
  </si>
  <si>
    <t>Nro Operacion</t>
  </si>
  <si>
    <t>dvscot</t>
  </si>
  <si>
    <t>Sist Tercero</t>
  </si>
  <si>
    <t>PV</t>
  </si>
  <si>
    <t>PAYZEN</t>
  </si>
  <si>
    <t>MC1271</t>
  </si>
  <si>
    <t>dvtdoi</t>
  </si>
  <si>
    <t>Tipdoc Iden</t>
  </si>
  <si>
    <t>dvtcor</t>
  </si>
  <si>
    <t>dvncor</t>
  </si>
  <si>
    <t>dvcedc</t>
  </si>
  <si>
    <t>Cod Estab Dcp</t>
  </si>
  <si>
    <t>dvgpdc</t>
  </si>
  <si>
    <t>Grupo Diners</t>
  </si>
  <si>
    <t>dvpigv</t>
  </si>
  <si>
    <t>% Igv</t>
  </si>
  <si>
    <t>dvrcap</t>
  </si>
  <si>
    <t>Nro Recap</t>
  </si>
  <si>
    <t>AS400</t>
  </si>
  <si>
    <t>2025-07-04T03:07:39.145385</t>
  </si>
  <si>
    <t>mticodi</t>
  </si>
  <si>
    <t>Mti</t>
  </si>
  <si>
    <t>mticofu</t>
  </si>
  <si>
    <t>Cod Funcion</t>
  </si>
  <si>
    <t>mtides</t>
  </si>
  <si>
    <t>Descripcion</t>
  </si>
  <si>
    <t>FIRST PRESENT</t>
  </si>
  <si>
    <t>mtideco</t>
  </si>
  <si>
    <t>Descr Corta</t>
  </si>
  <si>
    <t>PRESEN</t>
  </si>
  <si>
    <t>dvdote</t>
  </si>
  <si>
    <t>Tarjeta enmascarada (compuesta por los 6 primeros dígitos, 6 asteriscos y 4 últimos dígitos)</t>
  </si>
  <si>
    <t>458745******6589</t>
  </si>
  <si>
    <t>bin</t>
  </si>
  <si>
    <t>Bin de 9 del campo dvdote</t>
  </si>
  <si>
    <t>dvtarj</t>
  </si>
  <si>
    <t>Tarjeta enmascarada</t>
  </si>
  <si>
    <t>458745******5478</t>
  </si>
  <si>
    <t>dvtarx</t>
  </si>
  <si>
    <t>bin_j</t>
  </si>
  <si>
    <t>bin_x</t>
  </si>
  <si>
    <t>Bin de 9 del campo dvtarj</t>
  </si>
  <si>
    <t>Bin de 9 del campo dvtarx</t>
  </si>
  <si>
    <t>452587******6584</t>
  </si>
  <si>
    <t>547858******6568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</si>
</sst>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Calibri"/>
      <family val="2"/>
      <scheme val="minor"/>
    </font>
    <font>
      <b/>
      <sz val="11"/>
      <color theme="1"/>
      <name val="Calibri"/>
      <family val="2"/>
      <scheme val="minor"/>
    </font>
    <font>
      <b/>
      <sz val="11"/>
      <color rgb="FFFFFFFF"/>
      <name val="Calibri"/>
      <family val="2"/>
      <scheme val="minor"/>
    </font>
    <font>
      <sz val="11"/>
      <color rgb="FFFFFFFF"/>
      <name val="Calibri"/>
      <family val="2"/>
      <scheme val="minor"/>
    </font>
    <font>
      <sz val="11"/>
      <color theme="1"/>
      <name val="Exo"/>
    </font>
    <font>
      <u/>
      <sz val="11"/>
      <color theme="10"/>
      <name val="Calibri"/>
      <family val="2"/>
      <scheme val="minor"/>
    </font>
    <font>
      <b/>
      <sz val="12"/>
      <color rgb="FFFFFFFF"/>
      <name val="Calibri"/>
      <family val="2"/>
      <scheme val="minor"/>
    </font>
    <font>
      <sz val="12"/>
      <color rgb="FFFFFFFF"/>
      <name val="Calibri"/>
      <family val="2"/>
      <scheme val="minor"/>
    </font>
    <font>
      <b/>
      <sz val="12"/>
      <color theme="1"/>
      <name val="Calibri"/>
      <family val="2"/>
      <scheme val="minor"/>
    </font>
    <font>
      <sz val="11"/>
      <color rgb="FF222222"/>
      <name val="Calibri"/>
      <family val="2"/>
      <scheme val="minor"/>
    </font>
    <font>
      <b/>
      <sz val="23"/>
      <color theme="1"/>
      <name val="Calibri"/>
      <family val="2"/>
      <scheme val="minor"/>
    </font>
    <font>
      <sz val="11"/>
      <color rgb="FF000000"/>
      <name val="Calibri"/>
      <family val="2"/>
      <scheme val="minor"/>
    </font>
    <font>
      <b/>
      <sz val="11"/>
      <color rgb="FF000000"/>
      <name val="Calibri"/>
      <family val="2"/>
      <scheme val="minor"/>
    </font>
    <font>
      <sz val="10"/>
      <color theme="1"/>
      <name val="Arial"/>
      <family val="2"/>
    </font>
    <font>
      <sz val="8"/>
      <name val="Calibri"/>
      <family val="2"/>
      <scheme val="minor"/>
    </font>
  </fonts>
  <fills count="6">
    <fill>
      <patternFill patternType="none"/>
    </fill>
    <fill>
      <patternFill patternType="gray125"/>
    </fill>
    <fill>
      <patternFill patternType="solid">
        <fgColor rgb="FF333399"/>
        <bgColor indexed="64"/>
      </patternFill>
    </fill>
    <fill>
      <patternFill patternType="solid">
        <fgColor rgb="FF99CCFF"/>
        <bgColor indexed="64"/>
      </patternFill>
    </fill>
    <fill>
      <patternFill patternType="solid">
        <fgColor rgb="FFFFFF00"/>
        <bgColor indexed="64"/>
      </patternFill>
    </fill>
    <fill>
      <patternFill patternType="solid">
        <fgColor rgb="FFFFFFFF"/>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32">
    <xf numFmtId="0" fontId="0" fillId="0" borderId="0" xfId="0"/>
    <xf numFmtId="0" fontId="0" fillId="0" borderId="0" xfId="0" applyAlignment="1">
      <alignment wrapText="1"/>
    </xf>
    <xf numFmtId="0" fontId="1" fillId="0" borderId="0" xfId="0" applyFont="1" applyAlignment="1">
      <alignment wrapText="1"/>
    </xf>
    <xf numFmtId="0" fontId="0" fillId="0" borderId="0" xfId="0" applyAlignment="1">
      <alignment vertical="center"/>
    </xf>
    <xf numFmtId="0" fontId="0" fillId="0" borderId="0" xfId="0" applyAlignment="1">
      <alignment vertical="center" wrapText="1"/>
    </xf>
    <xf numFmtId="0" fontId="0" fillId="0" borderId="1" xfId="0" applyBorder="1" applyAlignment="1">
      <alignment horizontal="center" wrapText="1"/>
    </xf>
    <xf numFmtId="0" fontId="5" fillId="0" borderId="1" xfId="1" applyBorder="1" applyAlignment="1">
      <alignment wrapText="1"/>
    </xf>
    <xf numFmtId="0" fontId="0" fillId="0" borderId="1" xfId="0" applyBorder="1"/>
    <xf numFmtId="0" fontId="0" fillId="0" borderId="1" xfId="0" applyBorder="1" applyAlignment="1">
      <alignment wrapText="1"/>
    </xf>
    <xf numFmtId="0" fontId="10" fillId="0" borderId="0" xfId="0" applyFont="1" applyAlignment="1">
      <alignment vertical="center"/>
    </xf>
    <xf numFmtId="0" fontId="2" fillId="2" borderId="1" xfId="0" applyFont="1" applyFill="1" applyBorder="1" applyAlignment="1">
      <alignment horizontal="center" vertical="center" wrapText="1"/>
    </xf>
    <xf numFmtId="0" fontId="0" fillId="0" borderId="1" xfId="0" applyBorder="1" applyAlignment="1">
      <alignment horizontal="right" wrapText="1"/>
    </xf>
    <xf numFmtId="0" fontId="0" fillId="5" borderId="1" xfId="0" applyFill="1" applyBorder="1" applyAlignment="1">
      <alignment vertical="top" wrapText="1"/>
    </xf>
    <xf numFmtId="0" fontId="13" fillId="5" borderId="1" xfId="0" applyFont="1" applyFill="1" applyBorder="1" applyAlignment="1">
      <alignment horizontal="center" vertical="center" wrapText="1"/>
    </xf>
    <xf numFmtId="0" fontId="0" fillId="5" borderId="1" xfId="0" applyFill="1" applyBorder="1" applyAlignment="1">
      <alignment wrapText="1"/>
    </xf>
    <xf numFmtId="0" fontId="2" fillId="2" borderId="1" xfId="0" applyFont="1" applyFill="1" applyBorder="1" applyAlignment="1">
      <alignment horizontal="center" wrapText="1"/>
    </xf>
    <xf numFmtId="0" fontId="3" fillId="2" borderId="1" xfId="0" applyFont="1" applyFill="1" applyBorder="1" applyAlignment="1">
      <alignment horizontal="center" wrapText="1"/>
    </xf>
    <xf numFmtId="0" fontId="4" fillId="3" borderId="1" xfId="0" applyFont="1" applyFill="1" applyBorder="1" applyAlignment="1">
      <alignment horizontal="center" vertical="center" wrapText="1"/>
    </xf>
    <xf numFmtId="0" fontId="0" fillId="3" borderId="1" xfId="0" applyFill="1" applyBorder="1" applyAlignment="1">
      <alignment horizontal="center" vertical="center" wrapText="1"/>
    </xf>
    <xf numFmtId="0" fontId="0" fillId="3" borderId="1" xfId="0" applyFill="1" applyBorder="1" applyAlignment="1">
      <alignment vertical="center" wrapText="1"/>
    </xf>
    <xf numFmtId="0" fontId="6" fillId="2"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8" fillId="3" borderId="1" xfId="0" applyFont="1" applyFill="1" applyBorder="1" applyAlignment="1">
      <alignment horizontal="center" vertical="center" wrapText="1"/>
    </xf>
    <xf numFmtId="0" fontId="0" fillId="0" borderId="1" xfId="0" applyBorder="1" applyAlignment="1">
      <alignment horizontal="center" vertical="center"/>
    </xf>
    <xf numFmtId="0" fontId="9" fillId="0" borderId="1" xfId="0" applyFont="1" applyBorder="1" applyAlignment="1">
      <alignment horizontal="center" vertical="center"/>
    </xf>
    <xf numFmtId="0" fontId="0" fillId="0" borderId="1" xfId="0" applyBorder="1" applyAlignment="1">
      <alignment vertical="center"/>
    </xf>
    <xf numFmtId="14" fontId="0" fillId="0" borderId="1" xfId="0" applyNumberFormat="1" applyBorder="1" applyAlignment="1">
      <alignment vertical="center"/>
    </xf>
    <xf numFmtId="0" fontId="0" fillId="4" borderId="1" xfId="0" applyFill="1" applyBorder="1" applyAlignment="1">
      <alignment vertical="center"/>
    </xf>
    <xf numFmtId="0" fontId="0" fillId="0" borderId="1" xfId="0" applyBorder="1" applyAlignment="1">
      <alignment horizontal="left" vertical="center"/>
    </xf>
    <xf numFmtId="11" fontId="0" fillId="0" borderId="1" xfId="0" applyNumberFormat="1" applyBorder="1" applyAlignment="1">
      <alignment horizontal="left" vertical="center"/>
    </xf>
    <xf numFmtId="14" fontId="0" fillId="0" borderId="1" xfId="0" applyNumberFormat="1" applyBorder="1" applyAlignment="1">
      <alignment horizontal="left" vertical="center"/>
    </xf>
    <xf numFmtId="0" fontId="11" fillId="0" borderId="0" xfId="0" applyFont="1" applyAlignment="1">
      <alignment vertical="center" wrapText="1"/>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persons/person.xml><?xml version="1.0" encoding="utf-8"?>
<personList xmlns="http://schemas.microsoft.com/office/spreadsheetml/2018/threadedcomments" xmlns:x="http://schemas.openxmlformats.org/spreadsheetml/2006/main">
  <person displayName="ANGELLO BRAVO" id="{650FADC2-7B34-4B5B-A1A2-0FFA643BB0AF}" userId="S::MC2103@izipay.pe::f0337103-7442-4107-bcf0-89491ef4094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46" dT="2025-12-01T14:09:06.37" personId="{650FADC2-7B34-4B5B-A1A2-0FFA643BB0AF}" id="{3231D9E1-979B-48B4-ADD5-AEA7D97BD37D}">
    <text>Original: dvruce</text>
  </threadedComment>
</ThreadedComments>
</file>

<file path=xl/threadedComments/threadedComment2.xml><?xml version="1.0" encoding="utf-8"?>
<ThreadedComments xmlns="http://schemas.microsoft.com/office/spreadsheetml/2018/threadedcomments" xmlns:x="http://schemas.openxmlformats.org/spreadsheetml/2006/main">
  <threadedComment ref="D46" dT="2025-12-01T14:09:06.37" personId="{650FADC2-7B34-4B5B-A1A2-0FFA643BB0AF}" id="{35AF1BB8-BD83-4BDF-A6CA-0EB770599355}">
    <text>Original: dvruce</text>
  </threadedComment>
</ThreadedComments>
</file>

<file path=xl/threadedComments/threadedComment3.xml><?xml version="1.0" encoding="utf-8"?>
<ThreadedComments xmlns="http://schemas.microsoft.com/office/spreadsheetml/2018/threadedcomments" xmlns:x="http://schemas.openxmlformats.org/spreadsheetml/2006/main">
  <threadedComment ref="D42" dT="2025-12-02T15:44:31.79" personId="{650FADC2-7B34-4B5B-A1A2-0FFA643BB0AF}" id="{3E1582F3-4B74-438C-8242-B57538CDA2B4}">
    <text>Original: dvruce</text>
  </threadedComment>
</ThreadedComment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4B969-DDCF-4033-BEF7-29FEF7CDA28A}">
  <dimension ref="A1:G22"/>
  <sheetViews>
    <sheetView showGridLines="0" workbookViewId="0">
      <selection activeCell="D25" sqref="D25"/>
    </sheetView>
  </sheetViews>
  <sheetFormatPr baseColWidth="10" defaultColWidth="11.44140625" defaultRowHeight="14.4"/>
  <cols>
    <col min="1" max="1" width="7.33203125" customWidth="1"/>
    <col min="2" max="5" width="23.33203125" customWidth="1"/>
    <col min="6" max="6" width="27.88671875" customWidth="1"/>
    <col min="7" max="7" width="23.33203125" customWidth="1"/>
  </cols>
  <sheetData>
    <row r="1" spans="1:7">
      <c r="A1" s="1"/>
      <c r="B1" s="1"/>
      <c r="C1" s="1"/>
      <c r="D1" s="1"/>
      <c r="E1" s="1"/>
      <c r="F1" s="1"/>
      <c r="G1" s="1"/>
    </row>
    <row r="2" spans="1:7" ht="29.4">
      <c r="A2" s="9" t="s">
        <v>0</v>
      </c>
      <c r="B2" s="1"/>
      <c r="C2" s="1"/>
      <c r="D2" s="1"/>
      <c r="E2" s="1"/>
      <c r="F2" s="1"/>
      <c r="G2" s="1"/>
    </row>
    <row r="3" spans="1:7" s="1" customFormat="1" ht="66" customHeight="1">
      <c r="A3" s="31" t="s">
        <v>1</v>
      </c>
      <c r="B3" s="31"/>
      <c r="C3" s="31"/>
      <c r="D3" s="31"/>
      <c r="E3" s="31"/>
      <c r="F3" s="31"/>
      <c r="G3" s="31"/>
    </row>
    <row r="4" spans="1:7">
      <c r="A4" s="1"/>
      <c r="B4" s="1"/>
      <c r="C4" s="1"/>
      <c r="D4" s="1"/>
      <c r="E4" s="1"/>
      <c r="F4" s="1"/>
      <c r="G4" s="1"/>
    </row>
    <row r="5" spans="1:7">
      <c r="A5" s="10" t="s">
        <v>2</v>
      </c>
      <c r="B5" s="10" t="s">
        <v>3</v>
      </c>
      <c r="C5" s="10" t="s">
        <v>4</v>
      </c>
      <c r="D5" s="10" t="s">
        <v>5</v>
      </c>
      <c r="E5" s="10" t="s">
        <v>6</v>
      </c>
      <c r="F5" s="10" t="s">
        <v>7</v>
      </c>
      <c r="G5" s="10" t="s">
        <v>8</v>
      </c>
    </row>
    <row r="6" spans="1:7">
      <c r="A6" s="11"/>
      <c r="B6" s="8"/>
      <c r="C6" s="8"/>
      <c r="D6" s="8"/>
      <c r="E6" s="8"/>
      <c r="F6" s="12"/>
      <c r="G6" s="13"/>
    </row>
    <row r="7" spans="1:7">
      <c r="A7" s="11"/>
      <c r="B7" s="8"/>
      <c r="C7" s="8"/>
      <c r="D7" s="8"/>
      <c r="E7" s="8"/>
      <c r="F7" s="12"/>
      <c r="G7" s="13"/>
    </row>
    <row r="8" spans="1:7">
      <c r="A8" s="11"/>
      <c r="B8" s="8"/>
      <c r="C8" s="8"/>
      <c r="D8" s="8"/>
      <c r="E8" s="8"/>
      <c r="F8" s="12"/>
      <c r="G8" s="13"/>
    </row>
    <row r="9" spans="1:7">
      <c r="A9" s="11"/>
      <c r="B9" s="8"/>
      <c r="C9" s="8"/>
      <c r="D9" s="8"/>
      <c r="E9" s="8"/>
      <c r="F9" s="12"/>
      <c r="G9" s="13"/>
    </row>
    <row r="10" spans="1:7">
      <c r="A10" s="11"/>
      <c r="B10" s="8"/>
      <c r="C10" s="8"/>
      <c r="D10" s="8"/>
      <c r="E10" s="8"/>
      <c r="F10" s="12"/>
      <c r="G10" s="13"/>
    </row>
    <row r="11" spans="1:7">
      <c r="A11" s="11"/>
      <c r="B11" s="8"/>
      <c r="C11" s="8"/>
      <c r="D11" s="8"/>
      <c r="E11" s="8"/>
      <c r="F11" s="12"/>
      <c r="G11" s="13"/>
    </row>
    <row r="12" spans="1:7">
      <c r="A12" s="11"/>
      <c r="B12" s="8"/>
      <c r="C12" s="8"/>
      <c r="D12" s="8"/>
      <c r="E12" s="8"/>
      <c r="F12" s="14"/>
      <c r="G12" s="13"/>
    </row>
    <row r="13" spans="1:7">
      <c r="A13" s="11"/>
      <c r="B13" s="8"/>
      <c r="C13" s="8"/>
      <c r="D13" s="8"/>
      <c r="E13" s="8"/>
      <c r="F13" s="14"/>
      <c r="G13" s="13"/>
    </row>
    <row r="14" spans="1:7">
      <c r="A14" s="11"/>
      <c r="B14" s="8"/>
      <c r="C14" s="8"/>
      <c r="D14" s="8"/>
      <c r="E14" s="8"/>
      <c r="F14" s="14"/>
      <c r="G14" s="13"/>
    </row>
    <row r="15" spans="1:7">
      <c r="A15" s="11"/>
      <c r="B15" s="8"/>
      <c r="C15" s="8"/>
      <c r="D15" s="8"/>
      <c r="E15" s="8"/>
      <c r="F15" s="14"/>
      <c r="G15" s="13"/>
    </row>
    <row r="16" spans="1:7">
      <c r="A16" s="11"/>
      <c r="B16" s="8"/>
      <c r="C16" s="8"/>
      <c r="D16" s="8"/>
      <c r="E16" s="8"/>
      <c r="F16" s="14"/>
      <c r="G16" s="13"/>
    </row>
    <row r="17" spans="1:7">
      <c r="A17" s="11"/>
      <c r="B17" s="8"/>
      <c r="C17" s="8"/>
      <c r="D17" s="8"/>
      <c r="E17" s="8"/>
      <c r="F17" s="14"/>
      <c r="G17" s="13"/>
    </row>
    <row r="18" spans="1:7">
      <c r="A18" s="11"/>
      <c r="B18" s="8"/>
      <c r="C18" s="8"/>
      <c r="D18" s="8"/>
      <c r="E18" s="8"/>
      <c r="F18" s="14"/>
      <c r="G18" s="13"/>
    </row>
    <row r="19" spans="1:7">
      <c r="A19" s="11"/>
      <c r="B19" s="8"/>
      <c r="C19" s="8"/>
      <c r="D19" s="8"/>
      <c r="E19" s="8"/>
      <c r="F19" s="14"/>
      <c r="G19" s="13"/>
    </row>
    <row r="20" spans="1:7">
      <c r="A20" s="11"/>
      <c r="B20" s="8"/>
      <c r="C20" s="8"/>
      <c r="D20" s="8"/>
      <c r="E20" s="8"/>
      <c r="F20" s="14"/>
      <c r="G20" s="13"/>
    </row>
    <row r="21" spans="1:7">
      <c r="A21" s="1"/>
      <c r="B21" s="1"/>
      <c r="C21" s="1"/>
      <c r="D21" s="1"/>
      <c r="E21" s="1"/>
      <c r="F21" s="1"/>
      <c r="G21" s="1"/>
    </row>
    <row r="22" spans="1:7">
      <c r="A22" s="1"/>
      <c r="B22" s="1"/>
      <c r="C22" s="1"/>
      <c r="D22" s="1"/>
      <c r="E22" s="1"/>
      <c r="F22" s="1"/>
      <c r="G22" s="1"/>
    </row>
  </sheetData>
  <mergeCells count="1">
    <mergeCell ref="A3:G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T13"/>
  <sheetViews>
    <sheetView showGridLines="0" topLeftCell="F1" workbookViewId="0">
      <selection activeCell="H17" sqref="H17"/>
    </sheetView>
  </sheetViews>
  <sheetFormatPr baseColWidth="10" defaultColWidth="9.109375" defaultRowHeight="14.4"/>
  <cols>
    <col min="1" max="8" width="33.33203125" customWidth="1"/>
    <col min="9" max="9" width="61.5546875" customWidth="1"/>
    <col min="10" max="20" width="33.33203125" customWidth="1"/>
  </cols>
  <sheetData>
    <row r="1" spans="1:20">
      <c r="A1" s="15" t="s">
        <v>9</v>
      </c>
      <c r="B1" s="15" t="s">
        <v>10</v>
      </c>
      <c r="C1" s="15" t="s">
        <v>11</v>
      </c>
      <c r="D1" s="15" t="s">
        <v>12</v>
      </c>
      <c r="E1" s="15" t="s">
        <v>13</v>
      </c>
      <c r="F1" s="16" t="s">
        <v>14</v>
      </c>
      <c r="G1" s="15" t="s">
        <v>15</v>
      </c>
      <c r="H1" s="15" t="s">
        <v>6</v>
      </c>
      <c r="I1" s="15" t="s">
        <v>8</v>
      </c>
      <c r="J1" s="15" t="s">
        <v>16</v>
      </c>
      <c r="K1" s="15" t="s">
        <v>17</v>
      </c>
      <c r="L1" s="15" t="s">
        <v>18</v>
      </c>
      <c r="M1" s="15" t="s">
        <v>19</v>
      </c>
      <c r="N1" s="15" t="s">
        <v>20</v>
      </c>
      <c r="O1" s="15" t="s">
        <v>21</v>
      </c>
      <c r="P1" s="15" t="s">
        <v>22</v>
      </c>
      <c r="Q1" s="15" t="s">
        <v>23</v>
      </c>
      <c r="R1" s="15" t="s">
        <v>24</v>
      </c>
      <c r="S1" s="15" t="s">
        <v>25</v>
      </c>
      <c r="T1" s="15" t="s">
        <v>26</v>
      </c>
    </row>
    <row r="2" spans="1:20" ht="41.4">
      <c r="A2" s="17" t="s">
        <v>27</v>
      </c>
      <c r="B2" s="17" t="s">
        <v>28</v>
      </c>
      <c r="C2" s="17" t="s">
        <v>29</v>
      </c>
      <c r="D2" s="17" t="s">
        <v>30</v>
      </c>
      <c r="E2" s="17" t="s">
        <v>31</v>
      </c>
      <c r="F2" s="17" t="s">
        <v>32</v>
      </c>
      <c r="G2" s="17" t="s">
        <v>33</v>
      </c>
      <c r="H2" s="17" t="s">
        <v>34</v>
      </c>
      <c r="I2" s="17" t="s">
        <v>35</v>
      </c>
      <c r="J2" s="18" t="s">
        <v>36</v>
      </c>
      <c r="K2" s="18" t="s">
        <v>37</v>
      </c>
      <c r="L2" s="19"/>
      <c r="M2" s="17" t="s">
        <v>38</v>
      </c>
      <c r="N2" s="17" t="s">
        <v>39</v>
      </c>
      <c r="O2" s="17" t="s">
        <v>40</v>
      </c>
      <c r="P2" s="17" t="s">
        <v>41</v>
      </c>
      <c r="Q2" s="17" t="s">
        <v>42</v>
      </c>
      <c r="R2" s="17" t="s">
        <v>43</v>
      </c>
      <c r="S2" s="17" t="s">
        <v>44</v>
      </c>
      <c r="T2" s="17" t="s">
        <v>45</v>
      </c>
    </row>
    <row r="3" spans="1:20">
      <c r="A3" s="5" t="s">
        <v>46</v>
      </c>
      <c r="B3" s="5" t="s">
        <v>47</v>
      </c>
      <c r="C3" s="5" t="s">
        <v>48</v>
      </c>
      <c r="D3" s="5" t="s">
        <v>47</v>
      </c>
      <c r="E3" s="5" t="s">
        <v>48</v>
      </c>
      <c r="F3" s="5" t="s">
        <v>49</v>
      </c>
      <c r="G3" s="5" t="s">
        <v>50</v>
      </c>
      <c r="H3" s="6" t="s">
        <v>51</v>
      </c>
      <c r="I3" s="7" t="s">
        <v>52</v>
      </c>
      <c r="J3" s="5" t="s">
        <v>53</v>
      </c>
      <c r="K3" s="5" t="s">
        <v>54</v>
      </c>
      <c r="L3" s="8"/>
      <c r="M3" s="6" t="s">
        <v>55</v>
      </c>
      <c r="N3" s="5" t="s">
        <v>56</v>
      </c>
      <c r="O3" s="5" t="s">
        <v>57</v>
      </c>
      <c r="P3" s="5" t="s">
        <v>58</v>
      </c>
      <c r="Q3" s="5" t="s">
        <v>59</v>
      </c>
      <c r="R3" s="5"/>
      <c r="S3" s="5"/>
      <c r="T3" s="5"/>
    </row>
    <row r="4" spans="1:20">
      <c r="A4" s="5" t="s">
        <v>46</v>
      </c>
      <c r="B4" s="5" t="s">
        <v>47</v>
      </c>
      <c r="C4" s="5" t="s">
        <v>48</v>
      </c>
      <c r="D4" s="5" t="s">
        <v>47</v>
      </c>
      <c r="E4" s="5" t="s">
        <v>48</v>
      </c>
      <c r="F4" s="5" t="s">
        <v>49</v>
      </c>
      <c r="G4" s="5" t="s">
        <v>50</v>
      </c>
      <c r="H4" s="6" t="s">
        <v>60</v>
      </c>
      <c r="I4" s="7" t="s">
        <v>61</v>
      </c>
      <c r="J4" s="5" t="s">
        <v>53</v>
      </c>
      <c r="K4" s="5" t="s">
        <v>54</v>
      </c>
      <c r="L4" s="8"/>
      <c r="M4" s="6" t="s">
        <v>55</v>
      </c>
      <c r="N4" s="5" t="s">
        <v>56</v>
      </c>
      <c r="O4" s="5" t="s">
        <v>57</v>
      </c>
      <c r="P4" s="5" t="s">
        <v>58</v>
      </c>
      <c r="Q4" s="5" t="s">
        <v>59</v>
      </c>
      <c r="R4" s="5"/>
      <c r="S4" s="5"/>
      <c r="T4" s="5"/>
    </row>
    <row r="5" spans="1:20">
      <c r="A5" s="5" t="s">
        <v>46</v>
      </c>
      <c r="B5" s="5" t="s">
        <v>47</v>
      </c>
      <c r="C5" s="5" t="s">
        <v>48</v>
      </c>
      <c r="D5" s="5" t="s">
        <v>47</v>
      </c>
      <c r="E5" s="5" t="s">
        <v>48</v>
      </c>
      <c r="F5" s="5" t="s">
        <v>49</v>
      </c>
      <c r="G5" s="5" t="s">
        <v>50</v>
      </c>
      <c r="H5" s="6" t="s">
        <v>62</v>
      </c>
      <c r="I5" s="7" t="s">
        <v>63</v>
      </c>
      <c r="J5" s="5" t="s">
        <v>53</v>
      </c>
      <c r="K5" s="5" t="s">
        <v>54</v>
      </c>
      <c r="L5" s="8"/>
      <c r="M5" s="6" t="s">
        <v>55</v>
      </c>
      <c r="N5" s="5" t="s">
        <v>56</v>
      </c>
      <c r="O5" s="5" t="s">
        <v>57</v>
      </c>
      <c r="P5" s="5" t="s">
        <v>58</v>
      </c>
      <c r="Q5" s="5" t="s">
        <v>59</v>
      </c>
      <c r="R5" s="5"/>
      <c r="S5" s="5"/>
      <c r="T5" s="5"/>
    </row>
    <row r="6" spans="1:20">
      <c r="A6" s="5" t="s">
        <v>46</v>
      </c>
      <c r="B6" s="5" t="s">
        <v>47</v>
      </c>
      <c r="C6" s="5" t="s">
        <v>48</v>
      </c>
      <c r="D6" s="5" t="s">
        <v>47</v>
      </c>
      <c r="E6" s="5" t="s">
        <v>48</v>
      </c>
      <c r="F6" s="5" t="s">
        <v>49</v>
      </c>
      <c r="G6" s="5" t="s">
        <v>50</v>
      </c>
      <c r="H6" s="6" t="s">
        <v>64</v>
      </c>
      <c r="I6" s="7" t="s">
        <v>65</v>
      </c>
      <c r="J6" s="5" t="s">
        <v>53</v>
      </c>
      <c r="K6" s="5" t="s">
        <v>54</v>
      </c>
      <c r="L6" s="8"/>
      <c r="M6" s="6" t="s">
        <v>55</v>
      </c>
      <c r="N6" s="5" t="s">
        <v>56</v>
      </c>
      <c r="O6" s="5" t="s">
        <v>57</v>
      </c>
      <c r="P6" s="5" t="s">
        <v>58</v>
      </c>
      <c r="Q6" s="5" t="s">
        <v>59</v>
      </c>
      <c r="R6" s="5"/>
      <c r="S6" s="5"/>
      <c r="T6" s="5"/>
    </row>
    <row r="7" spans="1:20">
      <c r="A7" s="1"/>
      <c r="B7" s="1"/>
      <c r="C7" s="1"/>
      <c r="D7" s="1"/>
      <c r="E7" s="1"/>
      <c r="F7" s="1"/>
      <c r="G7" s="1"/>
      <c r="H7" s="1"/>
      <c r="I7" s="1"/>
      <c r="J7" s="1"/>
      <c r="K7" s="1"/>
      <c r="L7" s="1"/>
      <c r="M7" s="1"/>
      <c r="N7" s="1"/>
      <c r="O7" s="1"/>
      <c r="P7" s="1"/>
      <c r="Q7" s="1"/>
      <c r="R7" s="1"/>
      <c r="S7" s="1"/>
      <c r="T7" s="1"/>
    </row>
    <row r="8" spans="1:20">
      <c r="A8" s="2" t="s">
        <v>66</v>
      </c>
      <c r="B8" s="1"/>
      <c r="C8" s="1"/>
      <c r="D8" s="1"/>
      <c r="E8" s="1"/>
      <c r="F8" s="1"/>
      <c r="G8" s="1"/>
      <c r="H8" s="1"/>
      <c r="I8" s="1"/>
      <c r="J8" s="1"/>
      <c r="K8" s="1"/>
      <c r="L8" s="1"/>
      <c r="M8" s="1"/>
      <c r="N8" s="1"/>
      <c r="O8" s="1"/>
      <c r="P8" s="1"/>
      <c r="Q8" s="1"/>
      <c r="R8" s="1"/>
      <c r="S8" s="1"/>
      <c r="T8" s="1"/>
    </row>
    <row r="9" spans="1:20">
      <c r="A9" s="3" t="s">
        <v>67</v>
      </c>
      <c r="B9" s="1"/>
      <c r="C9" s="1"/>
      <c r="D9" s="4"/>
      <c r="E9" s="4"/>
      <c r="F9" s="4"/>
      <c r="G9" s="4"/>
      <c r="H9" s="1"/>
      <c r="I9" s="1"/>
      <c r="J9" s="1"/>
      <c r="K9" s="1"/>
      <c r="L9" s="1"/>
      <c r="M9" s="1"/>
      <c r="N9" s="1"/>
      <c r="O9" s="1"/>
      <c r="P9" s="1"/>
      <c r="Q9" s="1"/>
      <c r="R9" s="1"/>
      <c r="S9" s="1"/>
      <c r="T9" s="1"/>
    </row>
    <row r="10" spans="1:20">
      <c r="A10" s="3" t="s">
        <v>68</v>
      </c>
      <c r="B10" s="1"/>
      <c r="C10" s="1"/>
      <c r="D10" s="4"/>
      <c r="E10" s="4"/>
      <c r="F10" s="4"/>
      <c r="G10" s="4"/>
      <c r="H10" s="1"/>
      <c r="I10" s="1"/>
      <c r="J10" s="1"/>
      <c r="K10" s="1"/>
      <c r="L10" s="1"/>
      <c r="M10" s="1"/>
      <c r="N10" s="1"/>
      <c r="O10" s="1"/>
      <c r="P10" s="1"/>
      <c r="Q10" s="1"/>
      <c r="R10" s="1"/>
      <c r="S10" s="1"/>
      <c r="T10" s="1"/>
    </row>
    <row r="11" spans="1:20">
      <c r="A11" s="3" t="s">
        <v>69</v>
      </c>
      <c r="B11" s="1"/>
      <c r="C11" s="1"/>
      <c r="D11" s="1"/>
      <c r="E11" s="1"/>
      <c r="F11" s="1"/>
      <c r="G11" s="1"/>
      <c r="H11" s="1"/>
      <c r="I11" s="1"/>
      <c r="J11" s="1"/>
      <c r="K11" s="1"/>
      <c r="L11" s="1"/>
      <c r="M11" s="1"/>
      <c r="N11" s="1"/>
      <c r="O11" s="1"/>
      <c r="P11" s="1"/>
      <c r="Q11" s="1"/>
      <c r="R11" s="1"/>
      <c r="S11" s="1"/>
      <c r="T11" s="1"/>
    </row>
    <row r="12" spans="1:20">
      <c r="A12" s="3" t="s">
        <v>70</v>
      </c>
      <c r="B12" s="1"/>
      <c r="C12" s="1"/>
      <c r="D12" s="1"/>
      <c r="E12" s="1"/>
      <c r="F12" s="1"/>
      <c r="G12" s="1"/>
      <c r="H12" s="1"/>
      <c r="I12" s="1"/>
      <c r="J12" s="1"/>
      <c r="K12" s="1"/>
      <c r="L12" s="1"/>
      <c r="M12" s="1"/>
      <c r="N12" s="1"/>
      <c r="O12" s="1"/>
      <c r="P12" s="1"/>
      <c r="Q12" s="1"/>
      <c r="R12" s="1"/>
      <c r="S12" s="1"/>
      <c r="T12" s="1"/>
    </row>
    <row r="13" spans="1:20">
      <c r="A13" s="1"/>
      <c r="B13" s="1"/>
      <c r="C13" s="1"/>
      <c r="D13" s="1"/>
      <c r="E13" s="1"/>
      <c r="F13" s="1"/>
      <c r="G13" s="1"/>
      <c r="H13" s="1"/>
      <c r="I13" s="1"/>
      <c r="J13" s="1"/>
      <c r="K13" s="1"/>
      <c r="L13" s="1"/>
      <c r="M13" s="1"/>
      <c r="N13" s="1"/>
      <c r="O13" s="1"/>
      <c r="P13" s="1"/>
      <c r="Q13" s="1"/>
      <c r="R13" s="1"/>
      <c r="S13" s="1"/>
      <c r="T13" s="1"/>
    </row>
  </sheetData>
  <hyperlinks>
    <hyperlink ref="H3" location="mcft006!A1" display="mcft006" xr:uid="{84D35C4D-5BF2-4A05-A89E-BBD12BBC1AFA}"/>
    <hyperlink ref="H4" location="mcfs006!A1" display="mcfs006" xr:uid="{3B615E03-19C7-4D49-AE08-8B719D38AB34}"/>
    <hyperlink ref="H5" location="izft076!A1" display="izft076" xr:uid="{79692374-5D5F-4AB7-B5C9-C52AB2171DF1}"/>
    <hyperlink ref="H6" location="mcfv102!A1" display="mcfv102" xr:uid="{A27E7000-CE56-4A69-B77B-C83F2E0DA714}"/>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8BE03-B52F-4C6B-A89B-93AA54382303}">
  <sheetPr codeName="Hoja2"/>
  <dimension ref="A1:M85"/>
  <sheetViews>
    <sheetView showGridLines="0" topLeftCell="C66" workbookViewId="0">
      <selection activeCell="D80" sqref="D80"/>
    </sheetView>
  </sheetViews>
  <sheetFormatPr baseColWidth="10" defaultColWidth="11.44140625" defaultRowHeight="14.4"/>
  <cols>
    <col min="1" max="4" width="29" customWidth="1"/>
    <col min="5" max="6" width="48.33203125" customWidth="1"/>
    <col min="7" max="8" width="29" customWidth="1"/>
    <col min="9" max="9" width="40.5546875" customWidth="1"/>
    <col min="10" max="13" width="29" customWidth="1"/>
  </cols>
  <sheetData>
    <row r="1" spans="1:13" ht="31.2">
      <c r="A1" s="20" t="s">
        <v>14</v>
      </c>
      <c r="B1" s="21" t="s">
        <v>15</v>
      </c>
      <c r="C1" s="21" t="s">
        <v>6</v>
      </c>
      <c r="D1" s="21" t="s">
        <v>7</v>
      </c>
      <c r="E1" s="21" t="s">
        <v>71</v>
      </c>
      <c r="F1" s="21" t="s">
        <v>72</v>
      </c>
      <c r="G1" s="21" t="s">
        <v>73</v>
      </c>
      <c r="H1" s="21" t="s">
        <v>74</v>
      </c>
      <c r="I1" s="21" t="s">
        <v>75</v>
      </c>
      <c r="J1" s="21" t="s">
        <v>76</v>
      </c>
      <c r="K1" s="21" t="s">
        <v>77</v>
      </c>
      <c r="L1" s="21" t="s">
        <v>78</v>
      </c>
      <c r="M1" s="21" t="s">
        <v>79</v>
      </c>
    </row>
    <row r="2" spans="1:13" ht="46.8">
      <c r="A2" s="22" t="s">
        <v>32</v>
      </c>
      <c r="B2" s="22" t="s">
        <v>33</v>
      </c>
      <c r="C2" s="22" t="s">
        <v>80</v>
      </c>
      <c r="D2" s="22" t="s">
        <v>81</v>
      </c>
      <c r="E2" s="22" t="s">
        <v>82</v>
      </c>
      <c r="F2" s="22" t="s">
        <v>83</v>
      </c>
      <c r="G2" s="22" t="s">
        <v>84</v>
      </c>
      <c r="H2" s="22" t="s">
        <v>85</v>
      </c>
      <c r="I2" s="22" t="s">
        <v>86</v>
      </c>
      <c r="J2" s="22" t="s">
        <v>87</v>
      </c>
      <c r="K2" s="22" t="s">
        <v>88</v>
      </c>
      <c r="L2" s="22" t="s">
        <v>89</v>
      </c>
      <c r="M2" s="22" t="s">
        <v>88</v>
      </c>
    </row>
    <row r="3" spans="1:13">
      <c r="A3" s="23" t="s">
        <v>49</v>
      </c>
      <c r="B3" s="23" t="s">
        <v>50</v>
      </c>
      <c r="C3" s="24" t="s">
        <v>51</v>
      </c>
      <c r="D3" s="25" t="s">
        <v>90</v>
      </c>
      <c r="E3" s="25" t="str">
        <f>UPPER(F3)</f>
        <v>PRODUCTO</v>
      </c>
      <c r="F3" s="25" t="s">
        <v>91</v>
      </c>
      <c r="G3" s="23" t="s">
        <v>56</v>
      </c>
      <c r="H3" s="23" t="s">
        <v>92</v>
      </c>
      <c r="I3" s="28" t="s">
        <v>93</v>
      </c>
      <c r="J3" s="23" t="s">
        <v>56</v>
      </c>
      <c r="K3" s="23" t="s">
        <v>94</v>
      </c>
      <c r="L3" s="23" t="s">
        <v>56</v>
      </c>
      <c r="M3" s="23" t="s">
        <v>56</v>
      </c>
    </row>
    <row r="4" spans="1:13">
      <c r="A4" s="23" t="s">
        <v>49</v>
      </c>
      <c r="B4" s="23" t="s">
        <v>50</v>
      </c>
      <c r="C4" s="24" t="s">
        <v>51</v>
      </c>
      <c r="D4" s="25" t="s">
        <v>95</v>
      </c>
      <c r="E4" s="25" t="str">
        <f t="shared" ref="E4:E67" si="0">UPPER(F4)</f>
        <v>COMERCIO</v>
      </c>
      <c r="F4" s="25" t="s">
        <v>96</v>
      </c>
      <c r="G4" s="23" t="s">
        <v>56</v>
      </c>
      <c r="H4" s="23" t="s">
        <v>92</v>
      </c>
      <c r="I4" s="28">
        <v>1000327</v>
      </c>
      <c r="J4" s="23" t="s">
        <v>56</v>
      </c>
      <c r="K4" s="23" t="s">
        <v>94</v>
      </c>
      <c r="L4" s="23" t="s">
        <v>56</v>
      </c>
      <c r="M4" s="23" t="s">
        <v>56</v>
      </c>
    </row>
    <row r="5" spans="1:13">
      <c r="A5" s="23" t="s">
        <v>49</v>
      </c>
      <c r="B5" s="23" t="s">
        <v>50</v>
      </c>
      <c r="C5" s="24" t="s">
        <v>51</v>
      </c>
      <c r="D5" s="25" t="s">
        <v>97</v>
      </c>
      <c r="E5" s="25" t="str">
        <f t="shared" si="0"/>
        <v>FECHA PROCESO</v>
      </c>
      <c r="F5" s="25" t="s">
        <v>98</v>
      </c>
      <c r="G5" s="23" t="s">
        <v>56</v>
      </c>
      <c r="H5" s="23" t="s">
        <v>92</v>
      </c>
      <c r="I5" s="28">
        <v>20181116</v>
      </c>
      <c r="J5" s="23" t="s">
        <v>56</v>
      </c>
      <c r="K5" s="23" t="s">
        <v>94</v>
      </c>
      <c r="L5" s="23" t="s">
        <v>56</v>
      </c>
      <c r="M5" s="23" t="s">
        <v>56</v>
      </c>
    </row>
    <row r="6" spans="1:13">
      <c r="A6" s="23" t="s">
        <v>49</v>
      </c>
      <c r="B6" s="23" t="s">
        <v>50</v>
      </c>
      <c r="C6" s="24" t="s">
        <v>51</v>
      </c>
      <c r="D6" s="25" t="s">
        <v>99</v>
      </c>
      <c r="E6" s="25" t="str">
        <f t="shared" si="0"/>
        <v>NRO DEV DIA</v>
      </c>
      <c r="F6" s="25" t="s">
        <v>100</v>
      </c>
      <c r="G6" s="23" t="s">
        <v>56</v>
      </c>
      <c r="H6" s="23" t="s">
        <v>92</v>
      </c>
      <c r="I6" s="28">
        <v>4</v>
      </c>
      <c r="J6" s="23" t="s">
        <v>56</v>
      </c>
      <c r="K6" s="23" t="s">
        <v>94</v>
      </c>
      <c r="L6" s="23" t="s">
        <v>56</v>
      </c>
      <c r="M6" s="23" t="s">
        <v>56</v>
      </c>
    </row>
    <row r="7" spans="1:13">
      <c r="A7" s="23" t="s">
        <v>49</v>
      </c>
      <c r="B7" s="23" t="s">
        <v>50</v>
      </c>
      <c r="C7" s="24" t="s">
        <v>51</v>
      </c>
      <c r="D7" s="25" t="s">
        <v>101</v>
      </c>
      <c r="E7" s="25" t="str">
        <f t="shared" si="0"/>
        <v>TRANSACCION</v>
      </c>
      <c r="F7" s="25" t="s">
        <v>102</v>
      </c>
      <c r="G7" s="23" t="s">
        <v>56</v>
      </c>
      <c r="H7" s="23" t="s">
        <v>92</v>
      </c>
      <c r="I7" s="28">
        <v>34</v>
      </c>
      <c r="J7" s="23" t="s">
        <v>56</v>
      </c>
      <c r="K7" s="23" t="s">
        <v>94</v>
      </c>
      <c r="L7" s="23" t="s">
        <v>56</v>
      </c>
      <c r="M7" s="23" t="s">
        <v>56</v>
      </c>
    </row>
    <row r="8" spans="1:13">
      <c r="A8" s="23" t="s">
        <v>49</v>
      </c>
      <c r="B8" s="23" t="s">
        <v>50</v>
      </c>
      <c r="C8" s="24" t="s">
        <v>51</v>
      </c>
      <c r="D8" s="25" t="s">
        <v>103</v>
      </c>
      <c r="E8" s="25" t="str">
        <f t="shared" si="0"/>
        <v>BCO PAGADOR</v>
      </c>
      <c r="F8" s="25" t="s">
        <v>104</v>
      </c>
      <c r="G8" s="23" t="s">
        <v>56</v>
      </c>
      <c r="H8" s="23" t="s">
        <v>92</v>
      </c>
      <c r="I8" s="28">
        <v>2</v>
      </c>
      <c r="J8" s="23" t="s">
        <v>56</v>
      </c>
      <c r="K8" s="23" t="s">
        <v>94</v>
      </c>
      <c r="L8" s="23" t="s">
        <v>56</v>
      </c>
      <c r="M8" s="23" t="s">
        <v>56</v>
      </c>
    </row>
    <row r="9" spans="1:13">
      <c r="A9" s="23" t="s">
        <v>49</v>
      </c>
      <c r="B9" s="23" t="s">
        <v>50</v>
      </c>
      <c r="C9" s="24" t="s">
        <v>51</v>
      </c>
      <c r="D9" s="25" t="s">
        <v>105</v>
      </c>
      <c r="E9" s="25" t="str">
        <f t="shared" si="0"/>
        <v>LOTE</v>
      </c>
      <c r="F9" s="25" t="s">
        <v>106</v>
      </c>
      <c r="G9" s="23" t="s">
        <v>56</v>
      </c>
      <c r="H9" s="23" t="s">
        <v>92</v>
      </c>
      <c r="I9" s="29">
        <v>240</v>
      </c>
      <c r="J9" s="23" t="s">
        <v>56</v>
      </c>
      <c r="K9" s="23" t="s">
        <v>94</v>
      </c>
      <c r="L9" s="23" t="s">
        <v>56</v>
      </c>
      <c r="M9" s="23" t="s">
        <v>56</v>
      </c>
    </row>
    <row r="10" spans="1:13">
      <c r="A10" s="23" t="s">
        <v>49</v>
      </c>
      <c r="B10" s="23" t="s">
        <v>50</v>
      </c>
      <c r="C10" s="24" t="s">
        <v>51</v>
      </c>
      <c r="D10" s="25" t="s">
        <v>107</v>
      </c>
      <c r="E10" s="25" t="str">
        <f t="shared" si="0"/>
        <v>AGEN PAGADOR</v>
      </c>
      <c r="F10" s="25" t="s">
        <v>108</v>
      </c>
      <c r="G10" s="23" t="s">
        <v>56</v>
      </c>
      <c r="H10" s="23" t="s">
        <v>92</v>
      </c>
      <c r="I10" s="28">
        <v>0</v>
      </c>
      <c r="J10" s="23" t="s">
        <v>56</v>
      </c>
      <c r="K10" s="23" t="s">
        <v>94</v>
      </c>
      <c r="L10" s="23" t="s">
        <v>56</v>
      </c>
      <c r="M10" s="23" t="s">
        <v>56</v>
      </c>
    </row>
    <row r="11" spans="1:13">
      <c r="A11" s="23" t="s">
        <v>49</v>
      </c>
      <c r="B11" s="23" t="s">
        <v>50</v>
      </c>
      <c r="C11" s="24" t="s">
        <v>51</v>
      </c>
      <c r="D11" s="25" t="s">
        <v>109</v>
      </c>
      <c r="E11" s="25" t="str">
        <f t="shared" si="0"/>
        <v>BCO RECEPTOR</v>
      </c>
      <c r="F11" s="25" t="s">
        <v>110</v>
      </c>
      <c r="G11" s="23" t="s">
        <v>56</v>
      </c>
      <c r="H11" s="23" t="s">
        <v>92</v>
      </c>
      <c r="I11" s="28">
        <v>99</v>
      </c>
      <c r="J11" s="23" t="s">
        <v>56</v>
      </c>
      <c r="K11" s="23" t="s">
        <v>94</v>
      </c>
      <c r="L11" s="23" t="s">
        <v>56</v>
      </c>
      <c r="M11" s="23" t="s">
        <v>56</v>
      </c>
    </row>
    <row r="12" spans="1:13">
      <c r="A12" s="23" t="s">
        <v>49</v>
      </c>
      <c r="B12" s="23" t="s">
        <v>50</v>
      </c>
      <c r="C12" s="24" t="s">
        <v>51</v>
      </c>
      <c r="D12" s="25" t="s">
        <v>111</v>
      </c>
      <c r="E12" s="25" t="str">
        <f t="shared" si="0"/>
        <v>BCO EMISOR</v>
      </c>
      <c r="F12" s="25" t="s">
        <v>112</v>
      </c>
      <c r="G12" s="23" t="s">
        <v>56</v>
      </c>
      <c r="H12" s="23" t="s">
        <v>92</v>
      </c>
      <c r="I12" s="28">
        <v>98</v>
      </c>
      <c r="J12" s="23" t="s">
        <v>56</v>
      </c>
      <c r="K12" s="23" t="s">
        <v>94</v>
      </c>
      <c r="L12" s="23" t="s">
        <v>56</v>
      </c>
      <c r="M12" s="23" t="s">
        <v>56</v>
      </c>
    </row>
    <row r="13" spans="1:13">
      <c r="A13" s="23" t="s">
        <v>49</v>
      </c>
      <c r="B13" s="23" t="s">
        <v>50</v>
      </c>
      <c r="C13" s="24" t="s">
        <v>51</v>
      </c>
      <c r="D13" s="25" t="s">
        <v>302</v>
      </c>
      <c r="E13" s="25" t="str">
        <f t="shared" si="0"/>
        <v>TARJETA ENMASCARADA</v>
      </c>
      <c r="F13" s="25" t="s">
        <v>303</v>
      </c>
      <c r="G13" s="23" t="s">
        <v>56</v>
      </c>
      <c r="H13" s="23" t="s">
        <v>92</v>
      </c>
      <c r="I13" s="29" t="s">
        <v>310</v>
      </c>
      <c r="J13" s="23" t="s">
        <v>56</v>
      </c>
      <c r="K13" s="23" t="s">
        <v>94</v>
      </c>
      <c r="L13" s="23" t="s">
        <v>56</v>
      </c>
      <c r="M13" s="23" t="s">
        <v>56</v>
      </c>
    </row>
    <row r="14" spans="1:13">
      <c r="A14" s="23" t="s">
        <v>49</v>
      </c>
      <c r="B14" s="23" t="s">
        <v>50</v>
      </c>
      <c r="C14" s="24" t="s">
        <v>51</v>
      </c>
      <c r="D14" s="25" t="s">
        <v>113</v>
      </c>
      <c r="E14" s="25" t="str">
        <f t="shared" si="0"/>
        <v>FECHA TRANSACC</v>
      </c>
      <c r="F14" s="25" t="s">
        <v>114</v>
      </c>
      <c r="G14" s="23" t="s">
        <v>56</v>
      </c>
      <c r="H14" s="23" t="s">
        <v>92</v>
      </c>
      <c r="I14" s="28">
        <v>20180918</v>
      </c>
      <c r="J14" s="23" t="s">
        <v>56</v>
      </c>
      <c r="K14" s="23" t="s">
        <v>94</v>
      </c>
      <c r="L14" s="23" t="s">
        <v>56</v>
      </c>
      <c r="M14" s="23" t="s">
        <v>56</v>
      </c>
    </row>
    <row r="15" spans="1:13">
      <c r="A15" s="23" t="s">
        <v>49</v>
      </c>
      <c r="B15" s="23" t="s">
        <v>50</v>
      </c>
      <c r="C15" s="24" t="s">
        <v>51</v>
      </c>
      <c r="D15" s="25" t="s">
        <v>115</v>
      </c>
      <c r="E15" s="25" t="str">
        <f t="shared" si="0"/>
        <v>NRO DOCUMENTO</v>
      </c>
      <c r="F15" s="25" t="s">
        <v>116</v>
      </c>
      <c r="G15" s="23" t="s">
        <v>56</v>
      </c>
      <c r="H15" s="23" t="s">
        <v>92</v>
      </c>
      <c r="I15" s="28">
        <v>114</v>
      </c>
      <c r="J15" s="23" t="s">
        <v>56</v>
      </c>
      <c r="K15" s="23" t="s">
        <v>94</v>
      </c>
      <c r="L15" s="23" t="s">
        <v>56</v>
      </c>
      <c r="M15" s="23" t="s">
        <v>56</v>
      </c>
    </row>
    <row r="16" spans="1:13">
      <c r="A16" s="23" t="s">
        <v>49</v>
      </c>
      <c r="B16" s="23" t="s">
        <v>50</v>
      </c>
      <c r="C16" s="24" t="s">
        <v>51</v>
      </c>
      <c r="D16" s="25" t="s">
        <v>117</v>
      </c>
      <c r="E16" s="25" t="str">
        <f t="shared" si="0"/>
        <v>AUTORIZACION</v>
      </c>
      <c r="F16" s="25" t="s">
        <v>118</v>
      </c>
      <c r="G16" s="23" t="s">
        <v>56</v>
      </c>
      <c r="H16" s="23" t="s">
        <v>92</v>
      </c>
      <c r="I16" s="28" t="s">
        <v>119</v>
      </c>
      <c r="J16" s="23" t="s">
        <v>56</v>
      </c>
      <c r="K16" s="23" t="s">
        <v>94</v>
      </c>
      <c r="L16" s="23" t="s">
        <v>56</v>
      </c>
      <c r="M16" s="23" t="s">
        <v>56</v>
      </c>
    </row>
    <row r="17" spans="1:13">
      <c r="A17" s="23" t="s">
        <v>49</v>
      </c>
      <c r="B17" s="23" t="s">
        <v>50</v>
      </c>
      <c r="C17" s="24" t="s">
        <v>51</v>
      </c>
      <c r="D17" s="25" t="s">
        <v>120</v>
      </c>
      <c r="E17" s="25" t="str">
        <f t="shared" si="0"/>
        <v>IMPORTE</v>
      </c>
      <c r="F17" s="25" t="s">
        <v>121</v>
      </c>
      <c r="G17" s="23" t="s">
        <v>56</v>
      </c>
      <c r="H17" s="23" t="s">
        <v>92</v>
      </c>
      <c r="I17" s="28">
        <v>1534</v>
      </c>
      <c r="J17" s="23" t="s">
        <v>56</v>
      </c>
      <c r="K17" s="23" t="s">
        <v>94</v>
      </c>
      <c r="L17" s="23" t="s">
        <v>56</v>
      </c>
      <c r="M17" s="23" t="s">
        <v>56</v>
      </c>
    </row>
    <row r="18" spans="1:13">
      <c r="A18" s="23" t="s">
        <v>49</v>
      </c>
      <c r="B18" s="23" t="s">
        <v>50</v>
      </c>
      <c r="C18" s="24" t="s">
        <v>51</v>
      </c>
      <c r="D18" s="25" t="s">
        <v>122</v>
      </c>
      <c r="E18" s="25" t="str">
        <f t="shared" si="0"/>
        <v>MONEDA</v>
      </c>
      <c r="F18" s="25" t="s">
        <v>123</v>
      </c>
      <c r="G18" s="23" t="s">
        <v>56</v>
      </c>
      <c r="H18" s="23" t="s">
        <v>92</v>
      </c>
      <c r="I18" s="28">
        <v>604</v>
      </c>
      <c r="J18" s="23" t="s">
        <v>56</v>
      </c>
      <c r="K18" s="23" t="s">
        <v>94</v>
      </c>
      <c r="L18" s="23" t="s">
        <v>56</v>
      </c>
      <c r="M18" s="23" t="s">
        <v>56</v>
      </c>
    </row>
    <row r="19" spans="1:13">
      <c r="A19" s="23" t="s">
        <v>49</v>
      </c>
      <c r="B19" s="23" t="s">
        <v>50</v>
      </c>
      <c r="C19" s="24" t="s">
        <v>51</v>
      </c>
      <c r="D19" s="25" t="s">
        <v>124</v>
      </c>
      <c r="E19" s="25" t="str">
        <f t="shared" si="0"/>
        <v>ABO/CAR COMISION</v>
      </c>
      <c r="F19" s="25" t="s">
        <v>125</v>
      </c>
      <c r="G19" s="23" t="s">
        <v>56</v>
      </c>
      <c r="H19" s="23" t="s">
        <v>92</v>
      </c>
      <c r="I19" s="28"/>
      <c r="J19" s="23" t="s">
        <v>56</v>
      </c>
      <c r="K19" s="23" t="s">
        <v>94</v>
      </c>
      <c r="L19" s="23" t="s">
        <v>56</v>
      </c>
      <c r="M19" s="23" t="s">
        <v>56</v>
      </c>
    </row>
    <row r="20" spans="1:13">
      <c r="A20" s="23" t="s">
        <v>49</v>
      </c>
      <c r="B20" s="23" t="s">
        <v>50</v>
      </c>
      <c r="C20" s="24" t="s">
        <v>51</v>
      </c>
      <c r="D20" s="27" t="s">
        <v>126</v>
      </c>
      <c r="E20" s="25" t="str">
        <f t="shared" si="0"/>
        <v>COMISION</v>
      </c>
      <c r="F20" s="25" t="s">
        <v>127</v>
      </c>
      <c r="G20" s="23" t="s">
        <v>94</v>
      </c>
      <c r="H20" s="23" t="s">
        <v>92</v>
      </c>
      <c r="I20" s="28">
        <v>61.36</v>
      </c>
      <c r="J20" s="23" t="s">
        <v>56</v>
      </c>
      <c r="K20" s="23" t="s">
        <v>94</v>
      </c>
      <c r="L20" s="23" t="s">
        <v>56</v>
      </c>
      <c r="M20" s="23" t="s">
        <v>56</v>
      </c>
    </row>
    <row r="21" spans="1:13">
      <c r="A21" s="23" t="s">
        <v>49</v>
      </c>
      <c r="B21" s="23" t="s">
        <v>50</v>
      </c>
      <c r="C21" s="24" t="s">
        <v>51</v>
      </c>
      <c r="D21" s="27" t="s">
        <v>128</v>
      </c>
      <c r="E21" s="25" t="str">
        <f t="shared" si="0"/>
        <v>COMISION PROCES</v>
      </c>
      <c r="F21" s="25" t="s">
        <v>129</v>
      </c>
      <c r="G21" s="23" t="s">
        <v>94</v>
      </c>
      <c r="H21" s="23" t="s">
        <v>92</v>
      </c>
      <c r="I21" s="28">
        <v>36.82</v>
      </c>
      <c r="J21" s="23" t="s">
        <v>56</v>
      </c>
      <c r="K21" s="23" t="s">
        <v>94</v>
      </c>
      <c r="L21" s="23" t="s">
        <v>56</v>
      </c>
      <c r="M21" s="23" t="s">
        <v>56</v>
      </c>
    </row>
    <row r="22" spans="1:13">
      <c r="A22" s="23" t="s">
        <v>49</v>
      </c>
      <c r="B22" s="23" t="s">
        <v>50</v>
      </c>
      <c r="C22" s="24" t="s">
        <v>51</v>
      </c>
      <c r="D22" s="25" t="s">
        <v>130</v>
      </c>
      <c r="E22" s="25" t="str">
        <f t="shared" si="0"/>
        <v>IMPUESTO PROCES</v>
      </c>
      <c r="F22" s="25" t="s">
        <v>131</v>
      </c>
      <c r="G22" s="23" t="s">
        <v>56</v>
      </c>
      <c r="H22" s="23" t="s">
        <v>92</v>
      </c>
      <c r="I22" s="28">
        <v>6.63</v>
      </c>
      <c r="J22" s="23" t="s">
        <v>56</v>
      </c>
      <c r="K22" s="23" t="s">
        <v>94</v>
      </c>
      <c r="L22" s="23" t="s">
        <v>56</v>
      </c>
      <c r="M22" s="23" t="s">
        <v>56</v>
      </c>
    </row>
    <row r="23" spans="1:13">
      <c r="A23" s="23" t="s">
        <v>49</v>
      </c>
      <c r="B23" s="23" t="s">
        <v>50</v>
      </c>
      <c r="C23" s="24" t="s">
        <v>51</v>
      </c>
      <c r="D23" s="25" t="s">
        <v>132</v>
      </c>
      <c r="E23" s="25" t="str">
        <f t="shared" si="0"/>
        <v>COMISION EMISOR</v>
      </c>
      <c r="F23" s="25" t="s">
        <v>133</v>
      </c>
      <c r="G23" s="23" t="s">
        <v>56</v>
      </c>
      <c r="H23" s="23" t="s">
        <v>92</v>
      </c>
      <c r="I23" s="28">
        <v>24.54</v>
      </c>
      <c r="J23" s="23" t="s">
        <v>56</v>
      </c>
      <c r="K23" s="23" t="s">
        <v>94</v>
      </c>
      <c r="L23" s="23" t="s">
        <v>56</v>
      </c>
      <c r="M23" s="23" t="s">
        <v>56</v>
      </c>
    </row>
    <row r="24" spans="1:13">
      <c r="A24" s="23" t="s">
        <v>49</v>
      </c>
      <c r="B24" s="23" t="s">
        <v>50</v>
      </c>
      <c r="C24" s="24" t="s">
        <v>51</v>
      </c>
      <c r="D24" s="25" t="s">
        <v>134</v>
      </c>
      <c r="E24" s="25" t="str">
        <f t="shared" si="0"/>
        <v>IMPUESTO EMISOR</v>
      </c>
      <c r="F24" s="25" t="s">
        <v>135</v>
      </c>
      <c r="G24" s="23" t="s">
        <v>56</v>
      </c>
      <c r="H24" s="23" t="s">
        <v>92</v>
      </c>
      <c r="I24" s="28">
        <v>0</v>
      </c>
      <c r="J24" s="23" t="s">
        <v>56</v>
      </c>
      <c r="K24" s="23" t="s">
        <v>94</v>
      </c>
      <c r="L24" s="23" t="s">
        <v>56</v>
      </c>
      <c r="M24" s="23" t="s">
        <v>56</v>
      </c>
    </row>
    <row r="25" spans="1:13">
      <c r="A25" s="23" t="s">
        <v>49</v>
      </c>
      <c r="B25" s="23" t="s">
        <v>50</v>
      </c>
      <c r="C25" s="24" t="s">
        <v>51</v>
      </c>
      <c r="D25" s="25" t="s">
        <v>136</v>
      </c>
      <c r="E25" s="25" t="str">
        <f t="shared" si="0"/>
        <v>MEDIO DE TRANSAC</v>
      </c>
      <c r="F25" s="25" t="s">
        <v>137</v>
      </c>
      <c r="G25" s="23" t="s">
        <v>56</v>
      </c>
      <c r="H25" s="23" t="s">
        <v>92</v>
      </c>
      <c r="I25" s="28" t="s">
        <v>138</v>
      </c>
      <c r="J25" s="23" t="s">
        <v>56</v>
      </c>
      <c r="K25" s="23" t="s">
        <v>94</v>
      </c>
      <c r="L25" s="23" t="s">
        <v>56</v>
      </c>
      <c r="M25" s="23" t="s">
        <v>56</v>
      </c>
    </row>
    <row r="26" spans="1:13">
      <c r="A26" s="23" t="s">
        <v>49</v>
      </c>
      <c r="B26" s="23" t="s">
        <v>50</v>
      </c>
      <c r="C26" s="24" t="s">
        <v>51</v>
      </c>
      <c r="D26" s="25" t="s">
        <v>139</v>
      </c>
      <c r="E26" s="25" t="str">
        <f t="shared" si="0"/>
        <v>FECHA DE LOTE</v>
      </c>
      <c r="F26" s="25" t="s">
        <v>140</v>
      </c>
      <c r="G26" s="23" t="s">
        <v>56</v>
      </c>
      <c r="H26" s="23" t="s">
        <v>92</v>
      </c>
      <c r="I26" s="28">
        <v>20181116</v>
      </c>
      <c r="J26" s="23" t="s">
        <v>56</v>
      </c>
      <c r="K26" s="23" t="s">
        <v>94</v>
      </c>
      <c r="L26" s="23" t="s">
        <v>56</v>
      </c>
      <c r="M26" s="23" t="s">
        <v>56</v>
      </c>
    </row>
    <row r="27" spans="1:13">
      <c r="A27" s="23" t="s">
        <v>49</v>
      </c>
      <c r="B27" s="23" t="s">
        <v>50</v>
      </c>
      <c r="C27" s="24" t="s">
        <v>51</v>
      </c>
      <c r="D27" s="25" t="s">
        <v>141</v>
      </c>
      <c r="E27" s="25" t="str">
        <f t="shared" si="0"/>
        <v>LOTE REFERENCIA</v>
      </c>
      <c r="F27" s="25" t="s">
        <v>142</v>
      </c>
      <c r="G27" s="23" t="s">
        <v>56</v>
      </c>
      <c r="H27" s="23" t="s">
        <v>92</v>
      </c>
      <c r="I27" s="28">
        <v>2</v>
      </c>
      <c r="J27" s="23" t="s">
        <v>56</v>
      </c>
      <c r="K27" s="23" t="s">
        <v>94</v>
      </c>
      <c r="L27" s="23" t="s">
        <v>56</v>
      </c>
      <c r="M27" s="23" t="s">
        <v>56</v>
      </c>
    </row>
    <row r="28" spans="1:13">
      <c r="A28" s="23" t="s">
        <v>49</v>
      </c>
      <c r="B28" s="23" t="s">
        <v>50</v>
      </c>
      <c r="C28" s="24" t="s">
        <v>51</v>
      </c>
      <c r="D28" s="25" t="s">
        <v>143</v>
      </c>
      <c r="E28" s="25" t="str">
        <f t="shared" si="0"/>
        <v>USUARIO</v>
      </c>
      <c r="F28" s="25" t="s">
        <v>144</v>
      </c>
      <c r="G28" s="23" t="s">
        <v>56</v>
      </c>
      <c r="H28" s="23" t="s">
        <v>92</v>
      </c>
      <c r="I28" s="28">
        <v>60596155</v>
      </c>
      <c r="J28" s="23" t="s">
        <v>56</v>
      </c>
      <c r="K28" s="23" t="s">
        <v>94</v>
      </c>
      <c r="L28" s="23" t="s">
        <v>56</v>
      </c>
      <c r="M28" s="23" t="s">
        <v>56</v>
      </c>
    </row>
    <row r="29" spans="1:13">
      <c r="A29" s="23" t="s">
        <v>49</v>
      </c>
      <c r="B29" s="23" t="s">
        <v>50</v>
      </c>
      <c r="C29" s="24" t="s">
        <v>51</v>
      </c>
      <c r="D29" s="25" t="s">
        <v>145</v>
      </c>
      <c r="E29" s="25" t="str">
        <f t="shared" si="0"/>
        <v>TERMINAL</v>
      </c>
      <c r="F29" s="25" t="s">
        <v>146</v>
      </c>
      <c r="G29" s="23" t="s">
        <v>56</v>
      </c>
      <c r="H29" s="23" t="s">
        <v>92</v>
      </c>
      <c r="I29" s="28" t="s">
        <v>147</v>
      </c>
      <c r="J29" s="23" t="s">
        <v>56</v>
      </c>
      <c r="K29" s="23" t="s">
        <v>94</v>
      </c>
      <c r="L29" s="23" t="s">
        <v>56</v>
      </c>
      <c r="M29" s="23" t="s">
        <v>56</v>
      </c>
    </row>
    <row r="30" spans="1:13">
      <c r="A30" s="23" t="s">
        <v>49</v>
      </c>
      <c r="B30" s="23" t="s">
        <v>50</v>
      </c>
      <c r="C30" s="24" t="s">
        <v>51</v>
      </c>
      <c r="D30" s="25" t="s">
        <v>148</v>
      </c>
      <c r="E30" s="25" t="str">
        <f t="shared" si="0"/>
        <v>APROBADO POR</v>
      </c>
      <c r="F30" s="25" t="s">
        <v>149</v>
      </c>
      <c r="G30" s="23" t="s">
        <v>56</v>
      </c>
      <c r="H30" s="23" t="s">
        <v>92</v>
      </c>
      <c r="I30" s="28" t="s">
        <v>150</v>
      </c>
      <c r="J30" s="23" t="s">
        <v>56</v>
      </c>
      <c r="K30" s="23" t="s">
        <v>94</v>
      </c>
      <c r="L30" s="23" t="s">
        <v>56</v>
      </c>
      <c r="M30" s="23" t="s">
        <v>56</v>
      </c>
    </row>
    <row r="31" spans="1:13">
      <c r="A31" s="23" t="s">
        <v>49</v>
      </c>
      <c r="B31" s="23" t="s">
        <v>50</v>
      </c>
      <c r="C31" s="24" t="s">
        <v>51</v>
      </c>
      <c r="D31" s="25" t="s">
        <v>151</v>
      </c>
      <c r="E31" s="25" t="str">
        <f t="shared" si="0"/>
        <v>FECHA PENDIENTE</v>
      </c>
      <c r="F31" s="25" t="s">
        <v>152</v>
      </c>
      <c r="G31" s="23" t="s">
        <v>56</v>
      </c>
      <c r="H31" s="23" t="s">
        <v>92</v>
      </c>
      <c r="I31" s="28">
        <v>0</v>
      </c>
      <c r="J31" s="23" t="s">
        <v>56</v>
      </c>
      <c r="K31" s="23" t="s">
        <v>94</v>
      </c>
      <c r="L31" s="23" t="s">
        <v>56</v>
      </c>
      <c r="M31" s="23" t="s">
        <v>56</v>
      </c>
    </row>
    <row r="32" spans="1:13">
      <c r="A32" s="23" t="s">
        <v>49</v>
      </c>
      <c r="B32" s="23" t="s">
        <v>50</v>
      </c>
      <c r="C32" s="24" t="s">
        <v>51</v>
      </c>
      <c r="D32" s="25" t="s">
        <v>153</v>
      </c>
      <c r="E32" s="25" t="str">
        <f t="shared" si="0"/>
        <v>ICA EMISOR</v>
      </c>
      <c r="F32" s="25" t="s">
        <v>154</v>
      </c>
      <c r="G32" s="23" t="s">
        <v>56</v>
      </c>
      <c r="H32" s="23" t="s">
        <v>92</v>
      </c>
      <c r="I32" s="28">
        <v>5621</v>
      </c>
      <c r="J32" s="23" t="s">
        <v>56</v>
      </c>
      <c r="K32" s="23" t="s">
        <v>94</v>
      </c>
      <c r="L32" s="23" t="s">
        <v>56</v>
      </c>
      <c r="M32" s="23" t="s">
        <v>56</v>
      </c>
    </row>
    <row r="33" spans="1:13">
      <c r="A33" s="23" t="s">
        <v>49</v>
      </c>
      <c r="B33" s="23" t="s">
        <v>50</v>
      </c>
      <c r="C33" s="24" t="s">
        <v>51</v>
      </c>
      <c r="D33" s="25" t="s">
        <v>155</v>
      </c>
      <c r="E33" s="25" t="str">
        <f t="shared" si="0"/>
        <v>ICA ADQUIR</v>
      </c>
      <c r="F33" s="25" t="s">
        <v>156</v>
      </c>
      <c r="G33" s="23" t="s">
        <v>56</v>
      </c>
      <c r="H33" s="23" t="s">
        <v>92</v>
      </c>
      <c r="I33" s="28">
        <v>7963</v>
      </c>
      <c r="J33" s="23" t="s">
        <v>56</v>
      </c>
      <c r="K33" s="23" t="s">
        <v>94</v>
      </c>
      <c r="L33" s="23" t="s">
        <v>56</v>
      </c>
      <c r="M33" s="23" t="s">
        <v>56</v>
      </c>
    </row>
    <row r="34" spans="1:13">
      <c r="A34" s="23" t="s">
        <v>49</v>
      </c>
      <c r="B34" s="23" t="s">
        <v>50</v>
      </c>
      <c r="C34" s="24" t="s">
        <v>51</v>
      </c>
      <c r="D34" s="25" t="s">
        <v>157</v>
      </c>
      <c r="E34" s="25" t="str">
        <f t="shared" si="0"/>
        <v>FECHA JULIANA</v>
      </c>
      <c r="F34" s="25" t="s">
        <v>158</v>
      </c>
      <c r="G34" s="23" t="s">
        <v>56</v>
      </c>
      <c r="H34" s="23" t="s">
        <v>92</v>
      </c>
      <c r="I34" s="28">
        <v>8320</v>
      </c>
      <c r="J34" s="23" t="s">
        <v>56</v>
      </c>
      <c r="K34" s="23" t="s">
        <v>94</v>
      </c>
      <c r="L34" s="23" t="s">
        <v>56</v>
      </c>
      <c r="M34" s="23" t="s">
        <v>56</v>
      </c>
    </row>
    <row r="35" spans="1:13">
      <c r="A35" s="23" t="s">
        <v>49</v>
      </c>
      <c r="B35" s="23" t="s">
        <v>50</v>
      </c>
      <c r="C35" s="24" t="s">
        <v>51</v>
      </c>
      <c r="D35" s="25" t="s">
        <v>159</v>
      </c>
      <c r="E35" s="25" t="str">
        <f t="shared" si="0"/>
        <v>MCC</v>
      </c>
      <c r="F35" s="25" t="s">
        <v>160</v>
      </c>
      <c r="G35" s="23" t="s">
        <v>56</v>
      </c>
      <c r="H35" s="23" t="s">
        <v>92</v>
      </c>
      <c r="I35" s="28">
        <v>8042</v>
      </c>
      <c r="J35" s="23" t="s">
        <v>56</v>
      </c>
      <c r="K35" s="23" t="s">
        <v>94</v>
      </c>
      <c r="L35" s="23" t="s">
        <v>56</v>
      </c>
      <c r="M35" s="23" t="s">
        <v>56</v>
      </c>
    </row>
    <row r="36" spans="1:13">
      <c r="A36" s="23" t="s">
        <v>49</v>
      </c>
      <c r="B36" s="23" t="s">
        <v>50</v>
      </c>
      <c r="C36" s="24" t="s">
        <v>51</v>
      </c>
      <c r="D36" s="25" t="s">
        <v>161</v>
      </c>
      <c r="E36" s="25" t="str">
        <f t="shared" si="0"/>
        <v>TIPO CAMBIO</v>
      </c>
      <c r="F36" s="25" t="s">
        <v>162</v>
      </c>
      <c r="G36" s="23" t="s">
        <v>56</v>
      </c>
      <c r="H36" s="23" t="s">
        <v>92</v>
      </c>
      <c r="I36" s="28">
        <v>0</v>
      </c>
      <c r="J36" s="23" t="s">
        <v>56</v>
      </c>
      <c r="K36" s="23" t="s">
        <v>94</v>
      </c>
      <c r="L36" s="23" t="s">
        <v>56</v>
      </c>
      <c r="M36" s="23" t="s">
        <v>56</v>
      </c>
    </row>
    <row r="37" spans="1:13">
      <c r="A37" s="23" t="s">
        <v>49</v>
      </c>
      <c r="B37" s="23" t="s">
        <v>50</v>
      </c>
      <c r="C37" s="24" t="s">
        <v>51</v>
      </c>
      <c r="D37" s="25" t="s">
        <v>163</v>
      </c>
      <c r="E37" s="25" t="str">
        <f t="shared" si="0"/>
        <v>IMPORTE S/.</v>
      </c>
      <c r="F37" s="25" t="s">
        <v>164</v>
      </c>
      <c r="G37" s="23" t="s">
        <v>56</v>
      </c>
      <c r="H37" s="23" t="s">
        <v>92</v>
      </c>
      <c r="I37" s="28">
        <v>1534</v>
      </c>
      <c r="J37" s="23" t="s">
        <v>56</v>
      </c>
      <c r="K37" s="23" t="s">
        <v>94</v>
      </c>
      <c r="L37" s="23" t="s">
        <v>56</v>
      </c>
      <c r="M37" s="23" t="s">
        <v>56</v>
      </c>
    </row>
    <row r="38" spans="1:13">
      <c r="A38" s="23" t="s">
        <v>49</v>
      </c>
      <c r="B38" s="23" t="s">
        <v>50</v>
      </c>
      <c r="C38" s="24" t="s">
        <v>51</v>
      </c>
      <c r="D38" s="25" t="s">
        <v>165</v>
      </c>
      <c r="E38" s="25" t="str">
        <f t="shared" si="0"/>
        <v>NETO 1</v>
      </c>
      <c r="F38" s="25" t="s">
        <v>166</v>
      </c>
      <c r="G38" s="23" t="s">
        <v>56</v>
      </c>
      <c r="H38" s="23" t="s">
        <v>92</v>
      </c>
      <c r="I38" s="28">
        <v>1466.01</v>
      </c>
      <c r="J38" s="23" t="s">
        <v>56</v>
      </c>
      <c r="K38" s="23" t="s">
        <v>94</v>
      </c>
      <c r="L38" s="23" t="s">
        <v>56</v>
      </c>
      <c r="M38" s="23" t="s">
        <v>56</v>
      </c>
    </row>
    <row r="39" spans="1:13">
      <c r="A39" s="23" t="s">
        <v>49</v>
      </c>
      <c r="B39" s="23" t="s">
        <v>50</v>
      </c>
      <c r="C39" s="24" t="s">
        <v>51</v>
      </c>
      <c r="D39" s="25" t="s">
        <v>167</v>
      </c>
      <c r="E39" s="25" t="str">
        <f t="shared" si="0"/>
        <v>IMPO DEVOLUC PAGADO</v>
      </c>
      <c r="F39" s="25" t="s">
        <v>168</v>
      </c>
      <c r="G39" s="23" t="s">
        <v>56</v>
      </c>
      <c r="H39" s="23" t="s">
        <v>92</v>
      </c>
      <c r="I39" s="28">
        <v>1389.43</v>
      </c>
      <c r="J39" s="23" t="s">
        <v>56</v>
      </c>
      <c r="K39" s="23" t="s">
        <v>94</v>
      </c>
      <c r="L39" s="23" t="s">
        <v>56</v>
      </c>
      <c r="M39" s="23" t="s">
        <v>56</v>
      </c>
    </row>
    <row r="40" spans="1:13">
      <c r="A40" s="23" t="s">
        <v>49</v>
      </c>
      <c r="B40" s="23" t="s">
        <v>50</v>
      </c>
      <c r="C40" s="24" t="s">
        <v>51</v>
      </c>
      <c r="D40" s="25" t="s">
        <v>169</v>
      </c>
      <c r="E40" s="25" t="str">
        <f t="shared" si="0"/>
        <v>NETO 2</v>
      </c>
      <c r="F40" s="25" t="s">
        <v>170</v>
      </c>
      <c r="G40" s="23" t="s">
        <v>56</v>
      </c>
      <c r="H40" s="23" t="s">
        <v>92</v>
      </c>
      <c r="I40" s="28">
        <v>76.58</v>
      </c>
      <c r="J40" s="23" t="s">
        <v>56</v>
      </c>
      <c r="K40" s="23" t="s">
        <v>94</v>
      </c>
      <c r="L40" s="23" t="s">
        <v>56</v>
      </c>
      <c r="M40" s="23" t="s">
        <v>56</v>
      </c>
    </row>
    <row r="41" spans="1:13">
      <c r="A41" s="23" t="s">
        <v>49</v>
      </c>
      <c r="B41" s="23" t="s">
        <v>50</v>
      </c>
      <c r="C41" s="24" t="s">
        <v>51</v>
      </c>
      <c r="D41" s="25" t="s">
        <v>171</v>
      </c>
      <c r="E41" s="25" t="str">
        <f t="shared" si="0"/>
        <v>FECHA 1ER PAGO</v>
      </c>
      <c r="F41" s="25" t="s">
        <v>172</v>
      </c>
      <c r="G41" s="23" t="s">
        <v>56</v>
      </c>
      <c r="H41" s="23" t="s">
        <v>92</v>
      </c>
      <c r="I41" s="28">
        <v>20181127</v>
      </c>
      <c r="J41" s="23" t="s">
        <v>56</v>
      </c>
      <c r="K41" s="23" t="s">
        <v>94</v>
      </c>
      <c r="L41" s="23" t="s">
        <v>56</v>
      </c>
      <c r="M41" s="23" t="s">
        <v>56</v>
      </c>
    </row>
    <row r="42" spans="1:13">
      <c r="A42" s="23" t="s">
        <v>49</v>
      </c>
      <c r="B42" s="23" t="s">
        <v>50</v>
      </c>
      <c r="C42" s="24" t="s">
        <v>51</v>
      </c>
      <c r="D42" s="25" t="s">
        <v>173</v>
      </c>
      <c r="E42" s="25" t="str">
        <f t="shared" si="0"/>
        <v>FECHA CANCELACION</v>
      </c>
      <c r="F42" s="25" t="s">
        <v>174</v>
      </c>
      <c r="G42" s="23" t="s">
        <v>56</v>
      </c>
      <c r="H42" s="23" t="s">
        <v>92</v>
      </c>
      <c r="I42" s="28">
        <v>0</v>
      </c>
      <c r="J42" s="23" t="s">
        <v>56</v>
      </c>
      <c r="K42" s="23" t="s">
        <v>94</v>
      </c>
      <c r="L42" s="23" t="s">
        <v>56</v>
      </c>
      <c r="M42" s="23" t="s">
        <v>56</v>
      </c>
    </row>
    <row r="43" spans="1:13">
      <c r="A43" s="23" t="s">
        <v>49</v>
      </c>
      <c r="B43" s="23" t="s">
        <v>50</v>
      </c>
      <c r="C43" s="24" t="s">
        <v>51</v>
      </c>
      <c r="D43" s="25" t="s">
        <v>175</v>
      </c>
      <c r="E43" s="25" t="str">
        <f t="shared" si="0"/>
        <v>TIENDA</v>
      </c>
      <c r="F43" s="25" t="s">
        <v>176</v>
      </c>
      <c r="G43" s="23" t="s">
        <v>56</v>
      </c>
      <c r="H43" s="23" t="s">
        <v>92</v>
      </c>
      <c r="I43" s="28">
        <v>1000327</v>
      </c>
      <c r="J43" s="23" t="s">
        <v>56</v>
      </c>
      <c r="K43" s="23" t="s">
        <v>94</v>
      </c>
      <c r="L43" s="23" t="s">
        <v>56</v>
      </c>
      <c r="M43" s="23" t="s">
        <v>56</v>
      </c>
    </row>
    <row r="44" spans="1:13">
      <c r="A44" s="23" t="s">
        <v>49</v>
      </c>
      <c r="B44" s="23" t="s">
        <v>50</v>
      </c>
      <c r="C44" s="24" t="s">
        <v>51</v>
      </c>
      <c r="D44" s="25" t="s">
        <v>177</v>
      </c>
      <c r="E44" s="25" t="str">
        <f t="shared" si="0"/>
        <v>SERV.PROCESAMIE</v>
      </c>
      <c r="F44" s="25" t="s">
        <v>178</v>
      </c>
      <c r="G44" s="23" t="s">
        <v>56</v>
      </c>
      <c r="H44" s="23" t="s">
        <v>92</v>
      </c>
      <c r="I44" s="28">
        <v>0</v>
      </c>
      <c r="J44" s="23" t="s">
        <v>56</v>
      </c>
      <c r="K44" s="23" t="s">
        <v>94</v>
      </c>
      <c r="L44" s="23" t="s">
        <v>56</v>
      </c>
      <c r="M44" s="23" t="s">
        <v>56</v>
      </c>
    </row>
    <row r="45" spans="1:13">
      <c r="A45" s="23" t="s">
        <v>49</v>
      </c>
      <c r="B45" s="23" t="s">
        <v>50</v>
      </c>
      <c r="C45" s="24" t="s">
        <v>51</v>
      </c>
      <c r="D45" s="25" t="s">
        <v>179</v>
      </c>
      <c r="E45" s="25" t="str">
        <f t="shared" si="0"/>
        <v>IMPUESTO SERV.P</v>
      </c>
      <c r="F45" s="25" t="s">
        <v>180</v>
      </c>
      <c r="G45" s="23" t="s">
        <v>56</v>
      </c>
      <c r="H45" s="23" t="s">
        <v>92</v>
      </c>
      <c r="I45" s="28">
        <v>0</v>
      </c>
      <c r="J45" s="23" t="s">
        <v>56</v>
      </c>
      <c r="K45" s="23" t="s">
        <v>94</v>
      </c>
      <c r="L45" s="23" t="s">
        <v>56</v>
      </c>
      <c r="M45" s="23" t="s">
        <v>56</v>
      </c>
    </row>
    <row r="46" spans="1:13">
      <c r="A46" s="23" t="s">
        <v>49</v>
      </c>
      <c r="B46" s="23" t="s">
        <v>50</v>
      </c>
      <c r="C46" s="24" t="s">
        <v>51</v>
      </c>
      <c r="D46" s="27" t="s">
        <v>181</v>
      </c>
      <c r="E46" s="25" t="str">
        <f t="shared" si="0"/>
        <v>RUC</v>
      </c>
      <c r="F46" s="25" t="s">
        <v>182</v>
      </c>
      <c r="G46" s="23" t="s">
        <v>56</v>
      </c>
      <c r="H46" s="23" t="s">
        <v>92</v>
      </c>
      <c r="I46" s="28">
        <v>20546203736</v>
      </c>
      <c r="J46" s="23" t="s">
        <v>56</v>
      </c>
      <c r="K46" s="23" t="s">
        <v>94</v>
      </c>
      <c r="L46" s="23" t="s">
        <v>56</v>
      </c>
      <c r="M46" s="23" t="s">
        <v>56</v>
      </c>
    </row>
    <row r="47" spans="1:13">
      <c r="A47" s="23" t="s">
        <v>49</v>
      </c>
      <c r="B47" s="23" t="s">
        <v>50</v>
      </c>
      <c r="C47" s="24" t="s">
        <v>51</v>
      </c>
      <c r="D47" s="25" t="s">
        <v>183</v>
      </c>
      <c r="E47" s="25" t="str">
        <f t="shared" si="0"/>
        <v>PRIORIDAD</v>
      </c>
      <c r="F47" s="25" t="s">
        <v>184</v>
      </c>
      <c r="G47" s="23" t="s">
        <v>56</v>
      </c>
      <c r="H47" s="23" t="s">
        <v>92</v>
      </c>
      <c r="I47" s="28">
        <v>12</v>
      </c>
      <c r="J47" s="23" t="s">
        <v>56</v>
      </c>
      <c r="K47" s="23" t="s">
        <v>94</v>
      </c>
      <c r="L47" s="23" t="s">
        <v>56</v>
      </c>
      <c r="M47" s="23" t="s">
        <v>56</v>
      </c>
    </row>
    <row r="48" spans="1:13">
      <c r="A48" s="23" t="s">
        <v>49</v>
      </c>
      <c r="B48" s="23" t="s">
        <v>50</v>
      </c>
      <c r="C48" s="24" t="s">
        <v>51</v>
      </c>
      <c r="D48" s="25" t="s">
        <v>185</v>
      </c>
      <c r="E48" s="25" t="str">
        <f t="shared" si="0"/>
        <v>SITUACION (' ':ACTIVO, C:CANCELADA, K:CASTIGADA, I:CASTIGADA INCOBRABLE, 'G':EN GESTION, D:CANCELADA-CASTIGADA)</v>
      </c>
      <c r="F48" s="25" t="s">
        <v>186</v>
      </c>
      <c r="G48" s="23" t="s">
        <v>56</v>
      </c>
      <c r="H48" s="23" t="s">
        <v>92</v>
      </c>
      <c r="I48" s="28" t="s">
        <v>187</v>
      </c>
      <c r="J48" s="23" t="s">
        <v>56</v>
      </c>
      <c r="K48" s="23" t="s">
        <v>94</v>
      </c>
      <c r="L48" s="23" t="s">
        <v>56</v>
      </c>
      <c r="M48" s="23" t="s">
        <v>56</v>
      </c>
    </row>
    <row r="49" spans="1:13">
      <c r="A49" s="23" t="s">
        <v>49</v>
      </c>
      <c r="B49" s="23" t="s">
        <v>50</v>
      </c>
      <c r="C49" s="24" t="s">
        <v>51</v>
      </c>
      <c r="D49" s="25" t="s">
        <v>188</v>
      </c>
      <c r="E49" s="25" t="str">
        <f t="shared" si="0"/>
        <v>USER SITUACION</v>
      </c>
      <c r="F49" s="25" t="s">
        <v>189</v>
      </c>
      <c r="G49" s="23" t="s">
        <v>56</v>
      </c>
      <c r="H49" s="23" t="s">
        <v>92</v>
      </c>
      <c r="I49" s="28"/>
      <c r="J49" s="23" t="s">
        <v>56</v>
      </c>
      <c r="K49" s="23" t="s">
        <v>94</v>
      </c>
      <c r="L49" s="23" t="s">
        <v>56</v>
      </c>
      <c r="M49" s="23" t="s">
        <v>56</v>
      </c>
    </row>
    <row r="50" spans="1:13">
      <c r="A50" s="23" t="s">
        <v>49</v>
      </c>
      <c r="B50" s="23" t="s">
        <v>50</v>
      </c>
      <c r="C50" s="24" t="s">
        <v>51</v>
      </c>
      <c r="D50" s="25" t="s">
        <v>190</v>
      </c>
      <c r="E50" s="25" t="str">
        <f t="shared" si="0"/>
        <v>FECH SITUACION</v>
      </c>
      <c r="F50" s="25" t="s">
        <v>191</v>
      </c>
      <c r="G50" s="23" t="s">
        <v>56</v>
      </c>
      <c r="H50" s="23" t="s">
        <v>92</v>
      </c>
      <c r="I50" s="28">
        <v>0</v>
      </c>
      <c r="J50" s="23" t="s">
        <v>56</v>
      </c>
      <c r="K50" s="23" t="s">
        <v>94</v>
      </c>
      <c r="L50" s="23" t="s">
        <v>56</v>
      </c>
      <c r="M50" s="23" t="s">
        <v>56</v>
      </c>
    </row>
    <row r="51" spans="1:13">
      <c r="A51" s="23" t="s">
        <v>49</v>
      </c>
      <c r="B51" s="23" t="s">
        <v>50</v>
      </c>
      <c r="C51" s="24" t="s">
        <v>51</v>
      </c>
      <c r="D51" s="25" t="s">
        <v>192</v>
      </c>
      <c r="E51" s="25" t="str">
        <f t="shared" si="0"/>
        <v>INDICA DEVOLUCION</v>
      </c>
      <c r="F51" s="25" t="s">
        <v>193</v>
      </c>
      <c r="G51" s="23" t="s">
        <v>56</v>
      </c>
      <c r="H51" s="23" t="s">
        <v>92</v>
      </c>
      <c r="I51" s="28" t="s">
        <v>194</v>
      </c>
      <c r="J51" s="23" t="s">
        <v>56</v>
      </c>
      <c r="K51" s="23" t="s">
        <v>94</v>
      </c>
      <c r="L51" s="23" t="s">
        <v>56</v>
      </c>
      <c r="M51" s="23" t="s">
        <v>56</v>
      </c>
    </row>
    <row r="52" spans="1:13">
      <c r="A52" s="23" t="s">
        <v>49</v>
      </c>
      <c r="B52" s="23" t="s">
        <v>50</v>
      </c>
      <c r="C52" s="24" t="s">
        <v>51</v>
      </c>
      <c r="D52" s="25" t="s">
        <v>195</v>
      </c>
      <c r="E52" s="25" t="str">
        <f t="shared" si="0"/>
        <v>ACQUIRER REFE NBR</v>
      </c>
      <c r="F52" s="25" t="s">
        <v>196</v>
      </c>
      <c r="G52" s="23" t="s">
        <v>56</v>
      </c>
      <c r="H52" s="23" t="s">
        <v>92</v>
      </c>
      <c r="I52" s="28">
        <v>7.53015082640002E+22</v>
      </c>
      <c r="J52" s="23" t="s">
        <v>56</v>
      </c>
      <c r="K52" s="23" t="s">
        <v>94</v>
      </c>
      <c r="L52" s="23" t="s">
        <v>56</v>
      </c>
      <c r="M52" s="23" t="s">
        <v>56</v>
      </c>
    </row>
    <row r="53" spans="1:13">
      <c r="A53" s="23" t="s">
        <v>49</v>
      </c>
      <c r="B53" s="23" t="s">
        <v>50</v>
      </c>
      <c r="C53" s="24" t="s">
        <v>51</v>
      </c>
      <c r="D53" s="25" t="s">
        <v>197</v>
      </c>
      <c r="E53" s="25" t="str">
        <f t="shared" si="0"/>
        <v>MOTIVO CARTA</v>
      </c>
      <c r="F53" s="25" t="s">
        <v>198</v>
      </c>
      <c r="G53" s="23" t="s">
        <v>56</v>
      </c>
      <c r="H53" s="23" t="s">
        <v>92</v>
      </c>
      <c r="I53" s="28"/>
      <c r="J53" s="23" t="s">
        <v>56</v>
      </c>
      <c r="K53" s="23" t="s">
        <v>94</v>
      </c>
      <c r="L53" s="23" t="s">
        <v>56</v>
      </c>
      <c r="M53" s="23" t="s">
        <v>56</v>
      </c>
    </row>
    <row r="54" spans="1:13">
      <c r="A54" s="23" t="s">
        <v>49</v>
      </c>
      <c r="B54" s="23" t="s">
        <v>50</v>
      </c>
      <c r="C54" s="24" t="s">
        <v>51</v>
      </c>
      <c r="D54" s="25" t="s">
        <v>199</v>
      </c>
      <c r="E54" s="25" t="str">
        <f t="shared" si="0"/>
        <v>TIPO:FAC,N/C</v>
      </c>
      <c r="F54" s="25" t="s">
        <v>200</v>
      </c>
      <c r="G54" s="23" t="s">
        <v>56</v>
      </c>
      <c r="H54" s="23" t="s">
        <v>92</v>
      </c>
      <c r="I54" s="28" t="s">
        <v>201</v>
      </c>
      <c r="J54" s="23" t="s">
        <v>56</v>
      </c>
      <c r="K54" s="23" t="s">
        <v>94</v>
      </c>
      <c r="L54" s="23" t="s">
        <v>56</v>
      </c>
      <c r="M54" s="23" t="s">
        <v>56</v>
      </c>
    </row>
    <row r="55" spans="1:13">
      <c r="A55" s="23" t="s">
        <v>49</v>
      </c>
      <c r="B55" s="23" t="s">
        <v>50</v>
      </c>
      <c r="C55" s="24" t="s">
        <v>51</v>
      </c>
      <c r="D55" s="25" t="s">
        <v>202</v>
      </c>
      <c r="E55" s="25" t="str">
        <f t="shared" si="0"/>
        <v>NRO COMPROB PAGO</v>
      </c>
      <c r="F55" s="25" t="s">
        <v>203</v>
      </c>
      <c r="G55" s="23" t="s">
        <v>56</v>
      </c>
      <c r="H55" s="23" t="s">
        <v>92</v>
      </c>
      <c r="I55" s="28">
        <v>20250438</v>
      </c>
      <c r="J55" s="23" t="s">
        <v>56</v>
      </c>
      <c r="K55" s="23" t="s">
        <v>94</v>
      </c>
      <c r="L55" s="23" t="s">
        <v>56</v>
      </c>
      <c r="M55" s="23" t="s">
        <v>56</v>
      </c>
    </row>
    <row r="56" spans="1:13">
      <c r="A56" s="23" t="s">
        <v>49</v>
      </c>
      <c r="B56" s="23" t="s">
        <v>50</v>
      </c>
      <c r="C56" s="24" t="s">
        <v>51</v>
      </c>
      <c r="D56" s="25" t="s">
        <v>204</v>
      </c>
      <c r="E56" s="25" t="str">
        <f t="shared" si="0"/>
        <v>FEC APERTURA</v>
      </c>
      <c r="F56" s="25" t="s">
        <v>205</v>
      </c>
      <c r="G56" s="23" t="s">
        <v>56</v>
      </c>
      <c r="H56" s="23" t="s">
        <v>92</v>
      </c>
      <c r="I56" s="28">
        <v>20180524</v>
      </c>
      <c r="J56" s="23" t="s">
        <v>56</v>
      </c>
      <c r="K56" s="23" t="s">
        <v>94</v>
      </c>
      <c r="L56" s="23" t="s">
        <v>56</v>
      </c>
      <c r="M56" s="23" t="s">
        <v>56</v>
      </c>
    </row>
    <row r="57" spans="1:13">
      <c r="A57" s="23" t="s">
        <v>49</v>
      </c>
      <c r="B57" s="23" t="s">
        <v>50</v>
      </c>
      <c r="C57" s="24" t="s">
        <v>51</v>
      </c>
      <c r="D57" s="25" t="s">
        <v>206</v>
      </c>
      <c r="E57" s="25" t="str">
        <f t="shared" si="0"/>
        <v>EJECUTIVO</v>
      </c>
      <c r="F57" s="25" t="s">
        <v>207</v>
      </c>
      <c r="G57" s="23" t="s">
        <v>56</v>
      </c>
      <c r="H57" s="23" t="s">
        <v>92</v>
      </c>
      <c r="I57" s="28">
        <v>0</v>
      </c>
      <c r="J57" s="23" t="s">
        <v>56</v>
      </c>
      <c r="K57" s="23" t="s">
        <v>94</v>
      </c>
      <c r="L57" s="23" t="s">
        <v>56</v>
      </c>
      <c r="M57" s="23" t="s">
        <v>56</v>
      </c>
    </row>
    <row r="58" spans="1:13">
      <c r="A58" s="23" t="s">
        <v>49</v>
      </c>
      <c r="B58" s="23" t="s">
        <v>50</v>
      </c>
      <c r="C58" s="24" t="s">
        <v>51</v>
      </c>
      <c r="D58" s="25" t="s">
        <v>208</v>
      </c>
      <c r="E58" s="25" t="str">
        <f t="shared" si="0"/>
        <v>PROMOTOR</v>
      </c>
      <c r="F58" s="25" t="s">
        <v>209</v>
      </c>
      <c r="G58" s="23" t="s">
        <v>56</v>
      </c>
      <c r="H58" s="23" t="s">
        <v>92</v>
      </c>
      <c r="I58" s="28">
        <v>618</v>
      </c>
      <c r="J58" s="23" t="s">
        <v>56</v>
      </c>
      <c r="K58" s="23" t="s">
        <v>94</v>
      </c>
      <c r="L58" s="23" t="s">
        <v>56</v>
      </c>
      <c r="M58" s="23" t="s">
        <v>56</v>
      </c>
    </row>
    <row r="59" spans="1:13">
      <c r="A59" s="23" t="s">
        <v>49</v>
      </c>
      <c r="B59" s="23" t="s">
        <v>50</v>
      </c>
      <c r="C59" s="24" t="s">
        <v>51</v>
      </c>
      <c r="D59" s="25" t="s">
        <v>210</v>
      </c>
      <c r="E59" s="25" t="str">
        <f t="shared" si="0"/>
        <v>FEC.PRO.REFERENCIA</v>
      </c>
      <c r="F59" s="25" t="s">
        <v>211</v>
      </c>
      <c r="G59" s="23" t="s">
        <v>56</v>
      </c>
      <c r="H59" s="23" t="s">
        <v>92</v>
      </c>
      <c r="I59" s="28">
        <v>20180921</v>
      </c>
      <c r="J59" s="23" t="s">
        <v>56</v>
      </c>
      <c r="K59" s="23" t="s">
        <v>94</v>
      </c>
      <c r="L59" s="23" t="s">
        <v>56</v>
      </c>
      <c r="M59" s="23" t="s">
        <v>56</v>
      </c>
    </row>
    <row r="60" spans="1:13">
      <c r="A60" s="23" t="s">
        <v>49</v>
      </c>
      <c r="B60" s="23" t="s">
        <v>50</v>
      </c>
      <c r="C60" s="24" t="s">
        <v>51</v>
      </c>
      <c r="D60" s="25" t="s">
        <v>212</v>
      </c>
      <c r="E60" s="25" t="str">
        <f t="shared" si="0"/>
        <v>PAIS</v>
      </c>
      <c r="F60" s="25" t="s">
        <v>213</v>
      </c>
      <c r="G60" s="23" t="s">
        <v>56</v>
      </c>
      <c r="H60" s="23" t="s">
        <v>92</v>
      </c>
      <c r="I60" s="28" t="s">
        <v>214</v>
      </c>
      <c r="J60" s="23" t="s">
        <v>56</v>
      </c>
      <c r="K60" s="23" t="s">
        <v>94</v>
      </c>
      <c r="L60" s="23" t="s">
        <v>56</v>
      </c>
      <c r="M60" s="23" t="s">
        <v>56</v>
      </c>
    </row>
    <row r="61" spans="1:13">
      <c r="A61" s="23" t="s">
        <v>49</v>
      </c>
      <c r="B61" s="23" t="s">
        <v>50</v>
      </c>
      <c r="C61" s="24" t="s">
        <v>51</v>
      </c>
      <c r="D61" s="25" t="s">
        <v>215</v>
      </c>
      <c r="E61" s="25" t="str">
        <f t="shared" si="0"/>
        <v>TASA INTERCAMBIO</v>
      </c>
      <c r="F61" s="25" t="s">
        <v>216</v>
      </c>
      <c r="G61" s="23" t="s">
        <v>56</v>
      </c>
      <c r="H61" s="23" t="s">
        <v>92</v>
      </c>
      <c r="I61" s="28"/>
      <c r="J61" s="23" t="s">
        <v>56</v>
      </c>
      <c r="K61" s="23" t="s">
        <v>94</v>
      </c>
      <c r="L61" s="23" t="s">
        <v>56</v>
      </c>
      <c r="M61" s="23" t="s">
        <v>56</v>
      </c>
    </row>
    <row r="62" spans="1:13">
      <c r="A62" s="23" t="s">
        <v>49</v>
      </c>
      <c r="B62" s="23" t="s">
        <v>50</v>
      </c>
      <c r="C62" s="24" t="s">
        <v>51</v>
      </c>
      <c r="D62" s="25" t="s">
        <v>217</v>
      </c>
      <c r="E62" s="25" t="str">
        <f t="shared" si="0"/>
        <v>TIPO INTERCAMBIO</v>
      </c>
      <c r="F62" s="25" t="s">
        <v>218</v>
      </c>
      <c r="G62" s="23" t="s">
        <v>56</v>
      </c>
      <c r="H62" s="23" t="s">
        <v>92</v>
      </c>
      <c r="I62" s="28"/>
      <c r="J62" s="23" t="s">
        <v>56</v>
      </c>
      <c r="K62" s="23" t="s">
        <v>94</v>
      </c>
      <c r="L62" s="23" t="s">
        <v>56</v>
      </c>
      <c r="M62" s="23" t="s">
        <v>56</v>
      </c>
    </row>
    <row r="63" spans="1:13">
      <c r="A63" s="23" t="s">
        <v>49</v>
      </c>
      <c r="B63" s="23" t="s">
        <v>50</v>
      </c>
      <c r="C63" s="24" t="s">
        <v>51</v>
      </c>
      <c r="D63" s="25" t="s">
        <v>219</v>
      </c>
      <c r="E63" s="25" t="str">
        <f t="shared" si="0"/>
        <v>ARN REFERENCIA</v>
      </c>
      <c r="F63" s="25" t="s">
        <v>220</v>
      </c>
      <c r="G63" s="23" t="s">
        <v>56</v>
      </c>
      <c r="H63" s="23" t="s">
        <v>92</v>
      </c>
      <c r="I63" s="28">
        <v>7.53015082640002E+22</v>
      </c>
      <c r="J63" s="23" t="s">
        <v>56</v>
      </c>
      <c r="K63" s="23" t="s">
        <v>94</v>
      </c>
      <c r="L63" s="23" t="s">
        <v>56</v>
      </c>
      <c r="M63" s="23" t="s">
        <v>56</v>
      </c>
    </row>
    <row r="64" spans="1:13">
      <c r="A64" s="23" t="s">
        <v>49</v>
      </c>
      <c r="B64" s="23" t="s">
        <v>50</v>
      </c>
      <c r="C64" s="24" t="s">
        <v>51</v>
      </c>
      <c r="D64" s="25" t="s">
        <v>221</v>
      </c>
      <c r="E64" s="25" t="str">
        <f t="shared" si="0"/>
        <v>NO APLICAR DEV</v>
      </c>
      <c r="F64" s="25" t="s">
        <v>222</v>
      </c>
      <c r="G64" s="23" t="s">
        <v>56</v>
      </c>
      <c r="H64" s="23" t="s">
        <v>92</v>
      </c>
      <c r="I64" s="28"/>
      <c r="J64" s="23" t="s">
        <v>56</v>
      </c>
      <c r="K64" s="23" t="s">
        <v>94</v>
      </c>
      <c r="L64" s="23" t="s">
        <v>56</v>
      </c>
      <c r="M64" s="23" t="s">
        <v>56</v>
      </c>
    </row>
    <row r="65" spans="1:13">
      <c r="A65" s="23" t="s">
        <v>49</v>
      </c>
      <c r="B65" s="23" t="s">
        <v>50</v>
      </c>
      <c r="C65" s="24" t="s">
        <v>51</v>
      </c>
      <c r="D65" s="25" t="s">
        <v>305</v>
      </c>
      <c r="E65" s="25" t="str">
        <f t="shared" si="0"/>
        <v>TARJETA ENMASCARADA</v>
      </c>
      <c r="F65" s="25" t="s">
        <v>303</v>
      </c>
      <c r="G65" s="23" t="s">
        <v>56</v>
      </c>
      <c r="H65" s="23" t="s">
        <v>92</v>
      </c>
      <c r="I65" s="28" t="s">
        <v>311</v>
      </c>
      <c r="J65" s="23" t="s">
        <v>56</v>
      </c>
      <c r="K65" s="23" t="s">
        <v>94</v>
      </c>
      <c r="L65" s="23" t="s">
        <v>56</v>
      </c>
      <c r="M65" s="23" t="s">
        <v>56</v>
      </c>
    </row>
    <row r="66" spans="1:13">
      <c r="A66" s="23" t="s">
        <v>49</v>
      </c>
      <c r="B66" s="23" t="s">
        <v>50</v>
      </c>
      <c r="C66" s="24" t="s">
        <v>51</v>
      </c>
      <c r="D66" s="25" t="s">
        <v>223</v>
      </c>
      <c r="E66" s="25" t="str">
        <f t="shared" si="0"/>
        <v>TARJETA MASK</v>
      </c>
      <c r="F66" s="25" t="s">
        <v>224</v>
      </c>
      <c r="G66" s="23" t="s">
        <v>56</v>
      </c>
      <c r="H66" s="23" t="s">
        <v>92</v>
      </c>
      <c r="I66" s="28" t="s">
        <v>225</v>
      </c>
      <c r="J66" s="23" t="s">
        <v>56</v>
      </c>
      <c r="K66" s="23" t="s">
        <v>94</v>
      </c>
      <c r="L66" s="23" t="s">
        <v>56</v>
      </c>
      <c r="M66" s="23" t="s">
        <v>56</v>
      </c>
    </row>
    <row r="67" spans="1:13">
      <c r="A67" s="23" t="s">
        <v>49</v>
      </c>
      <c r="B67" s="23" t="s">
        <v>50</v>
      </c>
      <c r="C67" s="24" t="s">
        <v>51</v>
      </c>
      <c r="D67" s="25" t="s">
        <v>226</v>
      </c>
      <c r="E67" s="25" t="str">
        <f t="shared" si="0"/>
        <v>TARJETA REC</v>
      </c>
      <c r="F67" s="25" t="s">
        <v>227</v>
      </c>
      <c r="G67" s="23" t="s">
        <v>56</v>
      </c>
      <c r="H67" s="23" t="s">
        <v>92</v>
      </c>
      <c r="I67" s="30"/>
      <c r="J67" s="23" t="s">
        <v>56</v>
      </c>
      <c r="K67" s="23" t="s">
        <v>94</v>
      </c>
      <c r="L67" s="23" t="s">
        <v>56</v>
      </c>
      <c r="M67" s="23" t="s">
        <v>56</v>
      </c>
    </row>
    <row r="68" spans="1:13">
      <c r="A68" s="23" t="s">
        <v>49</v>
      </c>
      <c r="B68" s="23" t="s">
        <v>50</v>
      </c>
      <c r="C68" s="24" t="s">
        <v>51</v>
      </c>
      <c r="D68" s="25" t="s">
        <v>228</v>
      </c>
      <c r="E68" s="25" t="str">
        <f t="shared" ref="E68:E85" si="1">UPPER(F68)</f>
        <v>LONG TARJ</v>
      </c>
      <c r="F68" s="25" t="s">
        <v>229</v>
      </c>
      <c r="G68" s="23" t="s">
        <v>56</v>
      </c>
      <c r="H68" s="23" t="s">
        <v>92</v>
      </c>
      <c r="I68" s="30">
        <v>16</v>
      </c>
      <c r="J68" s="23" t="s">
        <v>56</v>
      </c>
      <c r="K68" s="23" t="s">
        <v>94</v>
      </c>
      <c r="L68" s="23" t="s">
        <v>56</v>
      </c>
      <c r="M68" s="23" t="s">
        <v>56</v>
      </c>
    </row>
    <row r="69" spans="1:13">
      <c r="A69" s="23" t="s">
        <v>49</v>
      </c>
      <c r="B69" s="23" t="s">
        <v>50</v>
      </c>
      <c r="C69" s="24" t="s">
        <v>51</v>
      </c>
      <c r="D69" s="25" t="s">
        <v>230</v>
      </c>
      <c r="E69" s="25" t="str">
        <f t="shared" si="1"/>
        <v>FACT ESTAB (D:DIARIA  M:MENSUA)</v>
      </c>
      <c r="F69" s="25" t="s">
        <v>231</v>
      </c>
      <c r="G69" s="23" t="s">
        <v>56</v>
      </c>
      <c r="H69" s="23" t="s">
        <v>92</v>
      </c>
      <c r="I69" s="28"/>
      <c r="J69" s="23" t="s">
        <v>56</v>
      </c>
      <c r="K69" s="23" t="s">
        <v>94</v>
      </c>
      <c r="L69" s="23" t="s">
        <v>56</v>
      </c>
      <c r="M69" s="23" t="s">
        <v>56</v>
      </c>
    </row>
    <row r="70" spans="1:13">
      <c r="A70" s="23" t="s">
        <v>49</v>
      </c>
      <c r="B70" s="23" t="s">
        <v>50</v>
      </c>
      <c r="C70" s="24" t="s">
        <v>51</v>
      </c>
      <c r="D70" s="25" t="s">
        <v>232</v>
      </c>
      <c r="E70" s="25" t="str">
        <f t="shared" si="1"/>
        <v>ICA EMISOR</v>
      </c>
      <c r="F70" s="25" t="s">
        <v>154</v>
      </c>
      <c r="G70" s="23" t="s">
        <v>56</v>
      </c>
      <c r="H70" s="23" t="s">
        <v>92</v>
      </c>
      <c r="I70" s="28">
        <v>5621</v>
      </c>
      <c r="J70" s="23" t="s">
        <v>56</v>
      </c>
      <c r="K70" s="23" t="s">
        <v>94</v>
      </c>
      <c r="L70" s="23" t="s">
        <v>56</v>
      </c>
      <c r="M70" s="23" t="s">
        <v>56</v>
      </c>
    </row>
    <row r="71" spans="1:13">
      <c r="A71" s="23" t="s">
        <v>49</v>
      </c>
      <c r="B71" s="23" t="s">
        <v>50</v>
      </c>
      <c r="C71" s="24" t="s">
        <v>51</v>
      </c>
      <c r="D71" s="25" t="s">
        <v>233</v>
      </c>
      <c r="E71" s="25" t="str">
        <f t="shared" si="1"/>
        <v>IATA/WEB/SUNAT</v>
      </c>
      <c r="F71" s="25" t="s">
        <v>234</v>
      </c>
      <c r="G71" s="23" t="s">
        <v>56</v>
      </c>
      <c r="H71" s="23" t="s">
        <v>92</v>
      </c>
      <c r="I71" s="28"/>
      <c r="J71" s="23" t="s">
        <v>56</v>
      </c>
      <c r="K71" s="23" t="s">
        <v>94</v>
      </c>
      <c r="L71" s="23" t="s">
        <v>56</v>
      </c>
      <c r="M71" s="23" t="s">
        <v>56</v>
      </c>
    </row>
    <row r="72" spans="1:13">
      <c r="A72" s="23" t="s">
        <v>49</v>
      </c>
      <c r="B72" s="23" t="s">
        <v>50</v>
      </c>
      <c r="C72" s="24" t="s">
        <v>51</v>
      </c>
      <c r="D72" s="25" t="s">
        <v>235</v>
      </c>
      <c r="E72" s="25" t="str">
        <f t="shared" si="1"/>
        <v>FEC SISTEMA</v>
      </c>
      <c r="F72" s="25" t="s">
        <v>236</v>
      </c>
      <c r="G72" s="23" t="s">
        <v>56</v>
      </c>
      <c r="H72" s="23" t="s">
        <v>92</v>
      </c>
      <c r="I72" s="28">
        <v>20181117</v>
      </c>
      <c r="J72" s="23" t="s">
        <v>56</v>
      </c>
      <c r="K72" s="23" t="s">
        <v>94</v>
      </c>
      <c r="L72" s="23" t="s">
        <v>56</v>
      </c>
      <c r="M72" s="23" t="s">
        <v>56</v>
      </c>
    </row>
    <row r="73" spans="1:13">
      <c r="A73" s="23" t="s">
        <v>49</v>
      </c>
      <c r="B73" s="23" t="s">
        <v>50</v>
      </c>
      <c r="C73" s="24" t="s">
        <v>51</v>
      </c>
      <c r="D73" s="25" t="s">
        <v>237</v>
      </c>
      <c r="E73" s="25" t="str">
        <f t="shared" si="1"/>
        <v>HORA SISTEMA</v>
      </c>
      <c r="F73" s="25" t="s">
        <v>238</v>
      </c>
      <c r="G73" s="23" t="s">
        <v>56</v>
      </c>
      <c r="H73" s="23" t="s">
        <v>92</v>
      </c>
      <c r="I73" s="28">
        <v>13808</v>
      </c>
      <c r="J73" s="23" t="s">
        <v>56</v>
      </c>
      <c r="K73" s="23" t="s">
        <v>94</v>
      </c>
      <c r="L73" s="23" t="s">
        <v>56</v>
      </c>
      <c r="M73" s="23" t="s">
        <v>56</v>
      </c>
    </row>
    <row r="74" spans="1:13">
      <c r="A74" s="23" t="s">
        <v>49</v>
      </c>
      <c r="B74" s="23" t="s">
        <v>50</v>
      </c>
      <c r="C74" s="24" t="s">
        <v>51</v>
      </c>
      <c r="D74" s="25" t="s">
        <v>239</v>
      </c>
      <c r="E74" s="25" t="str">
        <f t="shared" si="1"/>
        <v>FEC PROVISION</v>
      </c>
      <c r="F74" s="25" t="s">
        <v>240</v>
      </c>
      <c r="G74" s="23" t="s">
        <v>56</v>
      </c>
      <c r="H74" s="23" t="s">
        <v>92</v>
      </c>
      <c r="I74" s="28">
        <v>20191231</v>
      </c>
      <c r="J74" s="23" t="s">
        <v>56</v>
      </c>
      <c r="K74" s="23" t="s">
        <v>94</v>
      </c>
      <c r="L74" s="23" t="s">
        <v>56</v>
      </c>
      <c r="M74" s="23" t="s">
        <v>56</v>
      </c>
    </row>
    <row r="75" spans="1:13">
      <c r="A75" s="23" t="s">
        <v>49</v>
      </c>
      <c r="B75" s="23" t="s">
        <v>50</v>
      </c>
      <c r="C75" s="24" t="s">
        <v>51</v>
      </c>
      <c r="D75" s="25" t="s">
        <v>241</v>
      </c>
      <c r="E75" s="25" t="str">
        <f t="shared" si="1"/>
        <v>MARCA PROVISION</v>
      </c>
      <c r="F75" s="25" t="s">
        <v>242</v>
      </c>
      <c r="G75" s="23" t="s">
        <v>56</v>
      </c>
      <c r="H75" s="23" t="s">
        <v>92</v>
      </c>
      <c r="I75" s="28" t="s">
        <v>243</v>
      </c>
      <c r="J75" s="23" t="s">
        <v>56</v>
      </c>
      <c r="K75" s="23" t="s">
        <v>94</v>
      </c>
      <c r="L75" s="23" t="s">
        <v>56</v>
      </c>
      <c r="M75" s="23" t="s">
        <v>56</v>
      </c>
    </row>
    <row r="76" spans="1:13">
      <c r="A76" s="23" t="s">
        <v>49</v>
      </c>
      <c r="B76" s="23" t="s">
        <v>50</v>
      </c>
      <c r="C76" s="24" t="s">
        <v>51</v>
      </c>
      <c r="D76" s="25" t="s">
        <v>244</v>
      </c>
      <c r="E76" s="25" t="str">
        <f t="shared" si="1"/>
        <v>NUMERO DE TRASPASO</v>
      </c>
      <c r="F76" s="25" t="s">
        <v>245</v>
      </c>
      <c r="G76" s="23" t="s">
        <v>56</v>
      </c>
      <c r="H76" s="23" t="s">
        <v>92</v>
      </c>
      <c r="I76" s="28">
        <v>0</v>
      </c>
      <c r="J76" s="23" t="s">
        <v>56</v>
      </c>
      <c r="K76" s="23" t="s">
        <v>94</v>
      </c>
      <c r="L76" s="23" t="s">
        <v>56</v>
      </c>
      <c r="M76" s="23" t="s">
        <v>56</v>
      </c>
    </row>
    <row r="77" spans="1:13">
      <c r="A77" s="23" t="s">
        <v>49</v>
      </c>
      <c r="B77" s="23" t="s">
        <v>50</v>
      </c>
      <c r="C77" s="24" t="s">
        <v>51</v>
      </c>
      <c r="D77" s="25" t="s">
        <v>246</v>
      </c>
      <c r="E77" s="25" t="str">
        <f t="shared" si="1"/>
        <v>NUMERO DE SECUENCIA</v>
      </c>
      <c r="F77" s="25" t="s">
        <v>247</v>
      </c>
      <c r="G77" s="23" t="s">
        <v>56</v>
      </c>
      <c r="H77" s="23" t="s">
        <v>92</v>
      </c>
      <c r="I77" s="28">
        <v>0</v>
      </c>
      <c r="J77" s="23" t="s">
        <v>56</v>
      </c>
      <c r="K77" s="23" t="s">
        <v>94</v>
      </c>
      <c r="L77" s="23" t="s">
        <v>56</v>
      </c>
      <c r="M77" s="23" t="s">
        <v>56</v>
      </c>
    </row>
    <row r="78" spans="1:13">
      <c r="A78" s="23" t="s">
        <v>49</v>
      </c>
      <c r="B78" s="23" t="s">
        <v>50</v>
      </c>
      <c r="C78" s="24" t="s">
        <v>51</v>
      </c>
      <c r="D78" s="25" t="s">
        <v>248</v>
      </c>
      <c r="E78" s="25" t="str">
        <f t="shared" si="1"/>
        <v>NUMERO CORRELATIVO</v>
      </c>
      <c r="F78" s="25" t="s">
        <v>249</v>
      </c>
      <c r="G78" s="23" t="s">
        <v>56</v>
      </c>
      <c r="H78" s="23" t="s">
        <v>92</v>
      </c>
      <c r="I78" s="28">
        <v>0</v>
      </c>
      <c r="J78" s="23" t="s">
        <v>56</v>
      </c>
      <c r="K78" s="23" t="s">
        <v>94</v>
      </c>
      <c r="L78" s="23" t="s">
        <v>56</v>
      </c>
      <c r="M78" s="23" t="s">
        <v>56</v>
      </c>
    </row>
    <row r="79" spans="1:13">
      <c r="A79" s="23" t="s">
        <v>49</v>
      </c>
      <c r="B79" s="23" t="s">
        <v>50</v>
      </c>
      <c r="C79" s="24" t="s">
        <v>51</v>
      </c>
      <c r="D79" s="25" t="s">
        <v>250</v>
      </c>
      <c r="E79" s="25" t="str">
        <f t="shared" si="1"/>
        <v>ITEM</v>
      </c>
      <c r="F79" s="25" t="s">
        <v>251</v>
      </c>
      <c r="G79" s="23" t="s">
        <v>56</v>
      </c>
      <c r="H79" s="23" t="s">
        <v>92</v>
      </c>
      <c r="I79" s="28">
        <v>0</v>
      </c>
      <c r="J79" s="23" t="s">
        <v>56</v>
      </c>
      <c r="K79" s="23" t="s">
        <v>94</v>
      </c>
      <c r="L79" s="23" t="s">
        <v>56</v>
      </c>
      <c r="M79" s="23" t="s">
        <v>56</v>
      </c>
    </row>
    <row r="80" spans="1:13">
      <c r="A80" s="23" t="s">
        <v>49</v>
      </c>
      <c r="B80" s="23" t="s">
        <v>50</v>
      </c>
      <c r="C80" s="24" t="s">
        <v>51</v>
      </c>
      <c r="D80" s="25" t="s">
        <v>306</v>
      </c>
      <c r="E80" s="25" t="str">
        <f t="shared" ref="E80:E81" si="2">UPPER(F80)</f>
        <v>BIN DE 9 DEL CAMPO DVTARJ</v>
      </c>
      <c r="F80" s="25" t="s">
        <v>308</v>
      </c>
      <c r="G80" s="23" t="s">
        <v>56</v>
      </c>
      <c r="H80" s="23" t="s">
        <v>92</v>
      </c>
      <c r="I80" s="28">
        <v>547856985</v>
      </c>
      <c r="J80" s="23" t="s">
        <v>56</v>
      </c>
      <c r="K80" s="23" t="s">
        <v>94</v>
      </c>
      <c r="L80" s="23" t="s">
        <v>56</v>
      </c>
      <c r="M80" s="23" t="s">
        <v>56</v>
      </c>
    </row>
    <row r="81" spans="1:13">
      <c r="A81" s="23" t="s">
        <v>49</v>
      </c>
      <c r="B81" s="23" t="s">
        <v>50</v>
      </c>
      <c r="C81" s="24" t="s">
        <v>51</v>
      </c>
      <c r="D81" s="25" t="s">
        <v>307</v>
      </c>
      <c r="E81" s="25" t="str">
        <f t="shared" si="2"/>
        <v>BIN DE 9 DEL CAMPO DVTARX</v>
      </c>
      <c r="F81" s="25" t="s">
        <v>309</v>
      </c>
      <c r="G81" s="23" t="s">
        <v>56</v>
      </c>
      <c r="H81" s="23" t="s">
        <v>92</v>
      </c>
      <c r="I81" s="28">
        <v>547856985</v>
      </c>
      <c r="J81" s="23" t="s">
        <v>56</v>
      </c>
      <c r="K81" s="23" t="s">
        <v>94</v>
      </c>
      <c r="L81" s="23" t="s">
        <v>56</v>
      </c>
      <c r="M81" s="23" t="s">
        <v>56</v>
      </c>
    </row>
    <row r="82" spans="1:13">
      <c r="A82" s="23" t="s">
        <v>49</v>
      </c>
      <c r="B82" s="23" t="s">
        <v>50</v>
      </c>
      <c r="C82" s="24" t="s">
        <v>51</v>
      </c>
      <c r="D82" s="25" t="s">
        <v>252</v>
      </c>
      <c r="E82" s="25" t="str">
        <f t="shared" si="1"/>
        <v>FECHA DE FOTO/DATOS CONFIGURADA EN EL ETL PARA LA EXTRACCIÓN DE DATOS, CORRESPONDE A APERTURAS DE COMERCIOS HASTA EL CIERRE DEL DÍA ANTERIOR</v>
      </c>
      <c r="F82" s="25" t="s">
        <v>253</v>
      </c>
      <c r="G82" s="23" t="s">
        <v>56</v>
      </c>
      <c r="H82" s="23" t="s">
        <v>254</v>
      </c>
      <c r="I82" s="26">
        <v>45841</v>
      </c>
      <c r="J82" s="23" t="s">
        <v>56</v>
      </c>
      <c r="K82" s="23" t="s">
        <v>56</v>
      </c>
      <c r="L82" s="23" t="s">
        <v>94</v>
      </c>
      <c r="M82" s="23" t="s">
        <v>56</v>
      </c>
    </row>
    <row r="83" spans="1:13">
      <c r="A83" s="23" t="s">
        <v>49</v>
      </c>
      <c r="B83" s="23" t="s">
        <v>50</v>
      </c>
      <c r="C83" s="24" t="s">
        <v>51</v>
      </c>
      <c r="D83" s="25" t="s">
        <v>255</v>
      </c>
      <c r="E83" s="25" t="str">
        <f t="shared" si="1"/>
        <v>DATO DE AUDITORÍA: DESCRIPCIÓN DEL APLICATIVO ORIGEN DE LOS DATOS.</v>
      </c>
      <c r="F83" s="25" t="s">
        <v>256</v>
      </c>
      <c r="G83" s="23" t="s">
        <v>56</v>
      </c>
      <c r="H83" s="23" t="s">
        <v>92</v>
      </c>
      <c r="I83" s="25" t="s">
        <v>257</v>
      </c>
      <c r="J83" s="23" t="s">
        <v>56</v>
      </c>
      <c r="K83" s="23" t="s">
        <v>56</v>
      </c>
      <c r="L83" s="23" t="s">
        <v>56</v>
      </c>
      <c r="M83" s="23" t="s">
        <v>56</v>
      </c>
    </row>
    <row r="84" spans="1:13">
      <c r="A84" s="23" t="s">
        <v>49</v>
      </c>
      <c r="B84" s="23" t="s">
        <v>50</v>
      </c>
      <c r="C84" s="24" t="s">
        <v>51</v>
      </c>
      <c r="D84" s="25" t="s">
        <v>258</v>
      </c>
      <c r="E84" s="25" t="str">
        <f t="shared" si="1"/>
        <v>FECHA Y HORA DE INSERCIÓN DEL REGISTRO EN EL MODELO</v>
      </c>
      <c r="F84" s="25" t="s">
        <v>259</v>
      </c>
      <c r="G84" s="23" t="s">
        <v>56</v>
      </c>
      <c r="H84" s="23" t="s">
        <v>260</v>
      </c>
      <c r="I84" s="25" t="s">
        <v>261</v>
      </c>
      <c r="J84" s="23" t="s">
        <v>56</v>
      </c>
      <c r="K84" s="23" t="s">
        <v>56</v>
      </c>
      <c r="L84" s="23" t="s">
        <v>56</v>
      </c>
      <c r="M84" s="23" t="s">
        <v>56</v>
      </c>
    </row>
    <row r="85" spans="1:13">
      <c r="A85" s="23" t="s">
        <v>49</v>
      </c>
      <c r="B85" s="23" t="s">
        <v>50</v>
      </c>
      <c r="C85" s="24" t="s">
        <v>51</v>
      </c>
      <c r="D85" s="25" t="s">
        <v>262</v>
      </c>
      <c r="E85" s="25" t="str">
        <f t="shared" si="1"/>
        <v>USUARIO QUE CREA EL REGISTRO EN LA BD</v>
      </c>
      <c r="F85" s="25" t="s">
        <v>263</v>
      </c>
      <c r="G85" s="23" t="s">
        <v>56</v>
      </c>
      <c r="H85" s="23" t="s">
        <v>92</v>
      </c>
      <c r="I85" s="25" t="s">
        <v>264</v>
      </c>
      <c r="J85" s="23" t="s">
        <v>56</v>
      </c>
      <c r="K85" s="23" t="s">
        <v>56</v>
      </c>
      <c r="L85" s="23" t="s">
        <v>56</v>
      </c>
      <c r="M85" s="23" t="s">
        <v>56</v>
      </c>
    </row>
  </sheetData>
  <phoneticPr fontId="14" type="noConversion"/>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66A139-9E80-43C5-90D7-669D1C2180CA}">
  <sheetPr codeName="Hoja4"/>
  <dimension ref="A1:M83"/>
  <sheetViews>
    <sheetView showGridLines="0" tabSelected="1" topLeftCell="B63" zoomScaleNormal="100" workbookViewId="0">
      <selection activeCell="D78" sqref="D78"/>
    </sheetView>
  </sheetViews>
  <sheetFormatPr baseColWidth="10" defaultColWidth="11.44140625" defaultRowHeight="14.4"/>
  <cols>
    <col min="1" max="4" width="29" customWidth="1"/>
    <col min="5" max="6" width="48.33203125" customWidth="1"/>
    <col min="7" max="8" width="29" customWidth="1"/>
    <col min="9" max="9" width="40.5546875" customWidth="1"/>
    <col min="10" max="13" width="29" customWidth="1"/>
  </cols>
  <sheetData>
    <row r="1" spans="1:13" ht="31.2">
      <c r="A1" s="20" t="s">
        <v>14</v>
      </c>
      <c r="B1" s="21" t="s">
        <v>15</v>
      </c>
      <c r="C1" s="21" t="s">
        <v>6</v>
      </c>
      <c r="D1" s="21" t="s">
        <v>7</v>
      </c>
      <c r="E1" s="21" t="s">
        <v>71</v>
      </c>
      <c r="F1" s="21" t="s">
        <v>72</v>
      </c>
      <c r="G1" s="21" t="s">
        <v>73</v>
      </c>
      <c r="H1" s="21" t="s">
        <v>74</v>
      </c>
      <c r="I1" s="21" t="s">
        <v>75</v>
      </c>
      <c r="J1" s="21" t="s">
        <v>76</v>
      </c>
      <c r="K1" s="21" t="s">
        <v>77</v>
      </c>
      <c r="L1" s="21" t="s">
        <v>78</v>
      </c>
      <c r="M1" s="21" t="s">
        <v>79</v>
      </c>
    </row>
    <row r="2" spans="1:13" ht="46.8">
      <c r="A2" s="22" t="s">
        <v>32</v>
      </c>
      <c r="B2" s="22" t="s">
        <v>33</v>
      </c>
      <c r="C2" s="22" t="s">
        <v>80</v>
      </c>
      <c r="D2" s="22" t="s">
        <v>81</v>
      </c>
      <c r="E2" s="22" t="s">
        <v>82</v>
      </c>
      <c r="F2" s="22" t="s">
        <v>83</v>
      </c>
      <c r="G2" s="22" t="s">
        <v>84</v>
      </c>
      <c r="H2" s="22" t="s">
        <v>85</v>
      </c>
      <c r="I2" s="22" t="s">
        <v>86</v>
      </c>
      <c r="J2" s="22" t="s">
        <v>87</v>
      </c>
      <c r="K2" s="22" t="s">
        <v>88</v>
      </c>
      <c r="L2" s="22" t="s">
        <v>89</v>
      </c>
      <c r="M2" s="22" t="s">
        <v>88</v>
      </c>
    </row>
    <row r="3" spans="1:13">
      <c r="A3" s="23" t="s">
        <v>49</v>
      </c>
      <c r="B3" s="23" t="s">
        <v>50</v>
      </c>
      <c r="C3" s="24" t="s">
        <v>60</v>
      </c>
      <c r="D3" s="25" t="s">
        <v>90</v>
      </c>
      <c r="E3" s="25" t="str">
        <f>UPPER(F3)</f>
        <v>PRODUCTO</v>
      </c>
      <c r="F3" s="25" t="s">
        <v>91</v>
      </c>
      <c r="G3" s="23" t="s">
        <v>56</v>
      </c>
      <c r="H3" s="23" t="s">
        <v>92</v>
      </c>
      <c r="I3" s="28" t="s">
        <v>93</v>
      </c>
      <c r="J3" s="23" t="s">
        <v>56</v>
      </c>
      <c r="K3" s="23" t="s">
        <v>94</v>
      </c>
      <c r="L3" s="23" t="s">
        <v>56</v>
      </c>
      <c r="M3" s="23" t="s">
        <v>56</v>
      </c>
    </row>
    <row r="4" spans="1:13">
      <c r="A4" s="23" t="s">
        <v>49</v>
      </c>
      <c r="B4" s="23" t="s">
        <v>50</v>
      </c>
      <c r="C4" s="24" t="s">
        <v>51</v>
      </c>
      <c r="D4" s="25" t="s">
        <v>95</v>
      </c>
      <c r="E4" s="25" t="str">
        <f t="shared" ref="E4:E67" si="0">UPPER(F4)</f>
        <v>COMERCIO</v>
      </c>
      <c r="F4" s="25" t="s">
        <v>96</v>
      </c>
      <c r="G4" s="23" t="s">
        <v>56</v>
      </c>
      <c r="H4" s="23" t="s">
        <v>92</v>
      </c>
      <c r="I4" s="28">
        <v>1000327</v>
      </c>
      <c r="J4" s="23" t="s">
        <v>56</v>
      </c>
      <c r="K4" s="23" t="s">
        <v>94</v>
      </c>
      <c r="L4" s="23" t="s">
        <v>56</v>
      </c>
      <c r="M4" s="23" t="s">
        <v>56</v>
      </c>
    </row>
    <row r="5" spans="1:13">
      <c r="A5" s="23" t="s">
        <v>49</v>
      </c>
      <c r="B5" s="23" t="s">
        <v>50</v>
      </c>
      <c r="C5" s="24" t="s">
        <v>51</v>
      </c>
      <c r="D5" s="25" t="s">
        <v>97</v>
      </c>
      <c r="E5" s="25" t="str">
        <f t="shared" si="0"/>
        <v>FECHA PROCESO</v>
      </c>
      <c r="F5" s="25" t="s">
        <v>98</v>
      </c>
      <c r="G5" s="23" t="s">
        <v>56</v>
      </c>
      <c r="H5" s="23" t="s">
        <v>92</v>
      </c>
      <c r="I5" s="28">
        <v>20181116</v>
      </c>
      <c r="J5" s="23" t="s">
        <v>56</v>
      </c>
      <c r="K5" s="23" t="s">
        <v>94</v>
      </c>
      <c r="L5" s="23" t="s">
        <v>56</v>
      </c>
      <c r="M5" s="23" t="s">
        <v>56</v>
      </c>
    </row>
    <row r="6" spans="1:13">
      <c r="A6" s="23" t="s">
        <v>49</v>
      </c>
      <c r="B6" s="23" t="s">
        <v>50</v>
      </c>
      <c r="C6" s="24" t="s">
        <v>51</v>
      </c>
      <c r="D6" s="25" t="s">
        <v>99</v>
      </c>
      <c r="E6" s="25" t="str">
        <f t="shared" si="0"/>
        <v>NRO DEV DIA</v>
      </c>
      <c r="F6" s="25" t="s">
        <v>100</v>
      </c>
      <c r="G6" s="23" t="s">
        <v>56</v>
      </c>
      <c r="H6" s="23" t="s">
        <v>92</v>
      </c>
      <c r="I6" s="28">
        <v>4</v>
      </c>
      <c r="J6" s="23" t="s">
        <v>56</v>
      </c>
      <c r="K6" s="23" t="s">
        <v>94</v>
      </c>
      <c r="L6" s="23" t="s">
        <v>56</v>
      </c>
      <c r="M6" s="23" t="s">
        <v>56</v>
      </c>
    </row>
    <row r="7" spans="1:13">
      <c r="A7" s="23" t="s">
        <v>49</v>
      </c>
      <c r="B7" s="23" t="s">
        <v>50</v>
      </c>
      <c r="C7" s="24" t="s">
        <v>51</v>
      </c>
      <c r="D7" s="25" t="s">
        <v>101</v>
      </c>
      <c r="E7" s="25" t="str">
        <f t="shared" si="0"/>
        <v>TRANSACCION</v>
      </c>
      <c r="F7" s="25" t="s">
        <v>102</v>
      </c>
      <c r="G7" s="23" t="s">
        <v>56</v>
      </c>
      <c r="H7" s="23" t="s">
        <v>92</v>
      </c>
      <c r="I7" s="28">
        <v>34</v>
      </c>
      <c r="J7" s="23" t="s">
        <v>56</v>
      </c>
      <c r="K7" s="23" t="s">
        <v>94</v>
      </c>
      <c r="L7" s="23" t="s">
        <v>56</v>
      </c>
      <c r="M7" s="23" t="s">
        <v>56</v>
      </c>
    </row>
    <row r="8" spans="1:13">
      <c r="A8" s="23" t="s">
        <v>49</v>
      </c>
      <c r="B8" s="23" t="s">
        <v>50</v>
      </c>
      <c r="C8" s="24" t="s">
        <v>51</v>
      </c>
      <c r="D8" s="25" t="s">
        <v>103</v>
      </c>
      <c r="E8" s="25" t="str">
        <f t="shared" si="0"/>
        <v>BCO PAGADOR</v>
      </c>
      <c r="F8" s="25" t="s">
        <v>104</v>
      </c>
      <c r="G8" s="23" t="s">
        <v>56</v>
      </c>
      <c r="H8" s="23" t="s">
        <v>92</v>
      </c>
      <c r="I8" s="28">
        <v>2</v>
      </c>
      <c r="J8" s="23" t="s">
        <v>56</v>
      </c>
      <c r="K8" s="23" t="s">
        <v>94</v>
      </c>
      <c r="L8" s="23" t="s">
        <v>56</v>
      </c>
      <c r="M8" s="23" t="s">
        <v>56</v>
      </c>
    </row>
    <row r="9" spans="1:13">
      <c r="A9" s="23" t="s">
        <v>49</v>
      </c>
      <c r="B9" s="23" t="s">
        <v>50</v>
      </c>
      <c r="C9" s="24" t="s">
        <v>51</v>
      </c>
      <c r="D9" s="25" t="s">
        <v>105</v>
      </c>
      <c r="E9" s="25" t="str">
        <f t="shared" si="0"/>
        <v>LOTE</v>
      </c>
      <c r="F9" s="25" t="s">
        <v>106</v>
      </c>
      <c r="G9" s="23" t="s">
        <v>56</v>
      </c>
      <c r="H9" s="23" t="s">
        <v>92</v>
      </c>
      <c r="I9" s="29">
        <v>240</v>
      </c>
      <c r="J9" s="23" t="s">
        <v>56</v>
      </c>
      <c r="K9" s="23" t="s">
        <v>94</v>
      </c>
      <c r="L9" s="23" t="s">
        <v>56</v>
      </c>
      <c r="M9" s="23" t="s">
        <v>56</v>
      </c>
    </row>
    <row r="10" spans="1:13">
      <c r="A10" s="23" t="s">
        <v>49</v>
      </c>
      <c r="B10" s="23" t="s">
        <v>50</v>
      </c>
      <c r="C10" s="24" t="s">
        <v>51</v>
      </c>
      <c r="D10" s="25" t="s">
        <v>107</v>
      </c>
      <c r="E10" s="25" t="str">
        <f t="shared" si="0"/>
        <v>AGEN PAGADOR</v>
      </c>
      <c r="F10" s="25" t="s">
        <v>108</v>
      </c>
      <c r="G10" s="23" t="s">
        <v>56</v>
      </c>
      <c r="H10" s="23" t="s">
        <v>92</v>
      </c>
      <c r="I10" s="28">
        <v>0</v>
      </c>
      <c r="J10" s="23" t="s">
        <v>56</v>
      </c>
      <c r="K10" s="23" t="s">
        <v>94</v>
      </c>
      <c r="L10" s="23" t="s">
        <v>56</v>
      </c>
      <c r="M10" s="23" t="s">
        <v>56</v>
      </c>
    </row>
    <row r="11" spans="1:13">
      <c r="A11" s="23" t="s">
        <v>49</v>
      </c>
      <c r="B11" s="23" t="s">
        <v>50</v>
      </c>
      <c r="C11" s="24" t="s">
        <v>51</v>
      </c>
      <c r="D11" s="25" t="s">
        <v>109</v>
      </c>
      <c r="E11" s="25" t="str">
        <f t="shared" si="0"/>
        <v>BCO RECEPTOR</v>
      </c>
      <c r="F11" s="25" t="s">
        <v>110</v>
      </c>
      <c r="G11" s="23" t="s">
        <v>56</v>
      </c>
      <c r="H11" s="23" t="s">
        <v>92</v>
      </c>
      <c r="I11" s="28">
        <v>99</v>
      </c>
      <c r="J11" s="23" t="s">
        <v>56</v>
      </c>
      <c r="K11" s="23" t="s">
        <v>94</v>
      </c>
      <c r="L11" s="23" t="s">
        <v>56</v>
      </c>
      <c r="M11" s="23" t="s">
        <v>56</v>
      </c>
    </row>
    <row r="12" spans="1:13">
      <c r="A12" s="23" t="s">
        <v>49</v>
      </c>
      <c r="B12" s="23" t="s">
        <v>50</v>
      </c>
      <c r="C12" s="24" t="s">
        <v>51</v>
      </c>
      <c r="D12" s="25" t="s">
        <v>111</v>
      </c>
      <c r="E12" s="25" t="str">
        <f t="shared" si="0"/>
        <v>BCO EMISOR</v>
      </c>
      <c r="F12" s="25" t="s">
        <v>112</v>
      </c>
      <c r="G12" s="23" t="s">
        <v>56</v>
      </c>
      <c r="H12" s="23" t="s">
        <v>92</v>
      </c>
      <c r="I12" s="28">
        <v>98</v>
      </c>
      <c r="J12" s="23" t="s">
        <v>56</v>
      </c>
      <c r="K12" s="23" t="s">
        <v>94</v>
      </c>
      <c r="L12" s="23" t="s">
        <v>56</v>
      </c>
      <c r="M12" s="23" t="s">
        <v>56</v>
      </c>
    </row>
    <row r="13" spans="1:13">
      <c r="A13" s="23" t="s">
        <v>49</v>
      </c>
      <c r="B13" s="23" t="s">
        <v>50</v>
      </c>
      <c r="C13" s="24" t="s">
        <v>51</v>
      </c>
      <c r="D13" s="25" t="s">
        <v>302</v>
      </c>
      <c r="E13" s="25" t="str">
        <f t="shared" si="0"/>
        <v>TARJETA ENMASCARADA</v>
      </c>
      <c r="F13" s="25" t="s">
        <v>303</v>
      </c>
      <c r="G13" s="23" t="s">
        <v>56</v>
      </c>
      <c r="H13" s="23" t="s">
        <v>92</v>
      </c>
      <c r="I13" s="29" t="s">
        <v>304</v>
      </c>
      <c r="J13" s="23" t="s">
        <v>56</v>
      </c>
      <c r="K13" s="23" t="s">
        <v>94</v>
      </c>
      <c r="L13" s="23" t="s">
        <v>56</v>
      </c>
      <c r="M13" s="23" t="s">
        <v>56</v>
      </c>
    </row>
    <row r="14" spans="1:13">
      <c r="A14" s="23" t="s">
        <v>49</v>
      </c>
      <c r="B14" s="23" t="s">
        <v>50</v>
      </c>
      <c r="C14" s="24" t="s">
        <v>51</v>
      </c>
      <c r="D14" s="25" t="s">
        <v>113</v>
      </c>
      <c r="E14" s="25" t="str">
        <f t="shared" si="0"/>
        <v>FECHA TRANSACC</v>
      </c>
      <c r="F14" s="25" t="s">
        <v>114</v>
      </c>
      <c r="G14" s="23" t="s">
        <v>56</v>
      </c>
      <c r="H14" s="23" t="s">
        <v>92</v>
      </c>
      <c r="I14" s="28">
        <v>20180918</v>
      </c>
      <c r="J14" s="23" t="s">
        <v>56</v>
      </c>
      <c r="K14" s="23" t="s">
        <v>94</v>
      </c>
      <c r="L14" s="23" t="s">
        <v>56</v>
      </c>
      <c r="M14" s="23" t="s">
        <v>56</v>
      </c>
    </row>
    <row r="15" spans="1:13">
      <c r="A15" s="23" t="s">
        <v>49</v>
      </c>
      <c r="B15" s="23" t="s">
        <v>50</v>
      </c>
      <c r="C15" s="24" t="s">
        <v>51</v>
      </c>
      <c r="D15" s="25" t="s">
        <v>115</v>
      </c>
      <c r="E15" s="25" t="str">
        <f t="shared" si="0"/>
        <v>NRO DOCUMENTO</v>
      </c>
      <c r="F15" s="25" t="s">
        <v>116</v>
      </c>
      <c r="G15" s="23" t="s">
        <v>56</v>
      </c>
      <c r="H15" s="23" t="s">
        <v>92</v>
      </c>
      <c r="I15" s="28">
        <v>114</v>
      </c>
      <c r="J15" s="23" t="s">
        <v>56</v>
      </c>
      <c r="K15" s="23" t="s">
        <v>94</v>
      </c>
      <c r="L15" s="23" t="s">
        <v>56</v>
      </c>
      <c r="M15" s="23" t="s">
        <v>56</v>
      </c>
    </row>
    <row r="16" spans="1:13">
      <c r="A16" s="23" t="s">
        <v>49</v>
      </c>
      <c r="B16" s="23" t="s">
        <v>50</v>
      </c>
      <c r="C16" s="24" t="s">
        <v>51</v>
      </c>
      <c r="D16" s="25" t="s">
        <v>117</v>
      </c>
      <c r="E16" s="25" t="str">
        <f t="shared" si="0"/>
        <v>AUTORIZACION</v>
      </c>
      <c r="F16" s="25" t="s">
        <v>118</v>
      </c>
      <c r="G16" s="23" t="s">
        <v>56</v>
      </c>
      <c r="H16" s="23" t="s">
        <v>92</v>
      </c>
      <c r="I16" s="28" t="s">
        <v>119</v>
      </c>
      <c r="J16" s="23" t="s">
        <v>56</v>
      </c>
      <c r="K16" s="23" t="s">
        <v>94</v>
      </c>
      <c r="L16" s="23" t="s">
        <v>56</v>
      </c>
      <c r="M16" s="23" t="s">
        <v>56</v>
      </c>
    </row>
    <row r="17" spans="1:13">
      <c r="A17" s="23" t="s">
        <v>49</v>
      </c>
      <c r="B17" s="23" t="s">
        <v>50</v>
      </c>
      <c r="C17" s="24" t="s">
        <v>51</v>
      </c>
      <c r="D17" s="25" t="s">
        <v>120</v>
      </c>
      <c r="E17" s="25" t="str">
        <f t="shared" si="0"/>
        <v>IMPORTE</v>
      </c>
      <c r="F17" s="25" t="s">
        <v>121</v>
      </c>
      <c r="G17" s="23" t="s">
        <v>56</v>
      </c>
      <c r="H17" s="23" t="s">
        <v>92</v>
      </c>
      <c r="I17" s="28">
        <v>1534</v>
      </c>
      <c r="J17" s="23" t="s">
        <v>56</v>
      </c>
      <c r="K17" s="23" t="s">
        <v>94</v>
      </c>
      <c r="L17" s="23" t="s">
        <v>56</v>
      </c>
      <c r="M17" s="23" t="s">
        <v>56</v>
      </c>
    </row>
    <row r="18" spans="1:13">
      <c r="A18" s="23" t="s">
        <v>49</v>
      </c>
      <c r="B18" s="23" t="s">
        <v>50</v>
      </c>
      <c r="C18" s="24" t="s">
        <v>51</v>
      </c>
      <c r="D18" s="25" t="s">
        <v>122</v>
      </c>
      <c r="E18" s="25" t="str">
        <f t="shared" si="0"/>
        <v>MONEDA</v>
      </c>
      <c r="F18" s="25" t="s">
        <v>123</v>
      </c>
      <c r="G18" s="23" t="s">
        <v>56</v>
      </c>
      <c r="H18" s="23" t="s">
        <v>92</v>
      </c>
      <c r="I18" s="28">
        <v>604</v>
      </c>
      <c r="J18" s="23" t="s">
        <v>56</v>
      </c>
      <c r="K18" s="23" t="s">
        <v>94</v>
      </c>
      <c r="L18" s="23" t="s">
        <v>56</v>
      </c>
      <c r="M18" s="23" t="s">
        <v>56</v>
      </c>
    </row>
    <row r="19" spans="1:13">
      <c r="A19" s="23" t="s">
        <v>49</v>
      </c>
      <c r="B19" s="23" t="s">
        <v>50</v>
      </c>
      <c r="C19" s="24" t="s">
        <v>51</v>
      </c>
      <c r="D19" s="25" t="s">
        <v>124</v>
      </c>
      <c r="E19" s="25" t="str">
        <f t="shared" si="0"/>
        <v>ABO/CAR COMISION</v>
      </c>
      <c r="F19" s="25" t="s">
        <v>125</v>
      </c>
      <c r="G19" s="23" t="s">
        <v>56</v>
      </c>
      <c r="H19" s="23" t="s">
        <v>92</v>
      </c>
      <c r="I19" s="28"/>
      <c r="J19" s="23" t="s">
        <v>56</v>
      </c>
      <c r="K19" s="23" t="s">
        <v>94</v>
      </c>
      <c r="L19" s="23" t="s">
        <v>56</v>
      </c>
      <c r="M19" s="23" t="s">
        <v>56</v>
      </c>
    </row>
    <row r="20" spans="1:13">
      <c r="A20" s="23" t="s">
        <v>49</v>
      </c>
      <c r="B20" s="23" t="s">
        <v>50</v>
      </c>
      <c r="C20" s="24" t="s">
        <v>51</v>
      </c>
      <c r="D20" s="27" t="s">
        <v>126</v>
      </c>
      <c r="E20" s="25" t="str">
        <f t="shared" si="0"/>
        <v>COMISION</v>
      </c>
      <c r="F20" s="25" t="s">
        <v>127</v>
      </c>
      <c r="G20" s="23" t="s">
        <v>94</v>
      </c>
      <c r="H20" s="23" t="s">
        <v>92</v>
      </c>
      <c r="I20" s="28">
        <v>61.36</v>
      </c>
      <c r="J20" s="23" t="s">
        <v>56</v>
      </c>
      <c r="K20" s="23" t="s">
        <v>94</v>
      </c>
      <c r="L20" s="23" t="s">
        <v>56</v>
      </c>
      <c r="M20" s="23" t="s">
        <v>56</v>
      </c>
    </row>
    <row r="21" spans="1:13">
      <c r="A21" s="23" t="s">
        <v>49</v>
      </c>
      <c r="B21" s="23" t="s">
        <v>50</v>
      </c>
      <c r="C21" s="24" t="s">
        <v>51</v>
      </c>
      <c r="D21" s="27" t="s">
        <v>128</v>
      </c>
      <c r="E21" s="25" t="str">
        <f t="shared" si="0"/>
        <v>COMISION PROCES</v>
      </c>
      <c r="F21" s="25" t="s">
        <v>129</v>
      </c>
      <c r="G21" s="23" t="s">
        <v>94</v>
      </c>
      <c r="H21" s="23" t="s">
        <v>92</v>
      </c>
      <c r="I21" s="28">
        <v>36.82</v>
      </c>
      <c r="J21" s="23" t="s">
        <v>56</v>
      </c>
      <c r="K21" s="23" t="s">
        <v>94</v>
      </c>
      <c r="L21" s="23" t="s">
        <v>56</v>
      </c>
      <c r="M21" s="23" t="s">
        <v>56</v>
      </c>
    </row>
    <row r="22" spans="1:13">
      <c r="A22" s="23" t="s">
        <v>49</v>
      </c>
      <c r="B22" s="23" t="s">
        <v>50</v>
      </c>
      <c r="C22" s="24" t="s">
        <v>51</v>
      </c>
      <c r="D22" s="25" t="s">
        <v>130</v>
      </c>
      <c r="E22" s="25" t="str">
        <f t="shared" si="0"/>
        <v>IMPUESTO PROCES</v>
      </c>
      <c r="F22" s="25" t="s">
        <v>131</v>
      </c>
      <c r="G22" s="23" t="s">
        <v>56</v>
      </c>
      <c r="H22" s="23" t="s">
        <v>92</v>
      </c>
      <c r="I22" s="28">
        <v>6.63</v>
      </c>
      <c r="J22" s="23" t="s">
        <v>56</v>
      </c>
      <c r="K22" s="23" t="s">
        <v>94</v>
      </c>
      <c r="L22" s="23" t="s">
        <v>56</v>
      </c>
      <c r="M22" s="23" t="s">
        <v>56</v>
      </c>
    </row>
    <row r="23" spans="1:13">
      <c r="A23" s="23" t="s">
        <v>49</v>
      </c>
      <c r="B23" s="23" t="s">
        <v>50</v>
      </c>
      <c r="C23" s="24" t="s">
        <v>51</v>
      </c>
      <c r="D23" s="25" t="s">
        <v>132</v>
      </c>
      <c r="E23" s="25" t="str">
        <f t="shared" si="0"/>
        <v>COMISION EMISOR</v>
      </c>
      <c r="F23" s="25" t="s">
        <v>133</v>
      </c>
      <c r="G23" s="23" t="s">
        <v>56</v>
      </c>
      <c r="H23" s="23" t="s">
        <v>92</v>
      </c>
      <c r="I23" s="28">
        <v>24.54</v>
      </c>
      <c r="J23" s="23" t="s">
        <v>56</v>
      </c>
      <c r="K23" s="23" t="s">
        <v>94</v>
      </c>
      <c r="L23" s="23" t="s">
        <v>56</v>
      </c>
      <c r="M23" s="23" t="s">
        <v>56</v>
      </c>
    </row>
    <row r="24" spans="1:13">
      <c r="A24" s="23" t="s">
        <v>49</v>
      </c>
      <c r="B24" s="23" t="s">
        <v>50</v>
      </c>
      <c r="C24" s="24" t="s">
        <v>51</v>
      </c>
      <c r="D24" s="25" t="s">
        <v>134</v>
      </c>
      <c r="E24" s="25" t="str">
        <f t="shared" si="0"/>
        <v>IMPUESTO EMISOR</v>
      </c>
      <c r="F24" s="25" t="s">
        <v>135</v>
      </c>
      <c r="G24" s="23" t="s">
        <v>56</v>
      </c>
      <c r="H24" s="23" t="s">
        <v>92</v>
      </c>
      <c r="I24" s="28">
        <v>0</v>
      </c>
      <c r="J24" s="23" t="s">
        <v>56</v>
      </c>
      <c r="K24" s="23" t="s">
        <v>94</v>
      </c>
      <c r="L24" s="23" t="s">
        <v>56</v>
      </c>
      <c r="M24" s="23" t="s">
        <v>56</v>
      </c>
    </row>
    <row r="25" spans="1:13">
      <c r="A25" s="23" t="s">
        <v>49</v>
      </c>
      <c r="B25" s="23" t="s">
        <v>50</v>
      </c>
      <c r="C25" s="24" t="s">
        <v>51</v>
      </c>
      <c r="D25" s="25" t="s">
        <v>136</v>
      </c>
      <c r="E25" s="25" t="str">
        <f t="shared" si="0"/>
        <v>MEDIO DE TRANSAC</v>
      </c>
      <c r="F25" s="25" t="s">
        <v>137</v>
      </c>
      <c r="G25" s="23" t="s">
        <v>56</v>
      </c>
      <c r="H25" s="23" t="s">
        <v>92</v>
      </c>
      <c r="I25" s="28" t="s">
        <v>138</v>
      </c>
      <c r="J25" s="23" t="s">
        <v>56</v>
      </c>
      <c r="K25" s="23" t="s">
        <v>94</v>
      </c>
      <c r="L25" s="23" t="s">
        <v>56</v>
      </c>
      <c r="M25" s="23" t="s">
        <v>56</v>
      </c>
    </row>
    <row r="26" spans="1:13">
      <c r="A26" s="23" t="s">
        <v>49</v>
      </c>
      <c r="B26" s="23" t="s">
        <v>50</v>
      </c>
      <c r="C26" s="24" t="s">
        <v>51</v>
      </c>
      <c r="D26" s="25" t="s">
        <v>139</v>
      </c>
      <c r="E26" s="25" t="str">
        <f t="shared" si="0"/>
        <v>FECHA DE LOTE</v>
      </c>
      <c r="F26" s="25" t="s">
        <v>140</v>
      </c>
      <c r="G26" s="23" t="s">
        <v>56</v>
      </c>
      <c r="H26" s="23" t="s">
        <v>92</v>
      </c>
      <c r="I26" s="28">
        <v>20181116</v>
      </c>
      <c r="J26" s="23" t="s">
        <v>56</v>
      </c>
      <c r="K26" s="23" t="s">
        <v>94</v>
      </c>
      <c r="L26" s="23" t="s">
        <v>56</v>
      </c>
      <c r="M26" s="23" t="s">
        <v>56</v>
      </c>
    </row>
    <row r="27" spans="1:13">
      <c r="A27" s="23" t="s">
        <v>49</v>
      </c>
      <c r="B27" s="23" t="s">
        <v>50</v>
      </c>
      <c r="C27" s="24" t="s">
        <v>51</v>
      </c>
      <c r="D27" s="25" t="s">
        <v>141</v>
      </c>
      <c r="E27" s="25" t="str">
        <f t="shared" si="0"/>
        <v>LOTE REFERENCIA</v>
      </c>
      <c r="F27" s="25" t="s">
        <v>142</v>
      </c>
      <c r="G27" s="23" t="s">
        <v>56</v>
      </c>
      <c r="H27" s="23" t="s">
        <v>92</v>
      </c>
      <c r="I27" s="28">
        <v>2</v>
      </c>
      <c r="J27" s="23" t="s">
        <v>56</v>
      </c>
      <c r="K27" s="23" t="s">
        <v>94</v>
      </c>
      <c r="L27" s="23" t="s">
        <v>56</v>
      </c>
      <c r="M27" s="23" t="s">
        <v>56</v>
      </c>
    </row>
    <row r="28" spans="1:13">
      <c r="A28" s="23" t="s">
        <v>49</v>
      </c>
      <c r="B28" s="23" t="s">
        <v>50</v>
      </c>
      <c r="C28" s="24" t="s">
        <v>51</v>
      </c>
      <c r="D28" s="25" t="s">
        <v>143</v>
      </c>
      <c r="E28" s="25" t="str">
        <f t="shared" si="0"/>
        <v>USUARIO</v>
      </c>
      <c r="F28" s="25" t="s">
        <v>144</v>
      </c>
      <c r="G28" s="23" t="s">
        <v>56</v>
      </c>
      <c r="H28" s="23" t="s">
        <v>92</v>
      </c>
      <c r="I28" s="28">
        <v>60596155</v>
      </c>
      <c r="J28" s="23" t="s">
        <v>56</v>
      </c>
      <c r="K28" s="23" t="s">
        <v>94</v>
      </c>
      <c r="L28" s="23" t="s">
        <v>56</v>
      </c>
      <c r="M28" s="23" t="s">
        <v>56</v>
      </c>
    </row>
    <row r="29" spans="1:13">
      <c r="A29" s="23" t="s">
        <v>49</v>
      </c>
      <c r="B29" s="23" t="s">
        <v>50</v>
      </c>
      <c r="C29" s="24" t="s">
        <v>51</v>
      </c>
      <c r="D29" s="25" t="s">
        <v>145</v>
      </c>
      <c r="E29" s="25" t="str">
        <f t="shared" si="0"/>
        <v>TERMINAL</v>
      </c>
      <c r="F29" s="25" t="s">
        <v>146</v>
      </c>
      <c r="G29" s="23" t="s">
        <v>56</v>
      </c>
      <c r="H29" s="23" t="s">
        <v>92</v>
      </c>
      <c r="I29" s="28" t="s">
        <v>147</v>
      </c>
      <c r="J29" s="23" t="s">
        <v>56</v>
      </c>
      <c r="K29" s="23" t="s">
        <v>94</v>
      </c>
      <c r="L29" s="23" t="s">
        <v>56</v>
      </c>
      <c r="M29" s="23" t="s">
        <v>56</v>
      </c>
    </row>
    <row r="30" spans="1:13">
      <c r="A30" s="23" t="s">
        <v>49</v>
      </c>
      <c r="B30" s="23" t="s">
        <v>50</v>
      </c>
      <c r="C30" s="24" t="s">
        <v>51</v>
      </c>
      <c r="D30" s="25" t="s">
        <v>148</v>
      </c>
      <c r="E30" s="25" t="str">
        <f t="shared" si="0"/>
        <v>APROBADO POR</v>
      </c>
      <c r="F30" s="25" t="s">
        <v>149</v>
      </c>
      <c r="G30" s="23" t="s">
        <v>56</v>
      </c>
      <c r="H30" s="23" t="s">
        <v>92</v>
      </c>
      <c r="I30" s="28" t="s">
        <v>150</v>
      </c>
      <c r="J30" s="23" t="s">
        <v>56</v>
      </c>
      <c r="K30" s="23" t="s">
        <v>94</v>
      </c>
      <c r="L30" s="23" t="s">
        <v>56</v>
      </c>
      <c r="M30" s="23" t="s">
        <v>56</v>
      </c>
    </row>
    <row r="31" spans="1:13">
      <c r="A31" s="23" t="s">
        <v>49</v>
      </c>
      <c r="B31" s="23" t="s">
        <v>50</v>
      </c>
      <c r="C31" s="24" t="s">
        <v>51</v>
      </c>
      <c r="D31" s="25" t="s">
        <v>151</v>
      </c>
      <c r="E31" s="25" t="str">
        <f t="shared" si="0"/>
        <v>FECHA PENDIENTE</v>
      </c>
      <c r="F31" s="25" t="s">
        <v>152</v>
      </c>
      <c r="G31" s="23" t="s">
        <v>56</v>
      </c>
      <c r="H31" s="23" t="s">
        <v>92</v>
      </c>
      <c r="I31" s="28">
        <v>0</v>
      </c>
      <c r="J31" s="23" t="s">
        <v>56</v>
      </c>
      <c r="K31" s="23" t="s">
        <v>94</v>
      </c>
      <c r="L31" s="23" t="s">
        <v>56</v>
      </c>
      <c r="M31" s="23" t="s">
        <v>56</v>
      </c>
    </row>
    <row r="32" spans="1:13">
      <c r="A32" s="23" t="s">
        <v>49</v>
      </c>
      <c r="B32" s="23" t="s">
        <v>50</v>
      </c>
      <c r="C32" s="24" t="s">
        <v>51</v>
      </c>
      <c r="D32" s="25" t="s">
        <v>153</v>
      </c>
      <c r="E32" s="25" t="str">
        <f t="shared" si="0"/>
        <v>ICA EMISOR</v>
      </c>
      <c r="F32" s="25" t="s">
        <v>154</v>
      </c>
      <c r="G32" s="23" t="s">
        <v>56</v>
      </c>
      <c r="H32" s="23" t="s">
        <v>92</v>
      </c>
      <c r="I32" s="28">
        <v>5621</v>
      </c>
      <c r="J32" s="23" t="s">
        <v>56</v>
      </c>
      <c r="K32" s="23" t="s">
        <v>94</v>
      </c>
      <c r="L32" s="23" t="s">
        <v>56</v>
      </c>
      <c r="M32" s="23" t="s">
        <v>56</v>
      </c>
    </row>
    <row r="33" spans="1:13">
      <c r="A33" s="23" t="s">
        <v>49</v>
      </c>
      <c r="B33" s="23" t="s">
        <v>50</v>
      </c>
      <c r="C33" s="24" t="s">
        <v>51</v>
      </c>
      <c r="D33" s="25" t="s">
        <v>155</v>
      </c>
      <c r="E33" s="25" t="str">
        <f t="shared" si="0"/>
        <v>ICA ADQUIR</v>
      </c>
      <c r="F33" s="25" t="s">
        <v>156</v>
      </c>
      <c r="G33" s="23" t="s">
        <v>56</v>
      </c>
      <c r="H33" s="23" t="s">
        <v>92</v>
      </c>
      <c r="I33" s="28">
        <v>7963</v>
      </c>
      <c r="J33" s="23" t="s">
        <v>56</v>
      </c>
      <c r="K33" s="23" t="s">
        <v>94</v>
      </c>
      <c r="L33" s="23" t="s">
        <v>56</v>
      </c>
      <c r="M33" s="23" t="s">
        <v>56</v>
      </c>
    </row>
    <row r="34" spans="1:13">
      <c r="A34" s="23" t="s">
        <v>49</v>
      </c>
      <c r="B34" s="23" t="s">
        <v>50</v>
      </c>
      <c r="C34" s="24" t="s">
        <v>51</v>
      </c>
      <c r="D34" s="25" t="s">
        <v>157</v>
      </c>
      <c r="E34" s="25" t="str">
        <f t="shared" si="0"/>
        <v>FECHA JULIANA</v>
      </c>
      <c r="F34" s="25" t="s">
        <v>158</v>
      </c>
      <c r="G34" s="23" t="s">
        <v>56</v>
      </c>
      <c r="H34" s="23" t="s">
        <v>92</v>
      </c>
      <c r="I34" s="28">
        <v>8320</v>
      </c>
      <c r="J34" s="23" t="s">
        <v>56</v>
      </c>
      <c r="K34" s="23" t="s">
        <v>94</v>
      </c>
      <c r="L34" s="23" t="s">
        <v>56</v>
      </c>
      <c r="M34" s="23" t="s">
        <v>56</v>
      </c>
    </row>
    <row r="35" spans="1:13">
      <c r="A35" s="23" t="s">
        <v>49</v>
      </c>
      <c r="B35" s="23" t="s">
        <v>50</v>
      </c>
      <c r="C35" s="24" t="s">
        <v>51</v>
      </c>
      <c r="D35" s="25" t="s">
        <v>159</v>
      </c>
      <c r="E35" s="25" t="str">
        <f t="shared" si="0"/>
        <v>MCC</v>
      </c>
      <c r="F35" s="25" t="s">
        <v>160</v>
      </c>
      <c r="G35" s="23" t="s">
        <v>56</v>
      </c>
      <c r="H35" s="23" t="s">
        <v>92</v>
      </c>
      <c r="I35" s="28">
        <v>8042</v>
      </c>
      <c r="J35" s="23" t="s">
        <v>56</v>
      </c>
      <c r="K35" s="23" t="s">
        <v>94</v>
      </c>
      <c r="L35" s="23" t="s">
        <v>56</v>
      </c>
      <c r="M35" s="23" t="s">
        <v>56</v>
      </c>
    </row>
    <row r="36" spans="1:13">
      <c r="A36" s="23" t="s">
        <v>49</v>
      </c>
      <c r="B36" s="23" t="s">
        <v>50</v>
      </c>
      <c r="C36" s="24" t="s">
        <v>51</v>
      </c>
      <c r="D36" s="25" t="s">
        <v>161</v>
      </c>
      <c r="E36" s="25" t="str">
        <f t="shared" si="0"/>
        <v>TIPO CAMBIO</v>
      </c>
      <c r="F36" s="25" t="s">
        <v>162</v>
      </c>
      <c r="G36" s="23" t="s">
        <v>56</v>
      </c>
      <c r="H36" s="23" t="s">
        <v>92</v>
      </c>
      <c r="I36" s="28">
        <v>0</v>
      </c>
      <c r="J36" s="23" t="s">
        <v>56</v>
      </c>
      <c r="K36" s="23" t="s">
        <v>94</v>
      </c>
      <c r="L36" s="23" t="s">
        <v>56</v>
      </c>
      <c r="M36" s="23" t="s">
        <v>56</v>
      </c>
    </row>
    <row r="37" spans="1:13">
      <c r="A37" s="23" t="s">
        <v>49</v>
      </c>
      <c r="B37" s="23" t="s">
        <v>50</v>
      </c>
      <c r="C37" s="24" t="s">
        <v>51</v>
      </c>
      <c r="D37" s="25" t="s">
        <v>163</v>
      </c>
      <c r="E37" s="25" t="str">
        <f t="shared" si="0"/>
        <v>IMPORTE S/.</v>
      </c>
      <c r="F37" s="25" t="s">
        <v>164</v>
      </c>
      <c r="G37" s="23" t="s">
        <v>56</v>
      </c>
      <c r="H37" s="23" t="s">
        <v>92</v>
      </c>
      <c r="I37" s="28">
        <v>1534</v>
      </c>
      <c r="J37" s="23" t="s">
        <v>56</v>
      </c>
      <c r="K37" s="23" t="s">
        <v>94</v>
      </c>
      <c r="L37" s="23" t="s">
        <v>56</v>
      </c>
      <c r="M37" s="23" t="s">
        <v>56</v>
      </c>
    </row>
    <row r="38" spans="1:13">
      <c r="A38" s="23" t="s">
        <v>49</v>
      </c>
      <c r="B38" s="23" t="s">
        <v>50</v>
      </c>
      <c r="C38" s="24" t="s">
        <v>51</v>
      </c>
      <c r="D38" s="25" t="s">
        <v>165</v>
      </c>
      <c r="E38" s="25" t="str">
        <f t="shared" si="0"/>
        <v>NETO 1</v>
      </c>
      <c r="F38" s="25" t="s">
        <v>166</v>
      </c>
      <c r="G38" s="23" t="s">
        <v>56</v>
      </c>
      <c r="H38" s="23" t="s">
        <v>92</v>
      </c>
      <c r="I38" s="28">
        <v>1466.01</v>
      </c>
      <c r="J38" s="23" t="s">
        <v>56</v>
      </c>
      <c r="K38" s="23" t="s">
        <v>94</v>
      </c>
      <c r="L38" s="23" t="s">
        <v>56</v>
      </c>
      <c r="M38" s="23" t="s">
        <v>56</v>
      </c>
    </row>
    <row r="39" spans="1:13">
      <c r="A39" s="23" t="s">
        <v>49</v>
      </c>
      <c r="B39" s="23" t="s">
        <v>50</v>
      </c>
      <c r="C39" s="24" t="s">
        <v>51</v>
      </c>
      <c r="D39" s="25" t="s">
        <v>167</v>
      </c>
      <c r="E39" s="25" t="str">
        <f t="shared" si="0"/>
        <v>IMPO DEVOLUC PAGADO</v>
      </c>
      <c r="F39" s="25" t="s">
        <v>168</v>
      </c>
      <c r="G39" s="23" t="s">
        <v>56</v>
      </c>
      <c r="H39" s="23" t="s">
        <v>92</v>
      </c>
      <c r="I39" s="28">
        <v>1389.43</v>
      </c>
      <c r="J39" s="23" t="s">
        <v>56</v>
      </c>
      <c r="K39" s="23" t="s">
        <v>94</v>
      </c>
      <c r="L39" s="23" t="s">
        <v>56</v>
      </c>
      <c r="M39" s="23" t="s">
        <v>56</v>
      </c>
    </row>
    <row r="40" spans="1:13">
      <c r="A40" s="23" t="s">
        <v>49</v>
      </c>
      <c r="B40" s="23" t="s">
        <v>50</v>
      </c>
      <c r="C40" s="24" t="s">
        <v>51</v>
      </c>
      <c r="D40" s="25" t="s">
        <v>169</v>
      </c>
      <c r="E40" s="25" t="str">
        <f t="shared" si="0"/>
        <v>NETO 2</v>
      </c>
      <c r="F40" s="25" t="s">
        <v>170</v>
      </c>
      <c r="G40" s="23" t="s">
        <v>56</v>
      </c>
      <c r="H40" s="23" t="s">
        <v>92</v>
      </c>
      <c r="I40" s="28">
        <v>76.58</v>
      </c>
      <c r="J40" s="23" t="s">
        <v>56</v>
      </c>
      <c r="K40" s="23" t="s">
        <v>94</v>
      </c>
      <c r="L40" s="23" t="s">
        <v>56</v>
      </c>
      <c r="M40" s="23" t="s">
        <v>56</v>
      </c>
    </row>
    <row r="41" spans="1:13">
      <c r="A41" s="23" t="s">
        <v>49</v>
      </c>
      <c r="B41" s="23" t="s">
        <v>50</v>
      </c>
      <c r="C41" s="24" t="s">
        <v>51</v>
      </c>
      <c r="D41" s="25" t="s">
        <v>171</v>
      </c>
      <c r="E41" s="25" t="str">
        <f t="shared" si="0"/>
        <v>FECHA 1ER PAGO</v>
      </c>
      <c r="F41" s="25" t="s">
        <v>172</v>
      </c>
      <c r="G41" s="23" t="s">
        <v>56</v>
      </c>
      <c r="H41" s="23" t="s">
        <v>92</v>
      </c>
      <c r="I41" s="28">
        <v>20181127</v>
      </c>
      <c r="J41" s="23" t="s">
        <v>56</v>
      </c>
      <c r="K41" s="23" t="s">
        <v>94</v>
      </c>
      <c r="L41" s="23" t="s">
        <v>56</v>
      </c>
      <c r="M41" s="23" t="s">
        <v>56</v>
      </c>
    </row>
    <row r="42" spans="1:13">
      <c r="A42" s="23" t="s">
        <v>49</v>
      </c>
      <c r="B42" s="23" t="s">
        <v>50</v>
      </c>
      <c r="C42" s="24" t="s">
        <v>51</v>
      </c>
      <c r="D42" s="25" t="s">
        <v>173</v>
      </c>
      <c r="E42" s="25" t="str">
        <f t="shared" si="0"/>
        <v>FECHA CANCELACION</v>
      </c>
      <c r="F42" s="25" t="s">
        <v>174</v>
      </c>
      <c r="G42" s="23" t="s">
        <v>56</v>
      </c>
      <c r="H42" s="23" t="s">
        <v>92</v>
      </c>
      <c r="I42" s="28">
        <v>0</v>
      </c>
      <c r="J42" s="23" t="s">
        <v>56</v>
      </c>
      <c r="K42" s="23" t="s">
        <v>94</v>
      </c>
      <c r="L42" s="23" t="s">
        <v>56</v>
      </c>
      <c r="M42" s="23" t="s">
        <v>56</v>
      </c>
    </row>
    <row r="43" spans="1:13">
      <c r="A43" s="23" t="s">
        <v>49</v>
      </c>
      <c r="B43" s="23" t="s">
        <v>50</v>
      </c>
      <c r="C43" s="24" t="s">
        <v>51</v>
      </c>
      <c r="D43" s="25" t="s">
        <v>175</v>
      </c>
      <c r="E43" s="25" t="str">
        <f t="shared" si="0"/>
        <v>TIENDA</v>
      </c>
      <c r="F43" s="25" t="s">
        <v>176</v>
      </c>
      <c r="G43" s="23" t="s">
        <v>56</v>
      </c>
      <c r="H43" s="23" t="s">
        <v>92</v>
      </c>
      <c r="I43" s="28">
        <v>1000327</v>
      </c>
      <c r="J43" s="23" t="s">
        <v>56</v>
      </c>
      <c r="K43" s="23" t="s">
        <v>94</v>
      </c>
      <c r="L43" s="23" t="s">
        <v>56</v>
      </c>
      <c r="M43" s="23" t="s">
        <v>56</v>
      </c>
    </row>
    <row r="44" spans="1:13">
      <c r="A44" s="23" t="s">
        <v>49</v>
      </c>
      <c r="B44" s="23" t="s">
        <v>50</v>
      </c>
      <c r="C44" s="24" t="s">
        <v>51</v>
      </c>
      <c r="D44" s="25" t="s">
        <v>177</v>
      </c>
      <c r="E44" s="25" t="str">
        <f t="shared" si="0"/>
        <v>SERV.PROCESAMIE</v>
      </c>
      <c r="F44" s="25" t="s">
        <v>178</v>
      </c>
      <c r="G44" s="23" t="s">
        <v>56</v>
      </c>
      <c r="H44" s="23" t="s">
        <v>92</v>
      </c>
      <c r="I44" s="28">
        <v>0</v>
      </c>
      <c r="J44" s="23" t="s">
        <v>56</v>
      </c>
      <c r="K44" s="23" t="s">
        <v>94</v>
      </c>
      <c r="L44" s="23" t="s">
        <v>56</v>
      </c>
      <c r="M44" s="23" t="s">
        <v>56</v>
      </c>
    </row>
    <row r="45" spans="1:13">
      <c r="A45" s="23" t="s">
        <v>49</v>
      </c>
      <c r="B45" s="23" t="s">
        <v>50</v>
      </c>
      <c r="C45" s="24" t="s">
        <v>51</v>
      </c>
      <c r="D45" s="25" t="s">
        <v>179</v>
      </c>
      <c r="E45" s="25" t="str">
        <f t="shared" si="0"/>
        <v>IMPUESTO SERV.P</v>
      </c>
      <c r="F45" s="25" t="s">
        <v>180</v>
      </c>
      <c r="G45" s="23" t="s">
        <v>56</v>
      </c>
      <c r="H45" s="23" t="s">
        <v>92</v>
      </c>
      <c r="I45" s="28">
        <v>0</v>
      </c>
      <c r="J45" s="23" t="s">
        <v>56</v>
      </c>
      <c r="K45" s="23" t="s">
        <v>94</v>
      </c>
      <c r="L45" s="23" t="s">
        <v>56</v>
      </c>
      <c r="M45" s="23" t="s">
        <v>56</v>
      </c>
    </row>
    <row r="46" spans="1:13">
      <c r="A46" s="23" t="s">
        <v>49</v>
      </c>
      <c r="B46" s="23" t="s">
        <v>50</v>
      </c>
      <c r="C46" s="24" t="s">
        <v>51</v>
      </c>
      <c r="D46" s="27" t="s">
        <v>181</v>
      </c>
      <c r="E46" s="25" t="str">
        <f t="shared" si="0"/>
        <v>RUC</v>
      </c>
      <c r="F46" s="25" t="s">
        <v>182</v>
      </c>
      <c r="G46" s="23" t="s">
        <v>94</v>
      </c>
      <c r="H46" s="23" t="s">
        <v>92</v>
      </c>
      <c r="I46" s="28">
        <v>20546203736</v>
      </c>
      <c r="J46" s="23" t="s">
        <v>56</v>
      </c>
      <c r="K46" s="23" t="s">
        <v>94</v>
      </c>
      <c r="L46" s="23" t="s">
        <v>56</v>
      </c>
      <c r="M46" s="23" t="s">
        <v>56</v>
      </c>
    </row>
    <row r="47" spans="1:13">
      <c r="A47" s="23" t="s">
        <v>49</v>
      </c>
      <c r="B47" s="23" t="s">
        <v>50</v>
      </c>
      <c r="C47" s="24" t="s">
        <v>51</v>
      </c>
      <c r="D47" s="25" t="s">
        <v>183</v>
      </c>
      <c r="E47" s="25" t="str">
        <f t="shared" si="0"/>
        <v>PRIORIDAD</v>
      </c>
      <c r="F47" s="25" t="s">
        <v>184</v>
      </c>
      <c r="G47" s="23" t="s">
        <v>56</v>
      </c>
      <c r="H47" s="23" t="s">
        <v>92</v>
      </c>
      <c r="I47" s="28">
        <v>12</v>
      </c>
      <c r="J47" s="23" t="s">
        <v>56</v>
      </c>
      <c r="K47" s="23" t="s">
        <v>94</v>
      </c>
      <c r="L47" s="23" t="s">
        <v>56</v>
      </c>
      <c r="M47" s="23" t="s">
        <v>56</v>
      </c>
    </row>
    <row r="48" spans="1:13">
      <c r="A48" s="23" t="s">
        <v>49</v>
      </c>
      <c r="B48" s="23" t="s">
        <v>50</v>
      </c>
      <c r="C48" s="24" t="s">
        <v>51</v>
      </c>
      <c r="D48" s="25" t="s">
        <v>185</v>
      </c>
      <c r="E48" s="25" t="str">
        <f t="shared" si="0"/>
        <v>SITUACION (' ':ACTIVO, C:CANCELADA, K:CASTIGADA, I:CASTIGADA INCOBRABLE, 'G':EN GESTION, D:CANCELADA-CASTIGADA)</v>
      </c>
      <c r="F48" s="25" t="s">
        <v>186</v>
      </c>
      <c r="G48" s="23" t="s">
        <v>56</v>
      </c>
      <c r="H48" s="23" t="s">
        <v>92</v>
      </c>
      <c r="I48" s="28" t="s">
        <v>187</v>
      </c>
      <c r="J48" s="23" t="s">
        <v>56</v>
      </c>
      <c r="K48" s="23" t="s">
        <v>94</v>
      </c>
      <c r="L48" s="23" t="s">
        <v>56</v>
      </c>
      <c r="M48" s="23" t="s">
        <v>56</v>
      </c>
    </row>
    <row r="49" spans="1:13">
      <c r="A49" s="23" t="s">
        <v>49</v>
      </c>
      <c r="B49" s="23" t="s">
        <v>50</v>
      </c>
      <c r="C49" s="24" t="s">
        <v>51</v>
      </c>
      <c r="D49" s="25" t="s">
        <v>188</v>
      </c>
      <c r="E49" s="25" t="str">
        <f t="shared" si="0"/>
        <v>USER SITUACION</v>
      </c>
      <c r="F49" s="25" t="s">
        <v>189</v>
      </c>
      <c r="G49" s="23" t="s">
        <v>56</v>
      </c>
      <c r="H49" s="23" t="s">
        <v>92</v>
      </c>
      <c r="I49" s="28"/>
      <c r="J49" s="23" t="s">
        <v>56</v>
      </c>
      <c r="K49" s="23" t="s">
        <v>94</v>
      </c>
      <c r="L49" s="23" t="s">
        <v>56</v>
      </c>
      <c r="M49" s="23" t="s">
        <v>56</v>
      </c>
    </row>
    <row r="50" spans="1:13">
      <c r="A50" s="23" t="s">
        <v>49</v>
      </c>
      <c r="B50" s="23" t="s">
        <v>50</v>
      </c>
      <c r="C50" s="24" t="s">
        <v>51</v>
      </c>
      <c r="D50" s="25" t="s">
        <v>190</v>
      </c>
      <c r="E50" s="25" t="str">
        <f t="shared" si="0"/>
        <v>FECH SITUACION</v>
      </c>
      <c r="F50" s="25" t="s">
        <v>191</v>
      </c>
      <c r="G50" s="23" t="s">
        <v>56</v>
      </c>
      <c r="H50" s="23" t="s">
        <v>92</v>
      </c>
      <c r="I50" s="28">
        <v>0</v>
      </c>
      <c r="J50" s="23" t="s">
        <v>56</v>
      </c>
      <c r="K50" s="23" t="s">
        <v>94</v>
      </c>
      <c r="L50" s="23" t="s">
        <v>56</v>
      </c>
      <c r="M50" s="23" t="s">
        <v>56</v>
      </c>
    </row>
    <row r="51" spans="1:13">
      <c r="A51" s="23" t="s">
        <v>49</v>
      </c>
      <c r="B51" s="23" t="s">
        <v>50</v>
      </c>
      <c r="C51" s="24" t="s">
        <v>51</v>
      </c>
      <c r="D51" s="25" t="s">
        <v>192</v>
      </c>
      <c r="E51" s="25" t="str">
        <f t="shared" si="0"/>
        <v>INDICA DEVOLUCION</v>
      </c>
      <c r="F51" s="25" t="s">
        <v>193</v>
      </c>
      <c r="G51" s="23" t="s">
        <v>56</v>
      </c>
      <c r="H51" s="23" t="s">
        <v>92</v>
      </c>
      <c r="I51" s="28" t="s">
        <v>194</v>
      </c>
      <c r="J51" s="23" t="s">
        <v>56</v>
      </c>
      <c r="K51" s="23" t="s">
        <v>94</v>
      </c>
      <c r="L51" s="23" t="s">
        <v>56</v>
      </c>
      <c r="M51" s="23" t="s">
        <v>56</v>
      </c>
    </row>
    <row r="52" spans="1:13">
      <c r="A52" s="23" t="s">
        <v>49</v>
      </c>
      <c r="B52" s="23" t="s">
        <v>50</v>
      </c>
      <c r="C52" s="24" t="s">
        <v>51</v>
      </c>
      <c r="D52" s="25" t="s">
        <v>195</v>
      </c>
      <c r="E52" s="25" t="str">
        <f t="shared" si="0"/>
        <v>ACQUIRER REFE NBR</v>
      </c>
      <c r="F52" s="25" t="s">
        <v>196</v>
      </c>
      <c r="G52" s="23" t="s">
        <v>56</v>
      </c>
      <c r="H52" s="23" t="s">
        <v>92</v>
      </c>
      <c r="I52" s="28">
        <v>7.53015082640002E+22</v>
      </c>
      <c r="J52" s="23" t="s">
        <v>56</v>
      </c>
      <c r="K52" s="23" t="s">
        <v>94</v>
      </c>
      <c r="L52" s="23" t="s">
        <v>56</v>
      </c>
      <c r="M52" s="23" t="s">
        <v>56</v>
      </c>
    </row>
    <row r="53" spans="1:13">
      <c r="A53" s="23" t="s">
        <v>49</v>
      </c>
      <c r="B53" s="23" t="s">
        <v>50</v>
      </c>
      <c r="C53" s="24" t="s">
        <v>51</v>
      </c>
      <c r="D53" s="25" t="s">
        <v>197</v>
      </c>
      <c r="E53" s="25" t="str">
        <f t="shared" si="0"/>
        <v>MOTIVO CARTA</v>
      </c>
      <c r="F53" s="25" t="s">
        <v>198</v>
      </c>
      <c r="G53" s="23" t="s">
        <v>56</v>
      </c>
      <c r="H53" s="23" t="s">
        <v>92</v>
      </c>
      <c r="I53" s="28"/>
      <c r="J53" s="23" t="s">
        <v>56</v>
      </c>
      <c r="K53" s="23" t="s">
        <v>94</v>
      </c>
      <c r="L53" s="23" t="s">
        <v>56</v>
      </c>
      <c r="M53" s="23" t="s">
        <v>56</v>
      </c>
    </row>
    <row r="54" spans="1:13">
      <c r="A54" s="23" t="s">
        <v>49</v>
      </c>
      <c r="B54" s="23" t="s">
        <v>50</v>
      </c>
      <c r="C54" s="24" t="s">
        <v>51</v>
      </c>
      <c r="D54" s="25" t="s">
        <v>199</v>
      </c>
      <c r="E54" s="25" t="str">
        <f t="shared" si="0"/>
        <v>TIPO:FAC,N/C</v>
      </c>
      <c r="F54" s="25" t="s">
        <v>200</v>
      </c>
      <c r="G54" s="23" t="s">
        <v>56</v>
      </c>
      <c r="H54" s="23" t="s">
        <v>92</v>
      </c>
      <c r="I54" s="28" t="s">
        <v>201</v>
      </c>
      <c r="J54" s="23" t="s">
        <v>56</v>
      </c>
      <c r="K54" s="23" t="s">
        <v>94</v>
      </c>
      <c r="L54" s="23" t="s">
        <v>56</v>
      </c>
      <c r="M54" s="23" t="s">
        <v>56</v>
      </c>
    </row>
    <row r="55" spans="1:13">
      <c r="A55" s="23" t="s">
        <v>49</v>
      </c>
      <c r="B55" s="23" t="s">
        <v>50</v>
      </c>
      <c r="C55" s="24" t="s">
        <v>51</v>
      </c>
      <c r="D55" s="25" t="s">
        <v>202</v>
      </c>
      <c r="E55" s="25" t="str">
        <f t="shared" si="0"/>
        <v>NRO COMPROB PAGO</v>
      </c>
      <c r="F55" s="25" t="s">
        <v>203</v>
      </c>
      <c r="G55" s="23" t="s">
        <v>56</v>
      </c>
      <c r="H55" s="23" t="s">
        <v>92</v>
      </c>
      <c r="I55" s="28">
        <v>20250438</v>
      </c>
      <c r="J55" s="23" t="s">
        <v>56</v>
      </c>
      <c r="K55" s="23" t="s">
        <v>94</v>
      </c>
      <c r="L55" s="23" t="s">
        <v>56</v>
      </c>
      <c r="M55" s="23" t="s">
        <v>56</v>
      </c>
    </row>
    <row r="56" spans="1:13">
      <c r="A56" s="23" t="s">
        <v>49</v>
      </c>
      <c r="B56" s="23" t="s">
        <v>50</v>
      </c>
      <c r="C56" s="24" t="s">
        <v>51</v>
      </c>
      <c r="D56" s="25" t="s">
        <v>204</v>
      </c>
      <c r="E56" s="25" t="str">
        <f t="shared" si="0"/>
        <v>FEC APERTURA</v>
      </c>
      <c r="F56" s="25" t="s">
        <v>205</v>
      </c>
      <c r="G56" s="23" t="s">
        <v>56</v>
      </c>
      <c r="H56" s="23" t="s">
        <v>92</v>
      </c>
      <c r="I56" s="28">
        <v>20180524</v>
      </c>
      <c r="J56" s="23" t="s">
        <v>56</v>
      </c>
      <c r="K56" s="23" t="s">
        <v>94</v>
      </c>
      <c r="L56" s="23" t="s">
        <v>56</v>
      </c>
      <c r="M56" s="23" t="s">
        <v>56</v>
      </c>
    </row>
    <row r="57" spans="1:13">
      <c r="A57" s="23" t="s">
        <v>49</v>
      </c>
      <c r="B57" s="23" t="s">
        <v>50</v>
      </c>
      <c r="C57" s="24" t="s">
        <v>51</v>
      </c>
      <c r="D57" s="25" t="s">
        <v>206</v>
      </c>
      <c r="E57" s="25" t="str">
        <f t="shared" si="0"/>
        <v>EJECUTIVO</v>
      </c>
      <c r="F57" s="25" t="s">
        <v>207</v>
      </c>
      <c r="G57" s="23" t="s">
        <v>56</v>
      </c>
      <c r="H57" s="23" t="s">
        <v>92</v>
      </c>
      <c r="I57" s="28">
        <v>0</v>
      </c>
      <c r="J57" s="23" t="s">
        <v>56</v>
      </c>
      <c r="K57" s="23" t="s">
        <v>94</v>
      </c>
      <c r="L57" s="23" t="s">
        <v>56</v>
      </c>
      <c r="M57" s="23" t="s">
        <v>56</v>
      </c>
    </row>
    <row r="58" spans="1:13">
      <c r="A58" s="23" t="s">
        <v>49</v>
      </c>
      <c r="B58" s="23" t="s">
        <v>50</v>
      </c>
      <c r="C58" s="24" t="s">
        <v>51</v>
      </c>
      <c r="D58" s="25" t="s">
        <v>208</v>
      </c>
      <c r="E58" s="25" t="str">
        <f t="shared" si="0"/>
        <v>PROMOTOR</v>
      </c>
      <c r="F58" s="25" t="s">
        <v>209</v>
      </c>
      <c r="G58" s="23" t="s">
        <v>56</v>
      </c>
      <c r="H58" s="23" t="s">
        <v>92</v>
      </c>
      <c r="I58" s="28">
        <v>618</v>
      </c>
      <c r="J58" s="23" t="s">
        <v>56</v>
      </c>
      <c r="K58" s="23" t="s">
        <v>94</v>
      </c>
      <c r="L58" s="23" t="s">
        <v>56</v>
      </c>
      <c r="M58" s="23" t="s">
        <v>56</v>
      </c>
    </row>
    <row r="59" spans="1:13">
      <c r="A59" s="23" t="s">
        <v>49</v>
      </c>
      <c r="B59" s="23" t="s">
        <v>50</v>
      </c>
      <c r="C59" s="24" t="s">
        <v>51</v>
      </c>
      <c r="D59" s="25" t="s">
        <v>210</v>
      </c>
      <c r="E59" s="25" t="str">
        <f t="shared" si="0"/>
        <v>FEC.PRO.REFERENCIA</v>
      </c>
      <c r="F59" s="25" t="s">
        <v>211</v>
      </c>
      <c r="G59" s="23" t="s">
        <v>56</v>
      </c>
      <c r="H59" s="23" t="s">
        <v>92</v>
      </c>
      <c r="I59" s="28">
        <v>20180921</v>
      </c>
      <c r="J59" s="23" t="s">
        <v>56</v>
      </c>
      <c r="K59" s="23" t="s">
        <v>94</v>
      </c>
      <c r="L59" s="23" t="s">
        <v>56</v>
      </c>
      <c r="M59" s="23" t="s">
        <v>56</v>
      </c>
    </row>
    <row r="60" spans="1:13">
      <c r="A60" s="23" t="s">
        <v>49</v>
      </c>
      <c r="B60" s="23" t="s">
        <v>50</v>
      </c>
      <c r="C60" s="24" t="s">
        <v>51</v>
      </c>
      <c r="D60" s="25" t="s">
        <v>212</v>
      </c>
      <c r="E60" s="25" t="str">
        <f t="shared" si="0"/>
        <v>PAIS</v>
      </c>
      <c r="F60" s="25" t="s">
        <v>213</v>
      </c>
      <c r="G60" s="23" t="s">
        <v>56</v>
      </c>
      <c r="H60" s="23" t="s">
        <v>92</v>
      </c>
      <c r="I60" s="28" t="s">
        <v>214</v>
      </c>
      <c r="J60" s="23" t="s">
        <v>56</v>
      </c>
      <c r="K60" s="23" t="s">
        <v>94</v>
      </c>
      <c r="L60" s="23" t="s">
        <v>56</v>
      </c>
      <c r="M60" s="23" t="s">
        <v>56</v>
      </c>
    </row>
    <row r="61" spans="1:13">
      <c r="A61" s="23" t="s">
        <v>49</v>
      </c>
      <c r="B61" s="23" t="s">
        <v>50</v>
      </c>
      <c r="C61" s="24" t="s">
        <v>51</v>
      </c>
      <c r="D61" s="25" t="s">
        <v>215</v>
      </c>
      <c r="E61" s="25" t="str">
        <f t="shared" si="0"/>
        <v>TASA INTERCAMBIO</v>
      </c>
      <c r="F61" s="25" t="s">
        <v>216</v>
      </c>
      <c r="G61" s="23" t="s">
        <v>56</v>
      </c>
      <c r="H61" s="23" t="s">
        <v>92</v>
      </c>
      <c r="I61" s="28"/>
      <c r="J61" s="23" t="s">
        <v>56</v>
      </c>
      <c r="K61" s="23" t="s">
        <v>94</v>
      </c>
      <c r="L61" s="23" t="s">
        <v>56</v>
      </c>
      <c r="M61" s="23" t="s">
        <v>56</v>
      </c>
    </row>
    <row r="62" spans="1:13">
      <c r="A62" s="23" t="s">
        <v>49</v>
      </c>
      <c r="B62" s="23" t="s">
        <v>50</v>
      </c>
      <c r="C62" s="24" t="s">
        <v>51</v>
      </c>
      <c r="D62" s="25" t="s">
        <v>217</v>
      </c>
      <c r="E62" s="25" t="str">
        <f t="shared" si="0"/>
        <v>TIPO INTERCAMBIO</v>
      </c>
      <c r="F62" s="25" t="s">
        <v>218</v>
      </c>
      <c r="G62" s="23" t="s">
        <v>56</v>
      </c>
      <c r="H62" s="23" t="s">
        <v>92</v>
      </c>
      <c r="I62" s="28"/>
      <c r="J62" s="23" t="s">
        <v>56</v>
      </c>
      <c r="K62" s="23" t="s">
        <v>94</v>
      </c>
      <c r="L62" s="23" t="s">
        <v>56</v>
      </c>
      <c r="M62" s="23" t="s">
        <v>56</v>
      </c>
    </row>
    <row r="63" spans="1:13">
      <c r="A63" s="23" t="s">
        <v>49</v>
      </c>
      <c r="B63" s="23" t="s">
        <v>50</v>
      </c>
      <c r="C63" s="24" t="s">
        <v>51</v>
      </c>
      <c r="D63" s="25" t="s">
        <v>219</v>
      </c>
      <c r="E63" s="25" t="str">
        <f t="shared" si="0"/>
        <v>ARN REFERENCIA</v>
      </c>
      <c r="F63" s="25" t="s">
        <v>220</v>
      </c>
      <c r="G63" s="23" t="s">
        <v>56</v>
      </c>
      <c r="H63" s="23" t="s">
        <v>92</v>
      </c>
      <c r="I63" s="28">
        <v>7.53015082640002E+22</v>
      </c>
      <c r="J63" s="23" t="s">
        <v>56</v>
      </c>
      <c r="K63" s="23" t="s">
        <v>94</v>
      </c>
      <c r="L63" s="23" t="s">
        <v>56</v>
      </c>
      <c r="M63" s="23" t="s">
        <v>56</v>
      </c>
    </row>
    <row r="64" spans="1:13">
      <c r="A64" s="23" t="s">
        <v>49</v>
      </c>
      <c r="B64" s="23" t="s">
        <v>50</v>
      </c>
      <c r="C64" s="24" t="s">
        <v>51</v>
      </c>
      <c r="D64" s="25" t="s">
        <v>221</v>
      </c>
      <c r="E64" s="25" t="str">
        <f t="shared" si="0"/>
        <v>NO APLICAR DEV</v>
      </c>
      <c r="F64" s="25" t="s">
        <v>222</v>
      </c>
      <c r="G64" s="23" t="s">
        <v>56</v>
      </c>
      <c r="H64" s="23" t="s">
        <v>92</v>
      </c>
      <c r="I64" s="28"/>
      <c r="J64" s="23" t="s">
        <v>56</v>
      </c>
      <c r="K64" s="23" t="s">
        <v>94</v>
      </c>
      <c r="L64" s="23" t="s">
        <v>56</v>
      </c>
      <c r="M64" s="23" t="s">
        <v>56</v>
      </c>
    </row>
    <row r="65" spans="1:13">
      <c r="A65" s="23" t="s">
        <v>49</v>
      </c>
      <c r="B65" s="23" t="s">
        <v>50</v>
      </c>
      <c r="C65" s="24" t="s">
        <v>51</v>
      </c>
      <c r="D65" s="25" t="s">
        <v>305</v>
      </c>
      <c r="E65" s="25" t="str">
        <f t="shared" si="0"/>
        <v>TARJETA ENMASCARADA</v>
      </c>
      <c r="F65" s="25" t="s">
        <v>303</v>
      </c>
      <c r="G65" s="23" t="s">
        <v>56</v>
      </c>
      <c r="H65" s="23" t="s">
        <v>92</v>
      </c>
      <c r="I65" s="28" t="s">
        <v>299</v>
      </c>
      <c r="J65" s="23" t="s">
        <v>56</v>
      </c>
      <c r="K65" s="23" t="s">
        <v>94</v>
      </c>
      <c r="L65" s="23" t="s">
        <v>56</v>
      </c>
      <c r="M65" s="23" t="s">
        <v>56</v>
      </c>
    </row>
    <row r="66" spans="1:13">
      <c r="A66" s="23" t="s">
        <v>49</v>
      </c>
      <c r="B66" s="23" t="s">
        <v>50</v>
      </c>
      <c r="C66" s="24" t="s">
        <v>51</v>
      </c>
      <c r="D66" s="25" t="s">
        <v>223</v>
      </c>
      <c r="E66" s="25" t="str">
        <f t="shared" si="0"/>
        <v>TARJETA MASK</v>
      </c>
      <c r="F66" s="25" t="s">
        <v>224</v>
      </c>
      <c r="G66" s="23" t="s">
        <v>56</v>
      </c>
      <c r="H66" s="23" t="s">
        <v>92</v>
      </c>
      <c r="I66" s="28" t="s">
        <v>225</v>
      </c>
      <c r="J66" s="23" t="s">
        <v>56</v>
      </c>
      <c r="K66" s="23" t="s">
        <v>94</v>
      </c>
      <c r="L66" s="23" t="s">
        <v>56</v>
      </c>
      <c r="M66" s="23" t="s">
        <v>56</v>
      </c>
    </row>
    <row r="67" spans="1:13">
      <c r="A67" s="23" t="s">
        <v>49</v>
      </c>
      <c r="B67" s="23" t="s">
        <v>50</v>
      </c>
      <c r="C67" s="24" t="s">
        <v>51</v>
      </c>
      <c r="D67" s="25" t="s">
        <v>226</v>
      </c>
      <c r="E67" s="25" t="str">
        <f t="shared" si="0"/>
        <v>TARJETA REC</v>
      </c>
      <c r="F67" s="25" t="s">
        <v>227</v>
      </c>
      <c r="G67" s="23" t="s">
        <v>56</v>
      </c>
      <c r="H67" s="23" t="s">
        <v>92</v>
      </c>
      <c r="I67" s="30"/>
      <c r="J67" s="23" t="s">
        <v>56</v>
      </c>
      <c r="K67" s="23" t="s">
        <v>94</v>
      </c>
      <c r="L67" s="23" t="s">
        <v>56</v>
      </c>
      <c r="M67" s="23" t="s">
        <v>56</v>
      </c>
    </row>
    <row r="68" spans="1:13">
      <c r="A68" s="23" t="s">
        <v>49</v>
      </c>
      <c r="B68" s="23" t="s">
        <v>50</v>
      </c>
      <c r="C68" s="24" t="s">
        <v>51</v>
      </c>
      <c r="D68" s="25" t="s">
        <v>228</v>
      </c>
      <c r="E68" s="25" t="str">
        <f t="shared" ref="E68:E83" si="1">UPPER(F68)</f>
        <v>LONG TARJ</v>
      </c>
      <c r="F68" s="25" t="s">
        <v>229</v>
      </c>
      <c r="G68" s="23" t="s">
        <v>56</v>
      </c>
      <c r="H68" s="23" t="s">
        <v>92</v>
      </c>
      <c r="I68" s="30">
        <v>16</v>
      </c>
      <c r="J68" s="23" t="s">
        <v>56</v>
      </c>
      <c r="K68" s="23" t="s">
        <v>94</v>
      </c>
      <c r="L68" s="23" t="s">
        <v>56</v>
      </c>
      <c r="M68" s="23" t="s">
        <v>56</v>
      </c>
    </row>
    <row r="69" spans="1:13">
      <c r="A69" s="23" t="s">
        <v>49</v>
      </c>
      <c r="B69" s="23" t="s">
        <v>50</v>
      </c>
      <c r="C69" s="24" t="s">
        <v>51</v>
      </c>
      <c r="D69" s="25" t="s">
        <v>230</v>
      </c>
      <c r="E69" s="25" t="str">
        <f t="shared" si="1"/>
        <v>FACT ESTAB (D:DIARIA  M:MENSUA)</v>
      </c>
      <c r="F69" s="25" t="s">
        <v>231</v>
      </c>
      <c r="G69" s="23" t="s">
        <v>56</v>
      </c>
      <c r="H69" s="23" t="s">
        <v>92</v>
      </c>
      <c r="I69" s="28"/>
      <c r="J69" s="23" t="s">
        <v>56</v>
      </c>
      <c r="K69" s="23" t="s">
        <v>94</v>
      </c>
      <c r="L69" s="23" t="s">
        <v>56</v>
      </c>
      <c r="M69" s="23" t="s">
        <v>56</v>
      </c>
    </row>
    <row r="70" spans="1:13">
      <c r="A70" s="23" t="s">
        <v>49</v>
      </c>
      <c r="B70" s="23" t="s">
        <v>50</v>
      </c>
      <c r="C70" s="24" t="s">
        <v>51</v>
      </c>
      <c r="D70" s="25" t="s">
        <v>232</v>
      </c>
      <c r="E70" s="25" t="str">
        <f t="shared" si="1"/>
        <v>ICA EMISOR</v>
      </c>
      <c r="F70" s="25" t="s">
        <v>154</v>
      </c>
      <c r="G70" s="23" t="s">
        <v>56</v>
      </c>
      <c r="H70" s="23" t="s">
        <v>92</v>
      </c>
      <c r="I70" s="28">
        <v>5621</v>
      </c>
      <c r="J70" s="23" t="s">
        <v>56</v>
      </c>
      <c r="K70" s="23" t="s">
        <v>94</v>
      </c>
      <c r="L70" s="23" t="s">
        <v>56</v>
      </c>
      <c r="M70" s="23" t="s">
        <v>56</v>
      </c>
    </row>
    <row r="71" spans="1:13">
      <c r="A71" s="23" t="s">
        <v>49</v>
      </c>
      <c r="B71" s="23" t="s">
        <v>50</v>
      </c>
      <c r="C71" s="24" t="s">
        <v>51</v>
      </c>
      <c r="D71" s="25" t="s">
        <v>233</v>
      </c>
      <c r="E71" s="25" t="str">
        <f t="shared" si="1"/>
        <v>IATA/WEB/SUNAT</v>
      </c>
      <c r="F71" s="25" t="s">
        <v>234</v>
      </c>
      <c r="G71" s="23" t="s">
        <v>56</v>
      </c>
      <c r="H71" s="23" t="s">
        <v>92</v>
      </c>
      <c r="I71" s="28"/>
      <c r="J71" s="23" t="s">
        <v>56</v>
      </c>
      <c r="K71" s="23" t="s">
        <v>94</v>
      </c>
      <c r="L71" s="23" t="s">
        <v>56</v>
      </c>
      <c r="M71" s="23" t="s">
        <v>56</v>
      </c>
    </row>
    <row r="72" spans="1:13">
      <c r="A72" s="23" t="s">
        <v>49</v>
      </c>
      <c r="B72" s="23" t="s">
        <v>50</v>
      </c>
      <c r="C72" s="24" t="s">
        <v>51</v>
      </c>
      <c r="D72" s="25" t="s">
        <v>235</v>
      </c>
      <c r="E72" s="25" t="str">
        <f t="shared" si="1"/>
        <v>FEC SISTEMA</v>
      </c>
      <c r="F72" s="25" t="s">
        <v>236</v>
      </c>
      <c r="G72" s="23" t="s">
        <v>56</v>
      </c>
      <c r="H72" s="23" t="s">
        <v>92</v>
      </c>
      <c r="I72" s="28">
        <v>20181117</v>
      </c>
      <c r="J72" s="23" t="s">
        <v>56</v>
      </c>
      <c r="K72" s="23" t="s">
        <v>94</v>
      </c>
      <c r="L72" s="23" t="s">
        <v>56</v>
      </c>
      <c r="M72" s="23" t="s">
        <v>56</v>
      </c>
    </row>
    <row r="73" spans="1:13">
      <c r="A73" s="23" t="s">
        <v>49</v>
      </c>
      <c r="B73" s="23" t="s">
        <v>50</v>
      </c>
      <c r="C73" s="24" t="s">
        <v>51</v>
      </c>
      <c r="D73" s="25" t="s">
        <v>237</v>
      </c>
      <c r="E73" s="25" t="str">
        <f t="shared" si="1"/>
        <v>HORA SISTEMA</v>
      </c>
      <c r="F73" s="25" t="s">
        <v>238</v>
      </c>
      <c r="G73" s="23" t="s">
        <v>56</v>
      </c>
      <c r="H73" s="23" t="s">
        <v>92</v>
      </c>
      <c r="I73" s="28">
        <v>13808</v>
      </c>
      <c r="J73" s="23" t="s">
        <v>56</v>
      </c>
      <c r="K73" s="23" t="s">
        <v>94</v>
      </c>
      <c r="L73" s="23" t="s">
        <v>56</v>
      </c>
      <c r="M73" s="23" t="s">
        <v>56</v>
      </c>
    </row>
    <row r="74" spans="1:13">
      <c r="A74" s="23" t="s">
        <v>49</v>
      </c>
      <c r="B74" s="23" t="s">
        <v>50</v>
      </c>
      <c r="C74" s="24" t="s">
        <v>51</v>
      </c>
      <c r="D74" s="25" t="s">
        <v>244</v>
      </c>
      <c r="E74" s="25" t="str">
        <f t="shared" si="1"/>
        <v>NUMERO DE TRASPASO</v>
      </c>
      <c r="F74" s="25" t="s">
        <v>245</v>
      </c>
      <c r="G74" s="23" t="s">
        <v>56</v>
      </c>
      <c r="H74" s="23" t="s">
        <v>92</v>
      </c>
      <c r="I74" s="28">
        <v>0</v>
      </c>
      <c r="J74" s="23" t="s">
        <v>56</v>
      </c>
      <c r="K74" s="23" t="s">
        <v>94</v>
      </c>
      <c r="L74" s="23" t="s">
        <v>56</v>
      </c>
      <c r="M74" s="23" t="s">
        <v>56</v>
      </c>
    </row>
    <row r="75" spans="1:13">
      <c r="A75" s="23" t="s">
        <v>49</v>
      </c>
      <c r="B75" s="23" t="s">
        <v>50</v>
      </c>
      <c r="C75" s="24" t="s">
        <v>51</v>
      </c>
      <c r="D75" s="25" t="s">
        <v>246</v>
      </c>
      <c r="E75" s="25" t="str">
        <f t="shared" si="1"/>
        <v>NUMERO DE SECUENCIA</v>
      </c>
      <c r="F75" s="25" t="s">
        <v>247</v>
      </c>
      <c r="G75" s="23" t="s">
        <v>56</v>
      </c>
      <c r="H75" s="23" t="s">
        <v>92</v>
      </c>
      <c r="I75" s="28">
        <v>0</v>
      </c>
      <c r="J75" s="23" t="s">
        <v>56</v>
      </c>
      <c r="K75" s="23" t="s">
        <v>94</v>
      </c>
      <c r="L75" s="23" t="s">
        <v>56</v>
      </c>
      <c r="M75" s="23" t="s">
        <v>56</v>
      </c>
    </row>
    <row r="76" spans="1:13">
      <c r="A76" s="23" t="s">
        <v>49</v>
      </c>
      <c r="B76" s="23" t="s">
        <v>50</v>
      </c>
      <c r="C76" s="24" t="s">
        <v>51</v>
      </c>
      <c r="D76" s="25" t="s">
        <v>248</v>
      </c>
      <c r="E76" s="25" t="str">
        <f t="shared" si="1"/>
        <v>NUMERO CORRELATIVO</v>
      </c>
      <c r="F76" s="25" t="s">
        <v>249</v>
      </c>
      <c r="G76" s="23" t="s">
        <v>56</v>
      </c>
      <c r="H76" s="23" t="s">
        <v>92</v>
      </c>
      <c r="I76" s="28">
        <v>0</v>
      </c>
      <c r="J76" s="23" t="s">
        <v>56</v>
      </c>
      <c r="K76" s="23" t="s">
        <v>94</v>
      </c>
      <c r="L76" s="23" t="s">
        <v>56</v>
      </c>
      <c r="M76" s="23" t="s">
        <v>56</v>
      </c>
    </row>
    <row r="77" spans="1:13">
      <c r="A77" s="23" t="s">
        <v>49</v>
      </c>
      <c r="B77" s="23" t="s">
        <v>50</v>
      </c>
      <c r="C77" s="24" t="s">
        <v>51</v>
      </c>
      <c r="D77" s="25" t="s">
        <v>250</v>
      </c>
      <c r="E77" s="25" t="str">
        <f t="shared" si="1"/>
        <v>ITEM</v>
      </c>
      <c r="F77" s="25" t="s">
        <v>251</v>
      </c>
      <c r="G77" s="23" t="s">
        <v>56</v>
      </c>
      <c r="H77" s="23" t="s">
        <v>92</v>
      </c>
      <c r="I77" s="28">
        <v>0</v>
      </c>
      <c r="J77" s="23" t="s">
        <v>56</v>
      </c>
      <c r="K77" s="23" t="s">
        <v>94</v>
      </c>
      <c r="L77" s="23" t="s">
        <v>56</v>
      </c>
      <c r="M77" s="23" t="s">
        <v>56</v>
      </c>
    </row>
    <row r="78" spans="1:13">
      <c r="A78" s="23" t="s">
        <v>49</v>
      </c>
      <c r="B78" s="23" t="s">
        <v>50</v>
      </c>
      <c r="C78" s="24" t="s">
        <v>51</v>
      </c>
      <c r="D78" s="25" t="s">
        <v>306</v>
      </c>
      <c r="E78" s="25" t="str">
        <f t="shared" ref="E78:E79" si="2">UPPER(F78)</f>
        <v>BIN DE 9 DEL CAMPO DVTARJ</v>
      </c>
      <c r="F78" s="25" t="s">
        <v>308</v>
      </c>
      <c r="G78" s="23" t="s">
        <v>56</v>
      </c>
      <c r="H78" s="23" t="s">
        <v>92</v>
      </c>
      <c r="I78" s="28">
        <v>547856985</v>
      </c>
      <c r="J78" s="23" t="s">
        <v>56</v>
      </c>
      <c r="K78" s="23" t="s">
        <v>94</v>
      </c>
      <c r="L78" s="23" t="s">
        <v>56</v>
      </c>
      <c r="M78" s="23" t="s">
        <v>56</v>
      </c>
    </row>
    <row r="79" spans="1:13">
      <c r="A79" s="23" t="s">
        <v>49</v>
      </c>
      <c r="B79" s="23" t="s">
        <v>50</v>
      </c>
      <c r="C79" s="24" t="s">
        <v>51</v>
      </c>
      <c r="D79" s="25" t="s">
        <v>307</v>
      </c>
      <c r="E79" s="25" t="str">
        <f t="shared" si="2"/>
        <v>BIN DE 9 DEL CAMPO DVTARX</v>
      </c>
      <c r="F79" s="25" t="s">
        <v>309</v>
      </c>
      <c r="G79" s="23" t="s">
        <v>56</v>
      </c>
      <c r="H79" s="23" t="s">
        <v>92</v>
      </c>
      <c r="I79" s="28">
        <v>547856985</v>
      </c>
      <c r="J79" s="23" t="s">
        <v>56</v>
      </c>
      <c r="K79" s="23" t="s">
        <v>94</v>
      </c>
      <c r="L79" s="23" t="s">
        <v>56</v>
      </c>
      <c r="M79" s="23" t="s">
        <v>56</v>
      </c>
    </row>
    <row r="80" spans="1:13">
      <c r="A80" s="23" t="s">
        <v>49</v>
      </c>
      <c r="B80" s="23" t="s">
        <v>50</v>
      </c>
      <c r="C80" s="24" t="s">
        <v>51</v>
      </c>
      <c r="D80" s="25" t="s">
        <v>252</v>
      </c>
      <c r="E80" s="25" t="str">
        <f t="shared" si="1"/>
        <v>FECHA DE FOTO/DATOS CONFIGURADA EN EL ETL PARA LA EXTRACCIÓN DE DATOS, CORRESPONDE A APERTURAS DE COMERCIOS HASTA EL CIERRE DEL DÍA ANTERIOR</v>
      </c>
      <c r="F80" s="25" t="s">
        <v>253</v>
      </c>
      <c r="G80" s="23" t="s">
        <v>56</v>
      </c>
      <c r="H80" s="23" t="s">
        <v>254</v>
      </c>
      <c r="I80" s="26">
        <v>45841</v>
      </c>
      <c r="J80" s="23" t="s">
        <v>56</v>
      </c>
      <c r="K80" s="23" t="s">
        <v>56</v>
      </c>
      <c r="L80" s="23" t="s">
        <v>94</v>
      </c>
      <c r="M80" s="23" t="s">
        <v>56</v>
      </c>
    </row>
    <row r="81" spans="1:13">
      <c r="A81" s="23" t="s">
        <v>49</v>
      </c>
      <c r="B81" s="23" t="s">
        <v>50</v>
      </c>
      <c r="C81" s="24" t="s">
        <v>51</v>
      </c>
      <c r="D81" s="25" t="s">
        <v>255</v>
      </c>
      <c r="E81" s="25" t="str">
        <f t="shared" si="1"/>
        <v>DATO DE AUDITORÍA: DESCRIPCIÓN DEL APLICATIVO ORIGEN DE LOS DATOS.</v>
      </c>
      <c r="F81" s="25" t="s">
        <v>256</v>
      </c>
      <c r="G81" s="23" t="s">
        <v>56</v>
      </c>
      <c r="H81" s="23" t="s">
        <v>92</v>
      </c>
      <c r="I81" s="25" t="s">
        <v>257</v>
      </c>
      <c r="J81" s="23" t="s">
        <v>56</v>
      </c>
      <c r="K81" s="23" t="s">
        <v>56</v>
      </c>
      <c r="L81" s="23" t="s">
        <v>56</v>
      </c>
      <c r="M81" s="23" t="s">
        <v>56</v>
      </c>
    </row>
    <row r="82" spans="1:13">
      <c r="A82" s="23" t="s">
        <v>49</v>
      </c>
      <c r="B82" s="23" t="s">
        <v>50</v>
      </c>
      <c r="C82" s="24" t="s">
        <v>51</v>
      </c>
      <c r="D82" s="25" t="s">
        <v>258</v>
      </c>
      <c r="E82" s="25" t="str">
        <f t="shared" si="1"/>
        <v>FECHA Y HORA DE INSERCIÓN DEL REGISTRO EN EL MODELO</v>
      </c>
      <c r="F82" s="25" t="s">
        <v>259</v>
      </c>
      <c r="G82" s="23" t="s">
        <v>56</v>
      </c>
      <c r="H82" s="23" t="s">
        <v>260</v>
      </c>
      <c r="I82" s="25" t="s">
        <v>261</v>
      </c>
      <c r="J82" s="23" t="s">
        <v>56</v>
      </c>
      <c r="K82" s="23" t="s">
        <v>56</v>
      </c>
      <c r="L82" s="23" t="s">
        <v>56</v>
      </c>
      <c r="M82" s="23" t="s">
        <v>56</v>
      </c>
    </row>
    <row r="83" spans="1:13">
      <c r="A83" s="23" t="s">
        <v>49</v>
      </c>
      <c r="B83" s="23" t="s">
        <v>50</v>
      </c>
      <c r="C83" s="24" t="s">
        <v>51</v>
      </c>
      <c r="D83" s="25" t="s">
        <v>262</v>
      </c>
      <c r="E83" s="25" t="str">
        <f t="shared" si="1"/>
        <v>USUARIO QUE CREA EL REGISTRO EN LA BD</v>
      </c>
      <c r="F83" s="25" t="s">
        <v>263</v>
      </c>
      <c r="G83" s="23" t="s">
        <v>56</v>
      </c>
      <c r="H83" s="23" t="s">
        <v>92</v>
      </c>
      <c r="I83" s="25" t="s">
        <v>264</v>
      </c>
      <c r="J83" s="23" t="s">
        <v>56</v>
      </c>
      <c r="K83" s="23" t="s">
        <v>56</v>
      </c>
      <c r="L83" s="23" t="s">
        <v>56</v>
      </c>
      <c r="M83" s="23" t="s">
        <v>56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BB8DD-4BC1-4F3F-9F95-8FF9765DA263}">
  <sheetPr codeName="Hoja5"/>
  <dimension ref="A1:M71"/>
  <sheetViews>
    <sheetView showGridLines="0" topLeftCell="D45" zoomScaleNormal="100" workbookViewId="0">
      <selection activeCell="E67" sqref="E67"/>
    </sheetView>
  </sheetViews>
  <sheetFormatPr baseColWidth="10" defaultColWidth="11.44140625" defaultRowHeight="14.4"/>
  <cols>
    <col min="1" max="4" width="29" customWidth="1"/>
    <col min="5" max="6" width="48.33203125" customWidth="1"/>
    <col min="7" max="8" width="29" customWidth="1"/>
    <col min="9" max="9" width="40.5546875" customWidth="1"/>
    <col min="10" max="13" width="29" customWidth="1"/>
  </cols>
  <sheetData>
    <row r="1" spans="1:13" ht="31.2">
      <c r="A1" s="20" t="s">
        <v>14</v>
      </c>
      <c r="B1" s="21" t="s">
        <v>15</v>
      </c>
      <c r="C1" s="21" t="s">
        <v>6</v>
      </c>
      <c r="D1" s="21" t="s">
        <v>7</v>
      </c>
      <c r="E1" s="21" t="s">
        <v>71</v>
      </c>
      <c r="F1" s="21" t="s">
        <v>72</v>
      </c>
      <c r="G1" s="21" t="s">
        <v>73</v>
      </c>
      <c r="H1" s="21" t="s">
        <v>74</v>
      </c>
      <c r="I1" s="21" t="s">
        <v>75</v>
      </c>
      <c r="J1" s="21" t="s">
        <v>76</v>
      </c>
      <c r="K1" s="21" t="s">
        <v>77</v>
      </c>
      <c r="L1" s="21" t="s">
        <v>78</v>
      </c>
      <c r="M1" s="21" t="s">
        <v>79</v>
      </c>
    </row>
    <row r="2" spans="1:13" ht="46.8">
      <c r="A2" s="22" t="s">
        <v>32</v>
      </c>
      <c r="B2" s="22" t="s">
        <v>33</v>
      </c>
      <c r="C2" s="22" t="s">
        <v>80</v>
      </c>
      <c r="D2" s="22" t="s">
        <v>81</v>
      </c>
      <c r="E2" s="22" t="s">
        <v>82</v>
      </c>
      <c r="F2" s="22" t="s">
        <v>83</v>
      </c>
      <c r="G2" s="22" t="s">
        <v>84</v>
      </c>
      <c r="H2" s="22" t="s">
        <v>85</v>
      </c>
      <c r="I2" s="22" t="s">
        <v>86</v>
      </c>
      <c r="J2" s="22" t="s">
        <v>87</v>
      </c>
      <c r="K2" s="22" t="s">
        <v>88</v>
      </c>
      <c r="L2" s="22" t="s">
        <v>89</v>
      </c>
      <c r="M2" s="22" t="s">
        <v>88</v>
      </c>
    </row>
    <row r="3" spans="1:13">
      <c r="A3" s="23" t="s">
        <v>49</v>
      </c>
      <c r="B3" s="23" t="s">
        <v>50</v>
      </c>
      <c r="C3" s="24" t="s">
        <v>62</v>
      </c>
      <c r="D3" s="25" t="s">
        <v>90</v>
      </c>
      <c r="E3" s="25" t="str">
        <f>UPPER(F3)</f>
        <v>PRODUCTO</v>
      </c>
      <c r="F3" s="25" t="s">
        <v>91</v>
      </c>
      <c r="G3" s="23" t="s">
        <v>56</v>
      </c>
      <c r="H3" s="23" t="s">
        <v>92</v>
      </c>
      <c r="I3" s="28" t="s">
        <v>265</v>
      </c>
      <c r="J3" s="23" t="s">
        <v>56</v>
      </c>
      <c r="K3" s="23" t="s">
        <v>94</v>
      </c>
      <c r="L3" s="23" t="s">
        <v>56</v>
      </c>
      <c r="M3" s="23" t="s">
        <v>56</v>
      </c>
    </row>
    <row r="4" spans="1:13">
      <c r="A4" s="23" t="s">
        <v>49</v>
      </c>
      <c r="B4" s="23" t="s">
        <v>50</v>
      </c>
      <c r="C4" s="24" t="s">
        <v>62</v>
      </c>
      <c r="D4" s="25" t="s">
        <v>95</v>
      </c>
      <c r="E4" s="25" t="str">
        <f t="shared" ref="E4:E66" si="0">UPPER(F4)</f>
        <v>COMERCIO</v>
      </c>
      <c r="F4" s="25" t="s">
        <v>96</v>
      </c>
      <c r="G4" s="23" t="s">
        <v>56</v>
      </c>
      <c r="H4" s="23" t="s">
        <v>92</v>
      </c>
      <c r="I4" s="28">
        <v>5001089</v>
      </c>
      <c r="J4" s="23" t="s">
        <v>56</v>
      </c>
      <c r="K4" s="23" t="s">
        <v>94</v>
      </c>
      <c r="L4" s="23" t="s">
        <v>56</v>
      </c>
      <c r="M4" s="23" t="s">
        <v>56</v>
      </c>
    </row>
    <row r="5" spans="1:13">
      <c r="A5" s="23" t="s">
        <v>49</v>
      </c>
      <c r="B5" s="23" t="s">
        <v>50</v>
      </c>
      <c r="C5" s="24" t="s">
        <v>62</v>
      </c>
      <c r="D5" s="25" t="s">
        <v>183</v>
      </c>
      <c r="E5" s="25" t="str">
        <f t="shared" si="0"/>
        <v>PRIORIDAD</v>
      </c>
      <c r="F5" s="25" t="s">
        <v>184</v>
      </c>
      <c r="G5" s="23" t="s">
        <v>56</v>
      </c>
      <c r="H5" s="23" t="s">
        <v>92</v>
      </c>
      <c r="I5" s="28">
        <v>14</v>
      </c>
      <c r="J5" s="23" t="s">
        <v>56</v>
      </c>
      <c r="K5" s="23" t="s">
        <v>94</v>
      </c>
      <c r="L5" s="23" t="s">
        <v>56</v>
      </c>
      <c r="M5" s="23" t="s">
        <v>56</v>
      </c>
    </row>
    <row r="6" spans="1:13">
      <c r="A6" s="23" t="s">
        <v>49</v>
      </c>
      <c r="B6" s="23" t="s">
        <v>50</v>
      </c>
      <c r="C6" s="24" t="s">
        <v>62</v>
      </c>
      <c r="D6" s="25" t="s">
        <v>97</v>
      </c>
      <c r="E6" s="25" t="str">
        <f t="shared" si="0"/>
        <v>FECHA PROCESO</v>
      </c>
      <c r="F6" s="25" t="s">
        <v>98</v>
      </c>
      <c r="G6" s="23" t="s">
        <v>56</v>
      </c>
      <c r="H6" s="23" t="s">
        <v>92</v>
      </c>
      <c r="I6" s="28">
        <v>20220816</v>
      </c>
      <c r="J6" s="23" t="s">
        <v>56</v>
      </c>
      <c r="K6" s="23" t="s">
        <v>94</v>
      </c>
      <c r="L6" s="23" t="s">
        <v>56</v>
      </c>
      <c r="M6" s="23" t="s">
        <v>56</v>
      </c>
    </row>
    <row r="7" spans="1:13">
      <c r="A7" s="23" t="s">
        <v>49</v>
      </c>
      <c r="B7" s="23" t="s">
        <v>50</v>
      </c>
      <c r="C7" s="24" t="s">
        <v>62</v>
      </c>
      <c r="D7" s="25" t="s">
        <v>266</v>
      </c>
      <c r="E7" s="25" t="str">
        <f t="shared" si="0"/>
        <v>NRO OPERACION</v>
      </c>
      <c r="F7" s="25" t="s">
        <v>267</v>
      </c>
      <c r="G7" s="23" t="s">
        <v>56</v>
      </c>
      <c r="H7" s="23" t="s">
        <v>92</v>
      </c>
      <c r="I7" s="28">
        <v>504607000</v>
      </c>
      <c r="J7" s="23" t="s">
        <v>56</v>
      </c>
      <c r="K7" s="23" t="s">
        <v>94</v>
      </c>
      <c r="L7" s="23" t="s">
        <v>56</v>
      </c>
      <c r="M7" s="23" t="s">
        <v>56</v>
      </c>
    </row>
    <row r="8" spans="1:13">
      <c r="A8" s="23" t="s">
        <v>49</v>
      </c>
      <c r="B8" s="23" t="s">
        <v>50</v>
      </c>
      <c r="C8" s="24" t="s">
        <v>62</v>
      </c>
      <c r="D8" s="25" t="s">
        <v>101</v>
      </c>
      <c r="E8" s="25" t="str">
        <f t="shared" si="0"/>
        <v>TRANSACCION</v>
      </c>
      <c r="F8" s="25" t="s">
        <v>102</v>
      </c>
      <c r="G8" s="23" t="s">
        <v>56</v>
      </c>
      <c r="H8" s="23" t="s">
        <v>92</v>
      </c>
      <c r="I8" s="28">
        <v>34</v>
      </c>
      <c r="J8" s="23" t="s">
        <v>56</v>
      </c>
      <c r="K8" s="23" t="s">
        <v>94</v>
      </c>
      <c r="L8" s="23" t="s">
        <v>56</v>
      </c>
      <c r="M8" s="23" t="s">
        <v>56</v>
      </c>
    </row>
    <row r="9" spans="1:13">
      <c r="A9" s="23" t="s">
        <v>49</v>
      </c>
      <c r="B9" s="23" t="s">
        <v>50</v>
      </c>
      <c r="C9" s="24" t="s">
        <v>62</v>
      </c>
      <c r="D9" s="25" t="s">
        <v>105</v>
      </c>
      <c r="E9" s="25" t="str">
        <f t="shared" si="0"/>
        <v>LOTE</v>
      </c>
      <c r="F9" s="25" t="s">
        <v>106</v>
      </c>
      <c r="G9" s="23" t="s">
        <v>56</v>
      </c>
      <c r="H9" s="23" t="s">
        <v>92</v>
      </c>
      <c r="I9" s="29">
        <v>3325</v>
      </c>
      <c r="J9" s="23" t="s">
        <v>56</v>
      </c>
      <c r="K9" s="23" t="s">
        <v>94</v>
      </c>
      <c r="L9" s="23" t="s">
        <v>56</v>
      </c>
      <c r="M9" s="23" t="s">
        <v>56</v>
      </c>
    </row>
    <row r="10" spans="1:13">
      <c r="A10" s="23" t="s">
        <v>49</v>
      </c>
      <c r="B10" s="23" t="s">
        <v>50</v>
      </c>
      <c r="C10" s="24" t="s">
        <v>62</v>
      </c>
      <c r="D10" s="25" t="s">
        <v>268</v>
      </c>
      <c r="E10" s="25" t="str">
        <f t="shared" si="0"/>
        <v>SIST TERCERO</v>
      </c>
      <c r="F10" s="25" t="s">
        <v>269</v>
      </c>
      <c r="G10" s="23" t="s">
        <v>56</v>
      </c>
      <c r="H10" s="23" t="s">
        <v>92</v>
      </c>
      <c r="I10" s="28">
        <v>399</v>
      </c>
      <c r="J10" s="23" t="s">
        <v>56</v>
      </c>
      <c r="K10" s="23" t="s">
        <v>94</v>
      </c>
      <c r="L10" s="23" t="s">
        <v>56</v>
      </c>
      <c r="M10" s="23" t="s">
        <v>56</v>
      </c>
    </row>
    <row r="11" spans="1:13">
      <c r="A11" s="23" t="s">
        <v>49</v>
      </c>
      <c r="B11" s="23" t="s">
        <v>50</v>
      </c>
      <c r="C11" s="24" t="s">
        <v>62</v>
      </c>
      <c r="D11" s="25" t="s">
        <v>111</v>
      </c>
      <c r="E11" s="25" t="str">
        <f t="shared" si="0"/>
        <v>BCO EMISOR</v>
      </c>
      <c r="F11" s="25" t="s">
        <v>112</v>
      </c>
      <c r="G11" s="23" t="s">
        <v>56</v>
      </c>
      <c r="H11" s="23" t="s">
        <v>92</v>
      </c>
      <c r="I11" s="28">
        <v>0</v>
      </c>
      <c r="J11" s="23" t="s">
        <v>56</v>
      </c>
      <c r="K11" s="23" t="s">
        <v>94</v>
      </c>
      <c r="L11" s="23" t="s">
        <v>56</v>
      </c>
      <c r="M11" s="23" t="s">
        <v>56</v>
      </c>
    </row>
    <row r="12" spans="1:13">
      <c r="A12" s="23" t="s">
        <v>49</v>
      </c>
      <c r="B12" s="23" t="s">
        <v>50</v>
      </c>
      <c r="C12" s="24" t="s">
        <v>62</v>
      </c>
      <c r="D12" s="25" t="s">
        <v>297</v>
      </c>
      <c r="E12" s="25" t="str">
        <f t="shared" si="0"/>
        <v>TARJETA ENMASCARADA (COMPUESTA POR LOS 6 PRIMEROS DÍGITOS, 6 ASTERISCOS Y 4 ÚLTIMOS DÍGITOS)</v>
      </c>
      <c r="F12" s="25" t="s">
        <v>298</v>
      </c>
      <c r="G12" s="23" t="s">
        <v>56</v>
      </c>
      <c r="H12" s="23" t="s">
        <v>92</v>
      </c>
      <c r="I12" s="28" t="s">
        <v>299</v>
      </c>
      <c r="J12" s="23" t="s">
        <v>56</v>
      </c>
      <c r="K12" s="23" t="s">
        <v>94</v>
      </c>
      <c r="L12" s="23" t="s">
        <v>56</v>
      </c>
      <c r="M12" s="23" t="s">
        <v>56</v>
      </c>
    </row>
    <row r="13" spans="1:13">
      <c r="A13" s="23" t="s">
        <v>49</v>
      </c>
      <c r="B13" s="23" t="s">
        <v>50</v>
      </c>
      <c r="C13" s="24" t="s">
        <v>62</v>
      </c>
      <c r="D13" s="25" t="s">
        <v>113</v>
      </c>
      <c r="E13" s="25" t="str">
        <f t="shared" si="0"/>
        <v>FECHA TRANSACC</v>
      </c>
      <c r="F13" s="25" t="s">
        <v>114</v>
      </c>
      <c r="G13" s="23" t="s">
        <v>56</v>
      </c>
      <c r="H13" s="23" t="s">
        <v>92</v>
      </c>
      <c r="I13" s="29">
        <v>20220723</v>
      </c>
      <c r="J13" s="23" t="s">
        <v>56</v>
      </c>
      <c r="K13" s="23" t="s">
        <v>94</v>
      </c>
      <c r="L13" s="23" t="s">
        <v>56</v>
      </c>
      <c r="M13" s="23" t="s">
        <v>56</v>
      </c>
    </row>
    <row r="14" spans="1:13">
      <c r="A14" s="23" t="s">
        <v>49</v>
      </c>
      <c r="B14" s="23" t="s">
        <v>50</v>
      </c>
      <c r="C14" s="24" t="s">
        <v>62</v>
      </c>
      <c r="D14" s="25" t="s">
        <v>115</v>
      </c>
      <c r="E14" s="25" t="str">
        <f t="shared" si="0"/>
        <v>NRO DOCUMENTO</v>
      </c>
      <c r="F14" s="25" t="s">
        <v>116</v>
      </c>
      <c r="G14" s="23" t="s">
        <v>56</v>
      </c>
      <c r="H14" s="23" t="s">
        <v>92</v>
      </c>
      <c r="I14" s="28">
        <v>3637882</v>
      </c>
      <c r="J14" s="23" t="s">
        <v>56</v>
      </c>
      <c r="K14" s="23" t="s">
        <v>94</v>
      </c>
      <c r="L14" s="23" t="s">
        <v>56</v>
      </c>
      <c r="M14" s="23" t="s">
        <v>56</v>
      </c>
    </row>
    <row r="15" spans="1:13">
      <c r="A15" s="23" t="s">
        <v>49</v>
      </c>
      <c r="B15" s="23" t="s">
        <v>50</v>
      </c>
      <c r="C15" s="24" t="s">
        <v>62</v>
      </c>
      <c r="D15" s="25" t="s">
        <v>117</v>
      </c>
      <c r="E15" s="25" t="str">
        <f t="shared" si="0"/>
        <v>AUTORIZACION</v>
      </c>
      <c r="F15" s="25" t="s">
        <v>118</v>
      </c>
      <c r="G15" s="23" t="s">
        <v>56</v>
      </c>
      <c r="H15" s="23" t="s">
        <v>92</v>
      </c>
      <c r="I15" s="28">
        <v>318382</v>
      </c>
      <c r="J15" s="23" t="s">
        <v>56</v>
      </c>
      <c r="K15" s="23" t="s">
        <v>94</v>
      </c>
      <c r="L15" s="23" t="s">
        <v>56</v>
      </c>
      <c r="M15" s="23" t="s">
        <v>56</v>
      </c>
    </row>
    <row r="16" spans="1:13">
      <c r="A16" s="23" t="s">
        <v>49</v>
      </c>
      <c r="B16" s="23" t="s">
        <v>50</v>
      </c>
      <c r="C16" s="24" t="s">
        <v>62</v>
      </c>
      <c r="D16" s="25" t="s">
        <v>120</v>
      </c>
      <c r="E16" s="25" t="str">
        <f t="shared" si="0"/>
        <v>IMPORTE</v>
      </c>
      <c r="F16" s="25" t="s">
        <v>121</v>
      </c>
      <c r="G16" s="23" t="s">
        <v>56</v>
      </c>
      <c r="H16" s="23" t="s">
        <v>92</v>
      </c>
      <c r="I16" s="28">
        <v>90</v>
      </c>
      <c r="J16" s="23" t="s">
        <v>56</v>
      </c>
      <c r="K16" s="23" t="s">
        <v>94</v>
      </c>
      <c r="L16" s="23" t="s">
        <v>56</v>
      </c>
      <c r="M16" s="23" t="s">
        <v>56</v>
      </c>
    </row>
    <row r="17" spans="1:13">
      <c r="A17" s="23" t="s">
        <v>49</v>
      </c>
      <c r="B17" s="23" t="s">
        <v>50</v>
      </c>
      <c r="C17" s="24" t="s">
        <v>62</v>
      </c>
      <c r="D17" s="25" t="s">
        <v>122</v>
      </c>
      <c r="E17" s="25" t="str">
        <f t="shared" si="0"/>
        <v>MONEDA</v>
      </c>
      <c r="F17" s="25" t="s">
        <v>123</v>
      </c>
      <c r="G17" s="23" t="s">
        <v>56</v>
      </c>
      <c r="H17" s="23" t="s">
        <v>92</v>
      </c>
      <c r="I17" s="28">
        <v>604</v>
      </c>
      <c r="J17" s="23" t="s">
        <v>56</v>
      </c>
      <c r="K17" s="23" t="s">
        <v>94</v>
      </c>
      <c r="L17" s="23" t="s">
        <v>56</v>
      </c>
      <c r="M17" s="23" t="s">
        <v>56</v>
      </c>
    </row>
    <row r="18" spans="1:13">
      <c r="A18" s="23" t="s">
        <v>49</v>
      </c>
      <c r="B18" s="23" t="s">
        <v>50</v>
      </c>
      <c r="C18" s="24" t="s">
        <v>62</v>
      </c>
      <c r="D18" s="25" t="s">
        <v>124</v>
      </c>
      <c r="E18" s="25" t="str">
        <f t="shared" si="0"/>
        <v>ABO/CAR COMISION</v>
      </c>
      <c r="F18" s="25" t="s">
        <v>125</v>
      </c>
      <c r="G18" s="23" t="s">
        <v>56</v>
      </c>
      <c r="H18" s="23" t="s">
        <v>92</v>
      </c>
      <c r="I18" s="28"/>
      <c r="J18" s="23" t="s">
        <v>56</v>
      </c>
      <c r="K18" s="23" t="s">
        <v>94</v>
      </c>
      <c r="L18" s="23" t="s">
        <v>56</v>
      </c>
      <c r="M18" s="23" t="s">
        <v>56</v>
      </c>
    </row>
    <row r="19" spans="1:13">
      <c r="A19" s="23" t="s">
        <v>49</v>
      </c>
      <c r="B19" s="23" t="s">
        <v>50</v>
      </c>
      <c r="C19" s="24" t="s">
        <v>62</v>
      </c>
      <c r="D19" s="27" t="s">
        <v>126</v>
      </c>
      <c r="E19" s="25" t="str">
        <f t="shared" si="0"/>
        <v>COMISION</v>
      </c>
      <c r="F19" s="25" t="s">
        <v>127</v>
      </c>
      <c r="G19" s="23" t="s">
        <v>94</v>
      </c>
      <c r="H19" s="23" t="s">
        <v>92</v>
      </c>
      <c r="I19" s="28">
        <v>3.1</v>
      </c>
      <c r="J19" s="23" t="s">
        <v>56</v>
      </c>
      <c r="K19" s="23" t="s">
        <v>94</v>
      </c>
      <c r="L19" s="23" t="s">
        <v>56</v>
      </c>
      <c r="M19" s="23" t="s">
        <v>56</v>
      </c>
    </row>
    <row r="20" spans="1:13">
      <c r="A20" s="23" t="s">
        <v>49</v>
      </c>
      <c r="B20" s="23" t="s">
        <v>50</v>
      </c>
      <c r="C20" s="24" t="s">
        <v>62</v>
      </c>
      <c r="D20" s="27" t="s">
        <v>128</v>
      </c>
      <c r="E20" s="25" t="str">
        <f t="shared" si="0"/>
        <v>COMISION PROCES</v>
      </c>
      <c r="F20" s="25" t="s">
        <v>129</v>
      </c>
      <c r="G20" s="23" t="s">
        <v>94</v>
      </c>
      <c r="H20" s="23" t="s">
        <v>92</v>
      </c>
      <c r="I20" s="28">
        <v>1.4</v>
      </c>
      <c r="J20" s="23" t="s">
        <v>56</v>
      </c>
      <c r="K20" s="23" t="s">
        <v>94</v>
      </c>
      <c r="L20" s="23" t="s">
        <v>56</v>
      </c>
      <c r="M20" s="23" t="s">
        <v>56</v>
      </c>
    </row>
    <row r="21" spans="1:13">
      <c r="A21" s="23" t="s">
        <v>49</v>
      </c>
      <c r="B21" s="23" t="s">
        <v>50</v>
      </c>
      <c r="C21" s="24" t="s">
        <v>62</v>
      </c>
      <c r="D21" s="25" t="s">
        <v>130</v>
      </c>
      <c r="E21" s="25" t="str">
        <f t="shared" si="0"/>
        <v>IMPUESTO PROCES</v>
      </c>
      <c r="F21" s="25" t="s">
        <v>131</v>
      </c>
      <c r="G21" s="23" t="s">
        <v>56</v>
      </c>
      <c r="H21" s="23" t="s">
        <v>92</v>
      </c>
      <c r="I21" s="28">
        <v>0.56000000000000005</v>
      </c>
      <c r="J21" s="23" t="s">
        <v>56</v>
      </c>
      <c r="K21" s="23" t="s">
        <v>94</v>
      </c>
      <c r="L21" s="23" t="s">
        <v>56</v>
      </c>
      <c r="M21" s="23" t="s">
        <v>56</v>
      </c>
    </row>
    <row r="22" spans="1:13">
      <c r="A22" s="23" t="s">
        <v>49</v>
      </c>
      <c r="B22" s="23" t="s">
        <v>50</v>
      </c>
      <c r="C22" s="24" t="s">
        <v>62</v>
      </c>
      <c r="D22" s="25" t="s">
        <v>132</v>
      </c>
      <c r="E22" s="25" t="str">
        <f t="shared" si="0"/>
        <v>COMISION EMISOR</v>
      </c>
      <c r="F22" s="25" t="s">
        <v>133</v>
      </c>
      <c r="G22" s="23" t="s">
        <v>56</v>
      </c>
      <c r="H22" s="23" t="s">
        <v>92</v>
      </c>
      <c r="I22" s="28">
        <v>1.7</v>
      </c>
      <c r="J22" s="23" t="s">
        <v>56</v>
      </c>
      <c r="K22" s="23" t="s">
        <v>94</v>
      </c>
      <c r="L22" s="23" t="s">
        <v>56</v>
      </c>
      <c r="M22" s="23" t="s">
        <v>56</v>
      </c>
    </row>
    <row r="23" spans="1:13">
      <c r="A23" s="23" t="s">
        <v>49</v>
      </c>
      <c r="B23" s="23" t="s">
        <v>50</v>
      </c>
      <c r="C23" s="24" t="s">
        <v>62</v>
      </c>
      <c r="D23" s="25" t="s">
        <v>134</v>
      </c>
      <c r="E23" s="25" t="str">
        <f t="shared" si="0"/>
        <v>IMPUESTO EMISOR</v>
      </c>
      <c r="F23" s="25" t="s">
        <v>135</v>
      </c>
      <c r="G23" s="23" t="s">
        <v>56</v>
      </c>
      <c r="H23" s="23" t="s">
        <v>92</v>
      </c>
      <c r="I23" s="28">
        <v>0.18</v>
      </c>
      <c r="J23" s="23" t="s">
        <v>56</v>
      </c>
      <c r="K23" s="23" t="s">
        <v>94</v>
      </c>
      <c r="L23" s="23" t="s">
        <v>56</v>
      </c>
      <c r="M23" s="23" t="s">
        <v>56</v>
      </c>
    </row>
    <row r="24" spans="1:13">
      <c r="A24" s="23" t="s">
        <v>49</v>
      </c>
      <c r="B24" s="23" t="s">
        <v>50</v>
      </c>
      <c r="C24" s="24" t="s">
        <v>62</v>
      </c>
      <c r="D24" s="25" t="s">
        <v>136</v>
      </c>
      <c r="E24" s="25" t="str">
        <f t="shared" si="0"/>
        <v>MEDIO DE TRANSAC</v>
      </c>
      <c r="F24" s="25" t="s">
        <v>137</v>
      </c>
      <c r="G24" s="23" t="s">
        <v>56</v>
      </c>
      <c r="H24" s="23" t="s">
        <v>92</v>
      </c>
      <c r="I24" s="28" t="s">
        <v>270</v>
      </c>
      <c r="J24" s="23" t="s">
        <v>56</v>
      </c>
      <c r="K24" s="23" t="s">
        <v>94</v>
      </c>
      <c r="L24" s="23" t="s">
        <v>56</v>
      </c>
      <c r="M24" s="23" t="s">
        <v>56</v>
      </c>
    </row>
    <row r="25" spans="1:13">
      <c r="A25" s="23" t="s">
        <v>49</v>
      </c>
      <c r="B25" s="23" t="s">
        <v>50</v>
      </c>
      <c r="C25" s="24" t="s">
        <v>62</v>
      </c>
      <c r="D25" s="25" t="s">
        <v>139</v>
      </c>
      <c r="E25" s="25" t="str">
        <f t="shared" si="0"/>
        <v>FECHA DE LOTE</v>
      </c>
      <c r="F25" s="25" t="s">
        <v>140</v>
      </c>
      <c r="G25" s="23" t="s">
        <v>56</v>
      </c>
      <c r="H25" s="23" t="s">
        <v>92</v>
      </c>
      <c r="I25" s="28">
        <v>20220816</v>
      </c>
      <c r="J25" s="23" t="s">
        <v>56</v>
      </c>
      <c r="K25" s="23" t="s">
        <v>94</v>
      </c>
      <c r="L25" s="23" t="s">
        <v>56</v>
      </c>
      <c r="M25" s="23" t="s">
        <v>56</v>
      </c>
    </row>
    <row r="26" spans="1:13">
      <c r="A26" s="23" t="s">
        <v>49</v>
      </c>
      <c r="B26" s="23" t="s">
        <v>50</v>
      </c>
      <c r="C26" s="24" t="s">
        <v>62</v>
      </c>
      <c r="D26" s="25" t="s">
        <v>141</v>
      </c>
      <c r="E26" s="25" t="str">
        <f t="shared" si="0"/>
        <v>LOTE REFERENCIA</v>
      </c>
      <c r="F26" s="25" t="s">
        <v>142</v>
      </c>
      <c r="G26" s="23" t="s">
        <v>56</v>
      </c>
      <c r="H26" s="23" t="s">
        <v>92</v>
      </c>
      <c r="I26" s="28">
        <v>5294</v>
      </c>
      <c r="J26" s="23" t="s">
        <v>56</v>
      </c>
      <c r="K26" s="23" t="s">
        <v>94</v>
      </c>
      <c r="L26" s="23" t="s">
        <v>56</v>
      </c>
      <c r="M26" s="23" t="s">
        <v>56</v>
      </c>
    </row>
    <row r="27" spans="1:13">
      <c r="A27" s="23" t="s">
        <v>49</v>
      </c>
      <c r="B27" s="23" t="s">
        <v>50</v>
      </c>
      <c r="C27" s="24" t="s">
        <v>62</v>
      </c>
      <c r="D27" s="25" t="s">
        <v>143</v>
      </c>
      <c r="E27" s="25" t="str">
        <f t="shared" si="0"/>
        <v>USUARIO</v>
      </c>
      <c r="F27" s="25" t="s">
        <v>144</v>
      </c>
      <c r="G27" s="23" t="s">
        <v>56</v>
      </c>
      <c r="H27" s="23" t="s">
        <v>92</v>
      </c>
      <c r="I27" s="28" t="s">
        <v>271</v>
      </c>
      <c r="J27" s="23" t="s">
        <v>56</v>
      </c>
      <c r="K27" s="23" t="s">
        <v>94</v>
      </c>
      <c r="L27" s="23" t="s">
        <v>56</v>
      </c>
      <c r="M27" s="23" t="s">
        <v>56</v>
      </c>
    </row>
    <row r="28" spans="1:13">
      <c r="A28" s="23" t="s">
        <v>49</v>
      </c>
      <c r="B28" s="23" t="s">
        <v>50</v>
      </c>
      <c r="C28" s="24" t="s">
        <v>62</v>
      </c>
      <c r="D28" s="25" t="s">
        <v>145</v>
      </c>
      <c r="E28" s="25" t="str">
        <f t="shared" si="0"/>
        <v>TERMINAL</v>
      </c>
      <c r="F28" s="25" t="s">
        <v>146</v>
      </c>
      <c r="G28" s="23" t="s">
        <v>56</v>
      </c>
      <c r="H28" s="23" t="s">
        <v>92</v>
      </c>
      <c r="I28" s="28">
        <v>78787878</v>
      </c>
      <c r="J28" s="23" t="s">
        <v>56</v>
      </c>
      <c r="K28" s="23" t="s">
        <v>94</v>
      </c>
      <c r="L28" s="23" t="s">
        <v>56</v>
      </c>
      <c r="M28" s="23" t="s">
        <v>56</v>
      </c>
    </row>
    <row r="29" spans="1:13">
      <c r="A29" s="23" t="s">
        <v>49</v>
      </c>
      <c r="B29" s="23" t="s">
        <v>50</v>
      </c>
      <c r="C29" s="24" t="s">
        <v>62</v>
      </c>
      <c r="D29" s="25" t="s">
        <v>148</v>
      </c>
      <c r="E29" s="25" t="str">
        <f t="shared" si="0"/>
        <v>APROBADO POR</v>
      </c>
      <c r="F29" s="25" t="s">
        <v>149</v>
      </c>
      <c r="G29" s="23" t="s">
        <v>56</v>
      </c>
      <c r="H29" s="23" t="s">
        <v>92</v>
      </c>
      <c r="I29" s="28" t="s">
        <v>272</v>
      </c>
      <c r="J29" s="23" t="s">
        <v>56</v>
      </c>
      <c r="K29" s="23" t="s">
        <v>94</v>
      </c>
      <c r="L29" s="23" t="s">
        <v>56</v>
      </c>
      <c r="M29" s="23" t="s">
        <v>56</v>
      </c>
    </row>
    <row r="30" spans="1:13">
      <c r="A30" s="23" t="s">
        <v>49</v>
      </c>
      <c r="B30" s="23" t="s">
        <v>50</v>
      </c>
      <c r="C30" s="24" t="s">
        <v>62</v>
      </c>
      <c r="D30" s="25" t="s">
        <v>151</v>
      </c>
      <c r="E30" s="25" t="str">
        <f t="shared" si="0"/>
        <v>FECHA PENDIENTE</v>
      </c>
      <c r="F30" s="25" t="s">
        <v>152</v>
      </c>
      <c r="G30" s="23" t="s">
        <v>56</v>
      </c>
      <c r="H30" s="23" t="s">
        <v>92</v>
      </c>
      <c r="I30" s="28">
        <v>0</v>
      </c>
      <c r="J30" s="23" t="s">
        <v>56</v>
      </c>
      <c r="K30" s="23" t="s">
        <v>94</v>
      </c>
      <c r="L30" s="23" t="s">
        <v>56</v>
      </c>
      <c r="M30" s="23" t="s">
        <v>56</v>
      </c>
    </row>
    <row r="31" spans="1:13">
      <c r="A31" s="23" t="s">
        <v>49</v>
      </c>
      <c r="B31" s="23" t="s">
        <v>50</v>
      </c>
      <c r="C31" s="24" t="s">
        <v>62</v>
      </c>
      <c r="D31" s="25" t="s">
        <v>159</v>
      </c>
      <c r="E31" s="25" t="str">
        <f t="shared" si="0"/>
        <v>MCC</v>
      </c>
      <c r="F31" s="25" t="s">
        <v>160</v>
      </c>
      <c r="G31" s="23" t="s">
        <v>56</v>
      </c>
      <c r="H31" s="23" t="s">
        <v>92</v>
      </c>
      <c r="I31" s="28">
        <v>5814</v>
      </c>
      <c r="J31" s="23" t="s">
        <v>56</v>
      </c>
      <c r="K31" s="23" t="s">
        <v>94</v>
      </c>
      <c r="L31" s="23" t="s">
        <v>56</v>
      </c>
      <c r="M31" s="23" t="s">
        <v>56</v>
      </c>
    </row>
    <row r="32" spans="1:13">
      <c r="A32" s="23" t="s">
        <v>49</v>
      </c>
      <c r="B32" s="23" t="s">
        <v>50</v>
      </c>
      <c r="C32" s="24" t="s">
        <v>62</v>
      </c>
      <c r="D32" s="25" t="s">
        <v>161</v>
      </c>
      <c r="E32" s="25" t="str">
        <f t="shared" si="0"/>
        <v>TIPO CAMBIO</v>
      </c>
      <c r="F32" s="25" t="s">
        <v>162</v>
      </c>
      <c r="G32" s="23" t="s">
        <v>56</v>
      </c>
      <c r="H32" s="23" t="s">
        <v>92</v>
      </c>
      <c r="I32" s="28">
        <v>0</v>
      </c>
      <c r="J32" s="23" t="s">
        <v>56</v>
      </c>
      <c r="K32" s="23" t="s">
        <v>94</v>
      </c>
      <c r="L32" s="23" t="s">
        <v>56</v>
      </c>
      <c r="M32" s="23" t="s">
        <v>56</v>
      </c>
    </row>
    <row r="33" spans="1:13">
      <c r="A33" s="23" t="s">
        <v>49</v>
      </c>
      <c r="B33" s="23" t="s">
        <v>50</v>
      </c>
      <c r="C33" s="24" t="s">
        <v>62</v>
      </c>
      <c r="D33" s="25" t="s">
        <v>163</v>
      </c>
      <c r="E33" s="25" t="str">
        <f t="shared" si="0"/>
        <v>IMPORTE S/.</v>
      </c>
      <c r="F33" s="25" t="s">
        <v>164</v>
      </c>
      <c r="G33" s="23" t="s">
        <v>56</v>
      </c>
      <c r="H33" s="23" t="s">
        <v>92</v>
      </c>
      <c r="I33" s="28">
        <v>90</v>
      </c>
      <c r="J33" s="23" t="s">
        <v>56</v>
      </c>
      <c r="K33" s="23" t="s">
        <v>94</v>
      </c>
      <c r="L33" s="23" t="s">
        <v>56</v>
      </c>
      <c r="M33" s="23" t="s">
        <v>56</v>
      </c>
    </row>
    <row r="34" spans="1:13">
      <c r="A34" s="23" t="s">
        <v>49</v>
      </c>
      <c r="B34" s="23" t="s">
        <v>50</v>
      </c>
      <c r="C34" s="24" t="s">
        <v>62</v>
      </c>
      <c r="D34" s="25" t="s">
        <v>165</v>
      </c>
      <c r="E34" s="25" t="str">
        <f t="shared" si="0"/>
        <v>NETO 1</v>
      </c>
      <c r="F34" s="25" t="s">
        <v>166</v>
      </c>
      <c r="G34" s="23" t="s">
        <v>56</v>
      </c>
      <c r="H34" s="23" t="s">
        <v>92</v>
      </c>
      <c r="I34" s="28">
        <v>86.34</v>
      </c>
      <c r="J34" s="23" t="s">
        <v>56</v>
      </c>
      <c r="K34" s="23" t="s">
        <v>94</v>
      </c>
      <c r="L34" s="23" t="s">
        <v>56</v>
      </c>
      <c r="M34" s="23" t="s">
        <v>56</v>
      </c>
    </row>
    <row r="35" spans="1:13">
      <c r="A35" s="23" t="s">
        <v>49</v>
      </c>
      <c r="B35" s="23" t="s">
        <v>50</v>
      </c>
      <c r="C35" s="24" t="s">
        <v>62</v>
      </c>
      <c r="D35" s="25" t="s">
        <v>167</v>
      </c>
      <c r="E35" s="25" t="str">
        <f t="shared" si="0"/>
        <v>IMPO DEVOLUC PAGADO</v>
      </c>
      <c r="F35" s="25" t="s">
        <v>168</v>
      </c>
      <c r="G35" s="23" t="s">
        <v>56</v>
      </c>
      <c r="H35" s="23" t="s">
        <v>92</v>
      </c>
      <c r="I35" s="28">
        <v>0</v>
      </c>
      <c r="J35" s="23" t="s">
        <v>56</v>
      </c>
      <c r="K35" s="23" t="s">
        <v>94</v>
      </c>
      <c r="L35" s="23" t="s">
        <v>56</v>
      </c>
      <c r="M35" s="23" t="s">
        <v>56</v>
      </c>
    </row>
    <row r="36" spans="1:13">
      <c r="A36" s="23" t="s">
        <v>49</v>
      </c>
      <c r="B36" s="23" t="s">
        <v>50</v>
      </c>
      <c r="C36" s="24" t="s">
        <v>62</v>
      </c>
      <c r="D36" s="25" t="s">
        <v>169</v>
      </c>
      <c r="E36" s="25" t="str">
        <f t="shared" si="0"/>
        <v>NETO 2</v>
      </c>
      <c r="F36" s="25" t="s">
        <v>170</v>
      </c>
      <c r="G36" s="23" t="s">
        <v>56</v>
      </c>
      <c r="H36" s="23" t="s">
        <v>92</v>
      </c>
      <c r="I36" s="28">
        <v>86.34</v>
      </c>
      <c r="J36" s="23" t="s">
        <v>56</v>
      </c>
      <c r="K36" s="23" t="s">
        <v>94</v>
      </c>
      <c r="L36" s="23" t="s">
        <v>56</v>
      </c>
      <c r="M36" s="23" t="s">
        <v>56</v>
      </c>
    </row>
    <row r="37" spans="1:13">
      <c r="A37" s="23" t="s">
        <v>49</v>
      </c>
      <c r="B37" s="23" t="s">
        <v>50</v>
      </c>
      <c r="C37" s="24" t="s">
        <v>62</v>
      </c>
      <c r="D37" s="25" t="s">
        <v>171</v>
      </c>
      <c r="E37" s="25" t="str">
        <f t="shared" si="0"/>
        <v>FECHA 1ER PAGO</v>
      </c>
      <c r="F37" s="25" t="s">
        <v>172</v>
      </c>
      <c r="G37" s="23" t="s">
        <v>56</v>
      </c>
      <c r="H37" s="23" t="s">
        <v>92</v>
      </c>
      <c r="I37" s="28">
        <v>0</v>
      </c>
      <c r="J37" s="23" t="s">
        <v>56</v>
      </c>
      <c r="K37" s="23" t="s">
        <v>94</v>
      </c>
      <c r="L37" s="23" t="s">
        <v>56</v>
      </c>
      <c r="M37" s="23" t="s">
        <v>56</v>
      </c>
    </row>
    <row r="38" spans="1:13">
      <c r="A38" s="23" t="s">
        <v>49</v>
      </c>
      <c r="B38" s="23" t="s">
        <v>50</v>
      </c>
      <c r="C38" s="24" t="s">
        <v>62</v>
      </c>
      <c r="D38" s="25" t="s">
        <v>173</v>
      </c>
      <c r="E38" s="25" t="str">
        <f t="shared" si="0"/>
        <v>FECHA CANCELACION</v>
      </c>
      <c r="F38" s="25" t="s">
        <v>174</v>
      </c>
      <c r="G38" s="23" t="s">
        <v>56</v>
      </c>
      <c r="H38" s="23" t="s">
        <v>92</v>
      </c>
      <c r="I38" s="28">
        <v>0</v>
      </c>
      <c r="J38" s="23" t="s">
        <v>56</v>
      </c>
      <c r="K38" s="23" t="s">
        <v>94</v>
      </c>
      <c r="L38" s="23" t="s">
        <v>56</v>
      </c>
      <c r="M38" s="23" t="s">
        <v>56</v>
      </c>
    </row>
    <row r="39" spans="1:13">
      <c r="A39" s="23" t="s">
        <v>49</v>
      </c>
      <c r="B39" s="23" t="s">
        <v>50</v>
      </c>
      <c r="C39" s="24" t="s">
        <v>62</v>
      </c>
      <c r="D39" s="25" t="s">
        <v>177</v>
      </c>
      <c r="E39" s="25" t="str">
        <f t="shared" si="0"/>
        <v>SERV.PROCESAMIE</v>
      </c>
      <c r="F39" s="25" t="s">
        <v>178</v>
      </c>
      <c r="G39" s="23" t="s">
        <v>56</v>
      </c>
      <c r="H39" s="23" t="s">
        <v>92</v>
      </c>
      <c r="I39" s="28">
        <v>0</v>
      </c>
      <c r="J39" s="23" t="s">
        <v>56</v>
      </c>
      <c r="K39" s="23" t="s">
        <v>94</v>
      </c>
      <c r="L39" s="23" t="s">
        <v>56</v>
      </c>
      <c r="M39" s="23" t="s">
        <v>56</v>
      </c>
    </row>
    <row r="40" spans="1:13">
      <c r="A40" s="23" t="s">
        <v>49</v>
      </c>
      <c r="B40" s="23" t="s">
        <v>50</v>
      </c>
      <c r="C40" s="24" t="s">
        <v>62</v>
      </c>
      <c r="D40" s="25" t="s">
        <v>179</v>
      </c>
      <c r="E40" s="25" t="str">
        <f t="shared" si="0"/>
        <v>IMPUESTO SERV.P</v>
      </c>
      <c r="F40" s="25" t="s">
        <v>180</v>
      </c>
      <c r="G40" s="23" t="s">
        <v>56</v>
      </c>
      <c r="H40" s="23" t="s">
        <v>92</v>
      </c>
      <c r="I40" s="28">
        <v>0</v>
      </c>
      <c r="J40" s="23" t="s">
        <v>56</v>
      </c>
      <c r="K40" s="23" t="s">
        <v>94</v>
      </c>
      <c r="L40" s="23" t="s">
        <v>56</v>
      </c>
      <c r="M40" s="23" t="s">
        <v>56</v>
      </c>
    </row>
    <row r="41" spans="1:13">
      <c r="A41" s="23" t="s">
        <v>49</v>
      </c>
      <c r="B41" s="23" t="s">
        <v>50</v>
      </c>
      <c r="C41" s="24" t="s">
        <v>62</v>
      </c>
      <c r="D41" s="25" t="s">
        <v>273</v>
      </c>
      <c r="E41" s="25" t="str">
        <f t="shared" si="0"/>
        <v>TIPDOC IDEN</v>
      </c>
      <c r="F41" s="25" t="s">
        <v>274</v>
      </c>
      <c r="G41" s="23" t="s">
        <v>56</v>
      </c>
      <c r="H41" s="23" t="s">
        <v>92</v>
      </c>
      <c r="I41" s="28">
        <v>6</v>
      </c>
      <c r="J41" s="23" t="s">
        <v>56</v>
      </c>
      <c r="K41" s="23" t="s">
        <v>94</v>
      </c>
      <c r="L41" s="23" t="s">
        <v>56</v>
      </c>
      <c r="M41" s="23" t="s">
        <v>56</v>
      </c>
    </row>
    <row r="42" spans="1:13">
      <c r="A42" s="23" t="s">
        <v>49</v>
      </c>
      <c r="B42" s="23" t="s">
        <v>50</v>
      </c>
      <c r="C42" s="24" t="s">
        <v>62</v>
      </c>
      <c r="D42" s="27" t="s">
        <v>181</v>
      </c>
      <c r="E42" s="25" t="str">
        <f t="shared" si="0"/>
        <v>RUC</v>
      </c>
      <c r="F42" s="25" t="s">
        <v>182</v>
      </c>
      <c r="G42" s="23" t="s">
        <v>94</v>
      </c>
      <c r="H42" s="23" t="s">
        <v>92</v>
      </c>
      <c r="I42" s="28">
        <v>10102664782</v>
      </c>
      <c r="J42" s="23" t="s">
        <v>56</v>
      </c>
      <c r="K42" s="23" t="s">
        <v>94</v>
      </c>
      <c r="L42" s="23" t="s">
        <v>56</v>
      </c>
      <c r="M42" s="23" t="s">
        <v>56</v>
      </c>
    </row>
    <row r="43" spans="1:13">
      <c r="A43" s="23" t="s">
        <v>49</v>
      </c>
      <c r="B43" s="23" t="s">
        <v>50</v>
      </c>
      <c r="C43" s="24" t="s">
        <v>62</v>
      </c>
      <c r="D43" s="25" t="s">
        <v>185</v>
      </c>
      <c r="E43" s="25" t="str">
        <f t="shared" si="0"/>
        <v>SITUACION (' ':ACTIVO, C:CANCELADA, K:CASTIGADA, I:CASTIGADA INCOBRABLE, 'G':EN GESTION, D:CANCELADA-CASTIGADA)</v>
      </c>
      <c r="F43" s="25" t="s">
        <v>186</v>
      </c>
      <c r="G43" s="23" t="s">
        <v>56</v>
      </c>
      <c r="H43" s="23" t="s">
        <v>92</v>
      </c>
      <c r="I43" s="28"/>
      <c r="J43" s="23" t="s">
        <v>56</v>
      </c>
      <c r="K43" s="23" t="s">
        <v>94</v>
      </c>
      <c r="L43" s="23" t="s">
        <v>56</v>
      </c>
      <c r="M43" s="23" t="s">
        <v>56</v>
      </c>
    </row>
    <row r="44" spans="1:13">
      <c r="A44" s="23" t="s">
        <v>49</v>
      </c>
      <c r="B44" s="23" t="s">
        <v>50</v>
      </c>
      <c r="C44" s="24" t="s">
        <v>62</v>
      </c>
      <c r="D44" s="25" t="s">
        <v>188</v>
      </c>
      <c r="E44" s="25" t="str">
        <f t="shared" si="0"/>
        <v>USER SITUACION</v>
      </c>
      <c r="F44" s="25" t="s">
        <v>189</v>
      </c>
      <c r="G44" s="23" t="s">
        <v>56</v>
      </c>
      <c r="H44" s="23" t="s">
        <v>92</v>
      </c>
      <c r="I44" s="28"/>
      <c r="J44" s="23" t="s">
        <v>56</v>
      </c>
      <c r="K44" s="23" t="s">
        <v>94</v>
      </c>
      <c r="L44" s="23" t="s">
        <v>56</v>
      </c>
      <c r="M44" s="23" t="s">
        <v>56</v>
      </c>
    </row>
    <row r="45" spans="1:13">
      <c r="A45" s="23" t="s">
        <v>49</v>
      </c>
      <c r="B45" s="23" t="s">
        <v>50</v>
      </c>
      <c r="C45" s="24" t="s">
        <v>62</v>
      </c>
      <c r="D45" s="25" t="s">
        <v>190</v>
      </c>
      <c r="E45" s="25" t="str">
        <f t="shared" si="0"/>
        <v>FECH SITUACION</v>
      </c>
      <c r="F45" s="25" t="s">
        <v>191</v>
      </c>
      <c r="G45" s="23" t="s">
        <v>56</v>
      </c>
      <c r="H45" s="23" t="s">
        <v>92</v>
      </c>
      <c r="I45" s="28">
        <v>0</v>
      </c>
      <c r="J45" s="23" t="s">
        <v>56</v>
      </c>
      <c r="K45" s="23" t="s">
        <v>94</v>
      </c>
      <c r="L45" s="23" t="s">
        <v>56</v>
      </c>
      <c r="M45" s="23" t="s">
        <v>56</v>
      </c>
    </row>
    <row r="46" spans="1:13">
      <c r="A46" s="23" t="s">
        <v>49</v>
      </c>
      <c r="B46" s="23" t="s">
        <v>50</v>
      </c>
      <c r="C46" s="24" t="s">
        <v>62</v>
      </c>
      <c r="D46" s="25" t="s">
        <v>192</v>
      </c>
      <c r="E46" s="25" t="str">
        <f t="shared" si="0"/>
        <v>INDICA DEVOLUCION</v>
      </c>
      <c r="F46" s="25" t="s">
        <v>193</v>
      </c>
      <c r="G46" s="23" t="s">
        <v>56</v>
      </c>
      <c r="H46" s="23" t="s">
        <v>92</v>
      </c>
      <c r="I46" s="28" t="s">
        <v>194</v>
      </c>
      <c r="J46" s="23" t="s">
        <v>56</v>
      </c>
      <c r="K46" s="23" t="s">
        <v>94</v>
      </c>
      <c r="L46" s="23" t="s">
        <v>56</v>
      </c>
      <c r="M46" s="23" t="s">
        <v>56</v>
      </c>
    </row>
    <row r="47" spans="1:13">
      <c r="A47" s="23" t="s">
        <v>49</v>
      </c>
      <c r="B47" s="23" t="s">
        <v>50</v>
      </c>
      <c r="C47" s="24" t="s">
        <v>62</v>
      </c>
      <c r="D47" s="25" t="s">
        <v>195</v>
      </c>
      <c r="E47" s="25" t="str">
        <f t="shared" si="0"/>
        <v>ACQUIRER REFE NBR</v>
      </c>
      <c r="F47" s="25" t="s">
        <v>196</v>
      </c>
      <c r="G47" s="23" t="s">
        <v>56</v>
      </c>
      <c r="H47" s="23" t="s">
        <v>92</v>
      </c>
      <c r="I47" s="28">
        <v>7.4357042228000297E+22</v>
      </c>
      <c r="J47" s="23" t="s">
        <v>56</v>
      </c>
      <c r="K47" s="23" t="s">
        <v>94</v>
      </c>
      <c r="L47" s="23" t="s">
        <v>56</v>
      </c>
      <c r="M47" s="23" t="s">
        <v>56</v>
      </c>
    </row>
    <row r="48" spans="1:13">
      <c r="A48" s="23" t="s">
        <v>49</v>
      </c>
      <c r="B48" s="23" t="s">
        <v>50</v>
      </c>
      <c r="C48" s="24" t="s">
        <v>62</v>
      </c>
      <c r="D48" s="25" t="s">
        <v>197</v>
      </c>
      <c r="E48" s="25" t="str">
        <f t="shared" si="0"/>
        <v>MOTIVO CARTA</v>
      </c>
      <c r="F48" s="25" t="s">
        <v>198</v>
      </c>
      <c r="G48" s="23" t="s">
        <v>56</v>
      </c>
      <c r="H48" s="23" t="s">
        <v>92</v>
      </c>
      <c r="I48" s="28"/>
      <c r="J48" s="23" t="s">
        <v>56</v>
      </c>
      <c r="K48" s="23" t="s">
        <v>94</v>
      </c>
      <c r="L48" s="23" t="s">
        <v>56</v>
      </c>
      <c r="M48" s="23" t="s">
        <v>56</v>
      </c>
    </row>
    <row r="49" spans="1:13">
      <c r="A49" s="23" t="s">
        <v>49</v>
      </c>
      <c r="B49" s="23" t="s">
        <v>50</v>
      </c>
      <c r="C49" s="24" t="s">
        <v>62</v>
      </c>
      <c r="D49" s="25" t="s">
        <v>199</v>
      </c>
      <c r="E49" s="25" t="str">
        <f t="shared" si="0"/>
        <v>TIPO:FAC,N/C</v>
      </c>
      <c r="F49" s="25" t="s">
        <v>200</v>
      </c>
      <c r="G49" s="23" t="s">
        <v>56</v>
      </c>
      <c r="H49" s="23" t="s">
        <v>92</v>
      </c>
      <c r="I49" s="28" t="s">
        <v>201</v>
      </c>
      <c r="J49" s="23" t="s">
        <v>56</v>
      </c>
      <c r="K49" s="23" t="s">
        <v>94</v>
      </c>
      <c r="L49" s="23" t="s">
        <v>56</v>
      </c>
      <c r="M49" s="23" t="s">
        <v>56</v>
      </c>
    </row>
    <row r="50" spans="1:13">
      <c r="A50" s="23" t="s">
        <v>49</v>
      </c>
      <c r="B50" s="23" t="s">
        <v>50</v>
      </c>
      <c r="C50" s="24" t="s">
        <v>62</v>
      </c>
      <c r="D50" s="25" t="s">
        <v>202</v>
      </c>
      <c r="E50" s="25" t="str">
        <f t="shared" si="0"/>
        <v>NRO COMPROB PAGO</v>
      </c>
      <c r="F50" s="25" t="s">
        <v>203</v>
      </c>
      <c r="G50" s="23" t="s">
        <v>56</v>
      </c>
      <c r="H50" s="23" t="s">
        <v>92</v>
      </c>
      <c r="I50" s="28">
        <v>30310260</v>
      </c>
      <c r="J50" s="23" t="s">
        <v>56</v>
      </c>
      <c r="K50" s="23" t="s">
        <v>94</v>
      </c>
      <c r="L50" s="23" t="s">
        <v>56</v>
      </c>
      <c r="M50" s="23" t="s">
        <v>56</v>
      </c>
    </row>
    <row r="51" spans="1:13">
      <c r="A51" s="23" t="s">
        <v>49</v>
      </c>
      <c r="B51" s="23" t="s">
        <v>50</v>
      </c>
      <c r="C51" s="24" t="s">
        <v>62</v>
      </c>
      <c r="D51" s="25" t="s">
        <v>204</v>
      </c>
      <c r="E51" s="25" t="str">
        <f t="shared" si="0"/>
        <v>FEC APERTURA</v>
      </c>
      <c r="F51" s="25" t="s">
        <v>205</v>
      </c>
      <c r="G51" s="23" t="s">
        <v>56</v>
      </c>
      <c r="H51" s="23" t="s">
        <v>92</v>
      </c>
      <c r="I51" s="28">
        <v>20220517</v>
      </c>
      <c r="J51" s="23" t="s">
        <v>56</v>
      </c>
      <c r="K51" s="23" t="s">
        <v>94</v>
      </c>
      <c r="L51" s="23" t="s">
        <v>56</v>
      </c>
      <c r="M51" s="23" t="s">
        <v>56</v>
      </c>
    </row>
    <row r="52" spans="1:13">
      <c r="A52" s="23" t="s">
        <v>49</v>
      </c>
      <c r="B52" s="23" t="s">
        <v>50</v>
      </c>
      <c r="C52" s="24" t="s">
        <v>62</v>
      </c>
      <c r="D52" s="25" t="s">
        <v>206</v>
      </c>
      <c r="E52" s="25" t="str">
        <f t="shared" si="0"/>
        <v>EJECUTIVO</v>
      </c>
      <c r="F52" s="25" t="s">
        <v>207</v>
      </c>
      <c r="G52" s="23" t="s">
        <v>56</v>
      </c>
      <c r="H52" s="23" t="s">
        <v>92</v>
      </c>
      <c r="I52" s="28">
        <v>0</v>
      </c>
      <c r="J52" s="23" t="s">
        <v>56</v>
      </c>
      <c r="K52" s="23" t="s">
        <v>94</v>
      </c>
      <c r="L52" s="23" t="s">
        <v>56</v>
      </c>
      <c r="M52" s="23" t="s">
        <v>56</v>
      </c>
    </row>
    <row r="53" spans="1:13">
      <c r="A53" s="23" t="s">
        <v>49</v>
      </c>
      <c r="B53" s="23" t="s">
        <v>50</v>
      </c>
      <c r="C53" s="24" t="s">
        <v>62</v>
      </c>
      <c r="D53" s="25" t="s">
        <v>208</v>
      </c>
      <c r="E53" s="25" t="str">
        <f t="shared" si="0"/>
        <v>PROMOTOR</v>
      </c>
      <c r="F53" s="25" t="s">
        <v>209</v>
      </c>
      <c r="G53" s="23" t="s">
        <v>56</v>
      </c>
      <c r="H53" s="23" t="s">
        <v>92</v>
      </c>
      <c r="I53" s="28">
        <v>1060</v>
      </c>
      <c r="J53" s="23" t="s">
        <v>56</v>
      </c>
      <c r="K53" s="23" t="s">
        <v>94</v>
      </c>
      <c r="L53" s="23" t="s">
        <v>56</v>
      </c>
      <c r="M53" s="23" t="s">
        <v>56</v>
      </c>
    </row>
    <row r="54" spans="1:13">
      <c r="A54" s="23" t="s">
        <v>49</v>
      </c>
      <c r="B54" s="23" t="s">
        <v>50</v>
      </c>
      <c r="C54" s="24" t="s">
        <v>62</v>
      </c>
      <c r="D54" s="25" t="s">
        <v>210</v>
      </c>
      <c r="E54" s="25" t="str">
        <f t="shared" si="0"/>
        <v>FEC.PRO.REFERENCIA</v>
      </c>
      <c r="F54" s="25" t="s">
        <v>211</v>
      </c>
      <c r="G54" s="23" t="s">
        <v>56</v>
      </c>
      <c r="H54" s="23" t="s">
        <v>92</v>
      </c>
      <c r="I54" s="28">
        <v>0</v>
      </c>
      <c r="J54" s="23" t="s">
        <v>56</v>
      </c>
      <c r="K54" s="23" t="s">
        <v>94</v>
      </c>
      <c r="L54" s="23" t="s">
        <v>56</v>
      </c>
      <c r="M54" s="23" t="s">
        <v>56</v>
      </c>
    </row>
    <row r="55" spans="1:13">
      <c r="A55" s="23" t="s">
        <v>49</v>
      </c>
      <c r="B55" s="23" t="s">
        <v>50</v>
      </c>
      <c r="C55" s="24" t="s">
        <v>62</v>
      </c>
      <c r="D55" s="25" t="s">
        <v>275</v>
      </c>
      <c r="E55" s="25" t="str">
        <f t="shared" si="0"/>
        <v>TIPO:FAC,N/C</v>
      </c>
      <c r="F55" s="25" t="s">
        <v>200</v>
      </c>
      <c r="G55" s="23" t="s">
        <v>56</v>
      </c>
      <c r="H55" s="23" t="s">
        <v>92</v>
      </c>
      <c r="I55" s="28"/>
      <c r="J55" s="23" t="s">
        <v>56</v>
      </c>
      <c r="K55" s="23" t="s">
        <v>94</v>
      </c>
      <c r="L55" s="23" t="s">
        <v>56</v>
      </c>
      <c r="M55" s="23" t="s">
        <v>56</v>
      </c>
    </row>
    <row r="56" spans="1:13">
      <c r="A56" s="23" t="s">
        <v>49</v>
      </c>
      <c r="B56" s="23" t="s">
        <v>50</v>
      </c>
      <c r="C56" s="24" t="s">
        <v>62</v>
      </c>
      <c r="D56" s="25" t="s">
        <v>276</v>
      </c>
      <c r="E56" s="25" t="str">
        <f t="shared" si="0"/>
        <v>NRO COMPROB PAGO</v>
      </c>
      <c r="F56" s="25" t="s">
        <v>203</v>
      </c>
      <c r="G56" s="23" t="s">
        <v>56</v>
      </c>
      <c r="H56" s="23" t="s">
        <v>92</v>
      </c>
      <c r="I56" s="28">
        <v>0</v>
      </c>
      <c r="J56" s="23" t="s">
        <v>56</v>
      </c>
      <c r="K56" s="23" t="s">
        <v>94</v>
      </c>
      <c r="L56" s="23" t="s">
        <v>56</v>
      </c>
      <c r="M56" s="23" t="s">
        <v>56</v>
      </c>
    </row>
    <row r="57" spans="1:13">
      <c r="A57" s="23" t="s">
        <v>49</v>
      </c>
      <c r="B57" s="23" t="s">
        <v>50</v>
      </c>
      <c r="C57" s="24" t="s">
        <v>62</v>
      </c>
      <c r="D57" s="25" t="s">
        <v>221</v>
      </c>
      <c r="E57" s="25" t="str">
        <f t="shared" si="0"/>
        <v>NO APLICAR DEV</v>
      </c>
      <c r="F57" s="25" t="s">
        <v>222</v>
      </c>
      <c r="G57" s="23" t="s">
        <v>56</v>
      </c>
      <c r="H57" s="23" t="s">
        <v>92</v>
      </c>
      <c r="I57" s="28"/>
      <c r="J57" s="23" t="s">
        <v>56</v>
      </c>
      <c r="K57" s="23" t="s">
        <v>94</v>
      </c>
      <c r="L57" s="23" t="s">
        <v>56</v>
      </c>
      <c r="M57" s="23" t="s">
        <v>56</v>
      </c>
    </row>
    <row r="58" spans="1:13">
      <c r="A58" s="23" t="s">
        <v>49</v>
      </c>
      <c r="B58" s="23" t="s">
        <v>50</v>
      </c>
      <c r="C58" s="24" t="s">
        <v>62</v>
      </c>
      <c r="D58" s="25" t="s">
        <v>235</v>
      </c>
      <c r="E58" s="25" t="str">
        <f t="shared" si="0"/>
        <v>FEC SISTEMA</v>
      </c>
      <c r="F58" s="25" t="s">
        <v>236</v>
      </c>
      <c r="G58" s="23" t="s">
        <v>56</v>
      </c>
      <c r="H58" s="23" t="s">
        <v>92</v>
      </c>
      <c r="I58" s="28">
        <v>20220817</v>
      </c>
      <c r="J58" s="23" t="s">
        <v>56</v>
      </c>
      <c r="K58" s="23" t="s">
        <v>94</v>
      </c>
      <c r="L58" s="23" t="s">
        <v>56</v>
      </c>
      <c r="M58" s="23" t="s">
        <v>56</v>
      </c>
    </row>
    <row r="59" spans="1:13">
      <c r="A59" s="23" t="s">
        <v>49</v>
      </c>
      <c r="B59" s="23" t="s">
        <v>50</v>
      </c>
      <c r="C59" s="24" t="s">
        <v>62</v>
      </c>
      <c r="D59" s="25" t="s">
        <v>237</v>
      </c>
      <c r="E59" s="25" t="str">
        <f t="shared" si="0"/>
        <v>HORA SISTEMA</v>
      </c>
      <c r="F59" s="25" t="s">
        <v>238</v>
      </c>
      <c r="G59" s="23" t="s">
        <v>56</v>
      </c>
      <c r="H59" s="23" t="s">
        <v>92</v>
      </c>
      <c r="I59" s="28">
        <v>54507</v>
      </c>
      <c r="J59" s="23" t="s">
        <v>56</v>
      </c>
      <c r="K59" s="23" t="s">
        <v>94</v>
      </c>
      <c r="L59" s="23" t="s">
        <v>56</v>
      </c>
      <c r="M59" s="23" t="s">
        <v>56</v>
      </c>
    </row>
    <row r="60" spans="1:13">
      <c r="A60" s="23" t="s">
        <v>49</v>
      </c>
      <c r="B60" s="23" t="s">
        <v>50</v>
      </c>
      <c r="C60" s="24" t="s">
        <v>62</v>
      </c>
      <c r="D60" s="25" t="s">
        <v>277</v>
      </c>
      <c r="E60" s="25" t="str">
        <f t="shared" si="0"/>
        <v>COD ESTAB DCP</v>
      </c>
      <c r="F60" s="25" t="s">
        <v>278</v>
      </c>
      <c r="G60" s="23" t="s">
        <v>56</v>
      </c>
      <c r="H60" s="23" t="s">
        <v>92</v>
      </c>
      <c r="I60" s="28"/>
      <c r="J60" s="23" t="s">
        <v>56</v>
      </c>
      <c r="K60" s="23" t="s">
        <v>94</v>
      </c>
      <c r="L60" s="23" t="s">
        <v>56</v>
      </c>
      <c r="M60" s="23" t="s">
        <v>56</v>
      </c>
    </row>
    <row r="61" spans="1:13">
      <c r="A61" s="23" t="s">
        <v>49</v>
      </c>
      <c r="B61" s="23" t="s">
        <v>50</v>
      </c>
      <c r="C61" s="24" t="s">
        <v>62</v>
      </c>
      <c r="D61" s="25" t="s">
        <v>279</v>
      </c>
      <c r="E61" s="25" t="str">
        <f t="shared" si="0"/>
        <v>GRUPO DINERS</v>
      </c>
      <c r="F61" s="25" t="s">
        <v>280</v>
      </c>
      <c r="G61" s="23" t="s">
        <v>56</v>
      </c>
      <c r="H61" s="23" t="s">
        <v>92</v>
      </c>
      <c r="I61" s="28"/>
      <c r="J61" s="23" t="s">
        <v>56</v>
      </c>
      <c r="K61" s="23" t="s">
        <v>94</v>
      </c>
      <c r="L61" s="23" t="s">
        <v>56</v>
      </c>
      <c r="M61" s="23" t="s">
        <v>56</v>
      </c>
    </row>
    <row r="62" spans="1:13">
      <c r="A62" s="23" t="s">
        <v>49</v>
      </c>
      <c r="B62" s="23" t="s">
        <v>50</v>
      </c>
      <c r="C62" s="24" t="s">
        <v>62</v>
      </c>
      <c r="D62" s="25" t="s">
        <v>281</v>
      </c>
      <c r="E62" s="25" t="str">
        <f t="shared" si="0"/>
        <v>% IGV</v>
      </c>
      <c r="F62" s="25" t="s">
        <v>282</v>
      </c>
      <c r="G62" s="23" t="s">
        <v>56</v>
      </c>
      <c r="H62" s="23" t="s">
        <v>92</v>
      </c>
      <c r="I62" s="28">
        <v>0</v>
      </c>
      <c r="J62" s="23" t="s">
        <v>56</v>
      </c>
      <c r="K62" s="23" t="s">
        <v>94</v>
      </c>
      <c r="L62" s="23" t="s">
        <v>56</v>
      </c>
      <c r="M62" s="23" t="s">
        <v>56</v>
      </c>
    </row>
    <row r="63" spans="1:13">
      <c r="A63" s="23" t="s">
        <v>49</v>
      </c>
      <c r="B63" s="23" t="s">
        <v>50</v>
      </c>
      <c r="C63" s="24" t="s">
        <v>62</v>
      </c>
      <c r="D63" s="25" t="s">
        <v>283</v>
      </c>
      <c r="E63" s="25" t="str">
        <f t="shared" si="0"/>
        <v>NRO RECAP</v>
      </c>
      <c r="F63" s="25" t="s">
        <v>284</v>
      </c>
      <c r="G63" s="23" t="s">
        <v>56</v>
      </c>
      <c r="H63" s="23" t="s">
        <v>92</v>
      </c>
      <c r="I63" s="28">
        <v>0</v>
      </c>
      <c r="J63" s="23" t="s">
        <v>56</v>
      </c>
      <c r="K63" s="23" t="s">
        <v>94</v>
      </c>
      <c r="L63" s="23" t="s">
        <v>56</v>
      </c>
      <c r="M63" s="23" t="s">
        <v>56</v>
      </c>
    </row>
    <row r="64" spans="1:13">
      <c r="A64" s="23" t="s">
        <v>49</v>
      </c>
      <c r="B64" s="23" t="s">
        <v>50</v>
      </c>
      <c r="C64" s="24" t="s">
        <v>62</v>
      </c>
      <c r="D64" s="25" t="s">
        <v>250</v>
      </c>
      <c r="E64" s="25" t="str">
        <f t="shared" si="0"/>
        <v>ITEM</v>
      </c>
      <c r="F64" s="25" t="s">
        <v>251</v>
      </c>
      <c r="G64" s="23" t="s">
        <v>56</v>
      </c>
      <c r="H64" s="23" t="s">
        <v>92</v>
      </c>
      <c r="I64" s="28">
        <v>1</v>
      </c>
      <c r="J64" s="23" t="s">
        <v>56</v>
      </c>
      <c r="K64" s="23" t="s">
        <v>94</v>
      </c>
      <c r="L64" s="23" t="s">
        <v>56</v>
      </c>
      <c r="M64" s="23" t="s">
        <v>56</v>
      </c>
    </row>
    <row r="65" spans="1:13">
      <c r="A65" s="23" t="s">
        <v>49</v>
      </c>
      <c r="B65" s="23" t="s">
        <v>50</v>
      </c>
      <c r="C65" s="24" t="s">
        <v>62</v>
      </c>
      <c r="D65" s="25" t="s">
        <v>241</v>
      </c>
      <c r="E65" s="25" t="str">
        <f t="shared" si="0"/>
        <v>MARCA PROVISION</v>
      </c>
      <c r="F65" s="25" t="s">
        <v>242</v>
      </c>
      <c r="G65" s="23" t="s">
        <v>56</v>
      </c>
      <c r="H65" s="23" t="s">
        <v>92</v>
      </c>
      <c r="I65" s="28" t="s">
        <v>243</v>
      </c>
      <c r="J65" s="23" t="s">
        <v>56</v>
      </c>
      <c r="K65" s="23" t="s">
        <v>94</v>
      </c>
      <c r="L65" s="23" t="s">
        <v>56</v>
      </c>
      <c r="M65" s="23" t="s">
        <v>56</v>
      </c>
    </row>
    <row r="66" spans="1:13">
      <c r="A66" s="23" t="s">
        <v>49</v>
      </c>
      <c r="B66" s="23" t="s">
        <v>50</v>
      </c>
      <c r="C66" s="24" t="s">
        <v>62</v>
      </c>
      <c r="D66" s="25" t="s">
        <v>239</v>
      </c>
      <c r="E66" s="25" t="str">
        <f t="shared" si="0"/>
        <v>FEC PROVISION</v>
      </c>
      <c r="F66" s="25" t="s">
        <v>240</v>
      </c>
      <c r="G66" s="23" t="s">
        <v>56</v>
      </c>
      <c r="H66" s="23" t="s">
        <v>92</v>
      </c>
      <c r="I66" s="28">
        <v>20231231</v>
      </c>
      <c r="J66" s="23" t="s">
        <v>56</v>
      </c>
      <c r="K66" s="23" t="s">
        <v>94</v>
      </c>
      <c r="L66" s="23" t="s">
        <v>56</v>
      </c>
      <c r="M66" s="23" t="s">
        <v>56</v>
      </c>
    </row>
    <row r="67" spans="1:13">
      <c r="A67" s="23" t="s">
        <v>49</v>
      </c>
      <c r="B67" s="23" t="s">
        <v>50</v>
      </c>
      <c r="C67" s="24" t="s">
        <v>62</v>
      </c>
      <c r="D67" s="25" t="s">
        <v>300</v>
      </c>
      <c r="E67" s="25" t="str">
        <f t="shared" ref="E67" si="1">UPPER(F67)</f>
        <v>BIN DE 9 DEL CAMPO DVDOTE</v>
      </c>
      <c r="F67" s="25" t="s">
        <v>301</v>
      </c>
      <c r="G67" s="23" t="s">
        <v>56</v>
      </c>
      <c r="H67" s="23" t="s">
        <v>92</v>
      </c>
      <c r="I67" s="28">
        <v>458745698</v>
      </c>
      <c r="J67" s="23" t="s">
        <v>56</v>
      </c>
      <c r="K67" s="23" t="s">
        <v>94</v>
      </c>
      <c r="L67" s="23" t="s">
        <v>56</v>
      </c>
      <c r="M67" s="23" t="s">
        <v>56</v>
      </c>
    </row>
    <row r="68" spans="1:13">
      <c r="A68" s="23" t="s">
        <v>49</v>
      </c>
      <c r="B68" s="23" t="s">
        <v>50</v>
      </c>
      <c r="C68" s="24" t="s">
        <v>62</v>
      </c>
      <c r="D68" s="25" t="s">
        <v>252</v>
      </c>
      <c r="E68" s="25" t="str">
        <f t="shared" ref="E68:E71" si="2">UPPER(F68)</f>
        <v>FECHA DE FOTO/DATOS CONFIGURADA EN EL ETL PARA LA EXTRACCIÓN DE DATOS, CORRESPONDE A APERTURAS DE COMERCIOS HASTA EL CIERRE DEL DÍA ANTERIOR</v>
      </c>
      <c r="F68" s="25" t="s">
        <v>253</v>
      </c>
      <c r="G68" s="23" t="s">
        <v>56</v>
      </c>
      <c r="H68" s="23" t="s">
        <v>254</v>
      </c>
      <c r="I68" s="26">
        <v>45841</v>
      </c>
      <c r="J68" s="23" t="s">
        <v>56</v>
      </c>
      <c r="K68" s="23" t="s">
        <v>56</v>
      </c>
      <c r="L68" s="23" t="s">
        <v>94</v>
      </c>
      <c r="M68" s="23" t="s">
        <v>56</v>
      </c>
    </row>
    <row r="69" spans="1:13">
      <c r="A69" s="23" t="s">
        <v>49</v>
      </c>
      <c r="B69" s="23" t="s">
        <v>50</v>
      </c>
      <c r="C69" s="24" t="s">
        <v>62</v>
      </c>
      <c r="D69" s="25" t="s">
        <v>255</v>
      </c>
      <c r="E69" s="25" t="str">
        <f t="shared" si="2"/>
        <v>DATO DE AUDITORÍA: DESCRIPCIÓN DEL APLICATIVO ORIGEN DE LOS DATOS.</v>
      </c>
      <c r="F69" s="25" t="s">
        <v>256</v>
      </c>
      <c r="G69" s="23" t="s">
        <v>56</v>
      </c>
      <c r="H69" s="23" t="s">
        <v>92</v>
      </c>
      <c r="I69" s="25" t="s">
        <v>285</v>
      </c>
      <c r="J69" s="23" t="s">
        <v>56</v>
      </c>
      <c r="K69" s="23" t="s">
        <v>56</v>
      </c>
      <c r="L69" s="23" t="s">
        <v>56</v>
      </c>
      <c r="M69" s="23" t="s">
        <v>56</v>
      </c>
    </row>
    <row r="70" spans="1:13">
      <c r="A70" s="23" t="s">
        <v>49</v>
      </c>
      <c r="B70" s="23" t="s">
        <v>50</v>
      </c>
      <c r="C70" s="24" t="s">
        <v>62</v>
      </c>
      <c r="D70" s="25" t="s">
        <v>258</v>
      </c>
      <c r="E70" s="25" t="str">
        <f t="shared" si="2"/>
        <v>FECHA Y HORA DE INSERCIÓN DEL REGISTRO EN EL MODELO</v>
      </c>
      <c r="F70" s="25" t="s">
        <v>259</v>
      </c>
      <c r="G70" s="23" t="s">
        <v>56</v>
      </c>
      <c r="H70" s="23" t="s">
        <v>260</v>
      </c>
      <c r="I70" s="25" t="s">
        <v>286</v>
      </c>
      <c r="J70" s="23" t="s">
        <v>56</v>
      </c>
      <c r="K70" s="23" t="s">
        <v>56</v>
      </c>
      <c r="L70" s="23" t="s">
        <v>56</v>
      </c>
      <c r="M70" s="23" t="s">
        <v>56</v>
      </c>
    </row>
    <row r="71" spans="1:13">
      <c r="A71" s="23" t="s">
        <v>49</v>
      </c>
      <c r="B71" s="23" t="s">
        <v>50</v>
      </c>
      <c r="C71" s="24" t="s">
        <v>62</v>
      </c>
      <c r="D71" s="25" t="s">
        <v>262</v>
      </c>
      <c r="E71" s="25" t="str">
        <f t="shared" si="2"/>
        <v>USUARIO QUE CREA EL REGISTRO EN LA BD</v>
      </c>
      <c r="F71" s="25" t="s">
        <v>263</v>
      </c>
      <c r="G71" s="23" t="s">
        <v>56</v>
      </c>
      <c r="H71" s="23" t="s">
        <v>92</v>
      </c>
      <c r="I71" s="25" t="s">
        <v>264</v>
      </c>
      <c r="J71" s="23" t="s">
        <v>56</v>
      </c>
      <c r="K71" s="23" t="s">
        <v>56</v>
      </c>
      <c r="L71" s="23" t="s">
        <v>56</v>
      </c>
      <c r="M71" s="23" t="s">
        <v>56</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800E2-15C7-491B-AB62-1B2BD9AFD2F2}">
  <sheetPr codeName="Hoja6"/>
  <dimension ref="A1:M10"/>
  <sheetViews>
    <sheetView showGridLines="0" zoomScaleNormal="100" workbookViewId="0">
      <selection activeCell="C14" sqref="C14"/>
    </sheetView>
  </sheetViews>
  <sheetFormatPr baseColWidth="10" defaultColWidth="11.44140625" defaultRowHeight="14.4"/>
  <cols>
    <col min="1" max="4" width="29" customWidth="1"/>
    <col min="5" max="6" width="48.33203125" customWidth="1"/>
    <col min="7" max="8" width="29" customWidth="1"/>
    <col min="9" max="9" width="40.5546875" customWidth="1"/>
    <col min="10" max="13" width="29" customWidth="1"/>
  </cols>
  <sheetData>
    <row r="1" spans="1:13" ht="31.2">
      <c r="A1" s="20" t="s">
        <v>14</v>
      </c>
      <c r="B1" s="21" t="s">
        <v>15</v>
      </c>
      <c r="C1" s="21" t="s">
        <v>6</v>
      </c>
      <c r="D1" s="21" t="s">
        <v>7</v>
      </c>
      <c r="E1" s="21" t="s">
        <v>71</v>
      </c>
      <c r="F1" s="21" t="s">
        <v>72</v>
      </c>
      <c r="G1" s="21" t="s">
        <v>73</v>
      </c>
      <c r="H1" s="21" t="s">
        <v>74</v>
      </c>
      <c r="I1" s="21" t="s">
        <v>75</v>
      </c>
      <c r="J1" s="21" t="s">
        <v>76</v>
      </c>
      <c r="K1" s="21" t="s">
        <v>77</v>
      </c>
      <c r="L1" s="21" t="s">
        <v>78</v>
      </c>
      <c r="M1" s="21" t="s">
        <v>79</v>
      </c>
    </row>
    <row r="2" spans="1:13" ht="46.8">
      <c r="A2" s="22" t="s">
        <v>32</v>
      </c>
      <c r="B2" s="22" t="s">
        <v>33</v>
      </c>
      <c r="C2" s="22" t="s">
        <v>80</v>
      </c>
      <c r="D2" s="22" t="s">
        <v>81</v>
      </c>
      <c r="E2" s="22" t="s">
        <v>82</v>
      </c>
      <c r="F2" s="22" t="s">
        <v>83</v>
      </c>
      <c r="G2" s="22" t="s">
        <v>84</v>
      </c>
      <c r="H2" s="22" t="s">
        <v>85</v>
      </c>
      <c r="I2" s="22" t="s">
        <v>86</v>
      </c>
      <c r="J2" s="22" t="s">
        <v>87</v>
      </c>
      <c r="K2" s="22" t="s">
        <v>88</v>
      </c>
      <c r="L2" s="22" t="s">
        <v>89</v>
      </c>
      <c r="M2" s="22" t="s">
        <v>88</v>
      </c>
    </row>
    <row r="3" spans="1:13">
      <c r="A3" s="23" t="s">
        <v>49</v>
      </c>
      <c r="B3" s="23" t="s">
        <v>50</v>
      </c>
      <c r="C3" s="24" t="s">
        <v>64</v>
      </c>
      <c r="D3" s="25" t="s">
        <v>287</v>
      </c>
      <c r="E3" s="25" t="str">
        <f>UPPER(F3)</f>
        <v>MTI</v>
      </c>
      <c r="F3" s="25" t="s">
        <v>288</v>
      </c>
      <c r="G3" s="23" t="s">
        <v>56</v>
      </c>
      <c r="H3" s="23" t="s">
        <v>92</v>
      </c>
      <c r="I3" s="28">
        <v>1240</v>
      </c>
      <c r="J3" s="23" t="s">
        <v>56</v>
      </c>
      <c r="K3" s="23" t="s">
        <v>94</v>
      </c>
      <c r="L3" s="23" t="s">
        <v>56</v>
      </c>
      <c r="M3" s="23" t="s">
        <v>56</v>
      </c>
    </row>
    <row r="4" spans="1:13">
      <c r="A4" s="23" t="s">
        <v>49</v>
      </c>
      <c r="B4" s="23" t="s">
        <v>50</v>
      </c>
      <c r="C4" s="24" t="s">
        <v>64</v>
      </c>
      <c r="D4" s="25" t="s">
        <v>289</v>
      </c>
      <c r="E4" s="25" t="str">
        <f t="shared" ref="E4:E7" si="0">UPPER(F4)</f>
        <v>COD FUNCION</v>
      </c>
      <c r="F4" s="25" t="s">
        <v>290</v>
      </c>
      <c r="G4" s="23" t="s">
        <v>56</v>
      </c>
      <c r="H4" s="23" t="s">
        <v>92</v>
      </c>
      <c r="I4" s="28">
        <v>200</v>
      </c>
      <c r="J4" s="23" t="s">
        <v>56</v>
      </c>
      <c r="K4" s="23" t="s">
        <v>94</v>
      </c>
      <c r="L4" s="23" t="s">
        <v>56</v>
      </c>
      <c r="M4" s="23" t="s">
        <v>56</v>
      </c>
    </row>
    <row r="5" spans="1:13">
      <c r="A5" s="23" t="s">
        <v>49</v>
      </c>
      <c r="B5" s="23" t="s">
        <v>50</v>
      </c>
      <c r="C5" s="24" t="s">
        <v>64</v>
      </c>
      <c r="D5" s="25" t="s">
        <v>291</v>
      </c>
      <c r="E5" s="25" t="str">
        <f t="shared" si="0"/>
        <v>DESCRIPCION</v>
      </c>
      <c r="F5" s="25" t="s">
        <v>292</v>
      </c>
      <c r="G5" s="23" t="s">
        <v>56</v>
      </c>
      <c r="H5" s="23" t="s">
        <v>92</v>
      </c>
      <c r="I5" s="28" t="s">
        <v>293</v>
      </c>
      <c r="J5" s="23" t="s">
        <v>56</v>
      </c>
      <c r="K5" s="23" t="s">
        <v>94</v>
      </c>
      <c r="L5" s="23" t="s">
        <v>56</v>
      </c>
      <c r="M5" s="23" t="s">
        <v>56</v>
      </c>
    </row>
    <row r="6" spans="1:13">
      <c r="A6" s="23" t="s">
        <v>49</v>
      </c>
      <c r="B6" s="23" t="s">
        <v>50</v>
      </c>
      <c r="C6" s="24" t="s">
        <v>64</v>
      </c>
      <c r="D6" s="25" t="s">
        <v>294</v>
      </c>
      <c r="E6" s="25" t="str">
        <f t="shared" si="0"/>
        <v>DESCR CORTA</v>
      </c>
      <c r="F6" s="25" t="s">
        <v>295</v>
      </c>
      <c r="G6" s="23" t="s">
        <v>56</v>
      </c>
      <c r="H6" s="23" t="s">
        <v>92</v>
      </c>
      <c r="I6" s="28" t="s">
        <v>296</v>
      </c>
      <c r="J6" s="23" t="s">
        <v>56</v>
      </c>
      <c r="K6" s="23" t="s">
        <v>94</v>
      </c>
      <c r="L6" s="23" t="s">
        <v>56</v>
      </c>
      <c r="M6" s="23" t="s">
        <v>56</v>
      </c>
    </row>
    <row r="7" spans="1:13">
      <c r="A7" s="23" t="s">
        <v>49</v>
      </c>
      <c r="B7" s="23" t="s">
        <v>50</v>
      </c>
      <c r="C7" s="24" t="s">
        <v>64</v>
      </c>
      <c r="D7" s="25" t="s">
        <v>252</v>
      </c>
      <c r="E7" s="25" t="str">
        <f t="shared" si="0"/>
        <v>FECHA DE FOTO/DATOS CONFIGURADA EN EL ETL PARA LA EXTRACCIÓN DE DATOS, CORRESPONDE A APERTURAS DE COMERCIOS HASTA EL CIERRE DEL DÍA ANTERIOR</v>
      </c>
      <c r="F7" s="25" t="s">
        <v>253</v>
      </c>
      <c r="G7" s="23" t="s">
        <v>56</v>
      </c>
      <c r="H7" s="23" t="s">
        <v>254</v>
      </c>
      <c r="I7" s="26">
        <v>45841</v>
      </c>
      <c r="J7" s="23" t="s">
        <v>56</v>
      </c>
      <c r="K7" s="23" t="s">
        <v>56</v>
      </c>
      <c r="L7" s="23" t="s">
        <v>94</v>
      </c>
      <c r="M7" s="23" t="s">
        <v>56</v>
      </c>
    </row>
    <row r="8" spans="1:13">
      <c r="A8" s="23" t="s">
        <v>49</v>
      </c>
      <c r="B8" s="23" t="s">
        <v>50</v>
      </c>
      <c r="C8" s="24" t="s">
        <v>64</v>
      </c>
      <c r="D8" s="25" t="s">
        <v>255</v>
      </c>
      <c r="E8" s="25" t="str">
        <f t="shared" ref="E8:E10" si="1">UPPER(F8)</f>
        <v>DATO DE AUDITORÍA: DESCRIPCIÓN DEL APLICATIVO ORIGEN DE LOS DATOS.</v>
      </c>
      <c r="F8" s="25" t="s">
        <v>256</v>
      </c>
      <c r="G8" s="23" t="s">
        <v>56</v>
      </c>
      <c r="H8" s="23" t="s">
        <v>92</v>
      </c>
      <c r="I8" s="25" t="s">
        <v>285</v>
      </c>
      <c r="J8" s="23" t="s">
        <v>56</v>
      </c>
      <c r="K8" s="23" t="s">
        <v>56</v>
      </c>
      <c r="L8" s="23" t="s">
        <v>56</v>
      </c>
      <c r="M8" s="23" t="s">
        <v>56</v>
      </c>
    </row>
    <row r="9" spans="1:13">
      <c r="A9" s="23" t="s">
        <v>49</v>
      </c>
      <c r="B9" s="23" t="s">
        <v>50</v>
      </c>
      <c r="C9" s="24" t="s">
        <v>64</v>
      </c>
      <c r="D9" s="25" t="s">
        <v>258</v>
      </c>
      <c r="E9" s="25" t="str">
        <f t="shared" si="1"/>
        <v>FECHA Y HORA DE INSERCIÓN DEL REGISTRO EN EL MODELO</v>
      </c>
      <c r="F9" s="25" t="s">
        <v>259</v>
      </c>
      <c r="G9" s="23" t="s">
        <v>56</v>
      </c>
      <c r="H9" s="23" t="s">
        <v>260</v>
      </c>
      <c r="I9" s="25" t="s">
        <v>286</v>
      </c>
      <c r="J9" s="23" t="s">
        <v>56</v>
      </c>
      <c r="K9" s="23" t="s">
        <v>56</v>
      </c>
      <c r="L9" s="23" t="s">
        <v>56</v>
      </c>
      <c r="M9" s="23" t="s">
        <v>56</v>
      </c>
    </row>
    <row r="10" spans="1:13">
      <c r="A10" s="23" t="s">
        <v>49</v>
      </c>
      <c r="B10" s="23" t="s">
        <v>50</v>
      </c>
      <c r="C10" s="24" t="s">
        <v>64</v>
      </c>
      <c r="D10" s="25" t="s">
        <v>262</v>
      </c>
      <c r="E10" s="25" t="str">
        <f t="shared" si="1"/>
        <v>USUARIO QUE CREA EL REGISTRO EN LA BD</v>
      </c>
      <c r="F10" s="25" t="s">
        <v>263</v>
      </c>
      <c r="G10" s="23" t="s">
        <v>56</v>
      </c>
      <c r="H10" s="23" t="s">
        <v>92</v>
      </c>
      <c r="I10" s="25" t="s">
        <v>264</v>
      </c>
      <c r="J10" s="23" t="s">
        <v>56</v>
      </c>
      <c r="K10" s="23" t="s">
        <v>56</v>
      </c>
      <c r="L10" s="23" t="s">
        <v>56</v>
      </c>
      <c r="M10" s="23" t="s">
        <v>56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80ac410-b05f-448e-8dee-046357d4e70e" xsi:nil="true"/>
    <lcf76f155ced4ddcb4097134ff3c332f xmlns="0d36e45e-9b33-40cd-9496-1b0b6d1fa39a">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31DB9E7368290418064F68BD9FE06A8" ma:contentTypeVersion="16" ma:contentTypeDescription="Create a new document." ma:contentTypeScope="" ma:versionID="b9c598f3bf5821ec7c8d150fb2409204">
  <xsd:schema xmlns:xsd="http://www.w3.org/2001/XMLSchema" xmlns:xs="http://www.w3.org/2001/XMLSchema" xmlns:p="http://schemas.microsoft.com/office/2006/metadata/properties" xmlns:ns2="e80ac410-b05f-448e-8dee-046357d4e70e" xmlns:ns3="0d36e45e-9b33-40cd-9496-1b0b6d1fa39a" targetNamespace="http://schemas.microsoft.com/office/2006/metadata/properties" ma:root="true" ma:fieldsID="251c203eb9aee4e487258461f501dc14" ns2:_="" ns3:_="">
    <xsd:import namespace="e80ac410-b05f-448e-8dee-046357d4e70e"/>
    <xsd:import namespace="0d36e45e-9b33-40cd-9496-1b0b6d1fa39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3:MediaServiceLocation"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80ac410-b05f-448e-8dee-046357d4e70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0df41d55-81af-4a44-a067-d7a5a5ddb24d}" ma:internalName="TaxCatchAll" ma:showField="CatchAllData" ma:web="e80ac410-b05f-448e-8dee-046357d4e70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d36e45e-9b33-40cd-9496-1b0b6d1fa39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6c341efc-c97d-44e1-9c58-c7d91e5dd07b"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indexed="true" ma:internalName="MediaServiceLocation" ma:readOnly="true">
      <xsd:simpleType>
        <xsd:restriction base="dms:Text"/>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85006A4-5124-4F73-8C0E-FFC53E124586}">
  <ds:schemaRefs>
    <ds:schemaRef ds:uri="http://schemas.microsoft.com/office/2006/metadata/properties"/>
    <ds:schemaRef ds:uri="http://schemas.microsoft.com/office/infopath/2007/PartnerControls"/>
    <ds:schemaRef ds:uri="e80ac410-b05f-448e-8dee-046357d4e70e"/>
    <ds:schemaRef ds:uri="0d36e45e-9b33-40cd-9496-1b0b6d1fa39a"/>
  </ds:schemaRefs>
</ds:datastoreItem>
</file>

<file path=customXml/itemProps2.xml><?xml version="1.0" encoding="utf-8"?>
<ds:datastoreItem xmlns:ds="http://schemas.openxmlformats.org/officeDocument/2006/customXml" ds:itemID="{FCB7F921-B723-4C15-9B1B-F767409F206E}">
  <ds:schemaRefs>
    <ds:schemaRef ds:uri="http://schemas.microsoft.com/sharepoint/v3/contenttype/forms"/>
  </ds:schemaRefs>
</ds:datastoreItem>
</file>

<file path=customXml/itemProps3.xml><?xml version="1.0" encoding="utf-8"?>
<ds:datastoreItem xmlns:ds="http://schemas.openxmlformats.org/officeDocument/2006/customXml" ds:itemID="{D43CA6E2-2079-4483-B6FD-FF40E8F2B4F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80ac410-b05f-448e-8dee-046357d4e70e"/>
    <ds:schemaRef ds:uri="0d36e45e-9b33-40cd-9496-1b0b6d1fa39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Datos Sensibles</vt:lpstr>
      <vt:lpstr>Estructuras del Modelo</vt:lpstr>
      <vt:lpstr>mcft006</vt:lpstr>
      <vt:lpstr>mcfs006</vt:lpstr>
      <vt:lpstr>izft076</vt:lpstr>
      <vt:lpstr>mcfv102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Angello Bravo</dc:creator>
  <cp:keywords/>
  <dc:description/>
  <cp:lastModifiedBy>ANGELLO BRAVO</cp:lastModifiedBy>
  <cp:revision/>
  <dcterms:created xsi:type="dcterms:W3CDTF">2015-06-05T18:19:34Z</dcterms:created>
  <dcterms:modified xsi:type="dcterms:W3CDTF">2026-06-12T21:02:02Z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0x010100F31DB9E7368290418064F68BD9FE06A8</vt:lpwstr>
  </property>
  <property fmtid="{D5CDD505-2E9C-101B-9397-08002B2CF9AE}" pid="3" name="MediaServiceImageTags">
    <vt:lpwstr/>
  </property>
</Properties>
</file>