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75 Carga CC MC/Input/AS400/"/>
    </mc:Choice>
  </mc:AlternateContent>
  <xr:revisionPtr revIDLastSave="9" documentId="11_7470FA1D078F8CE4F213A1D2F276D68CA1FD429B" xr6:coauthVersionLast="47" xr6:coauthVersionMax="47" xr10:uidLastSave="{B728F49B-3111-47C0-8F82-329F5530F5A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4" i="1"/>
</calcChain>
</file>

<file path=xl/sharedStrings.xml><?xml version="1.0" encoding="utf-8"?>
<sst xmlns="http://schemas.openxmlformats.org/spreadsheetml/2006/main" count="813" uniqueCount="361">
  <si>
    <t>X-Analysis - File Field Details for LIBMCP/MCFT107, Total Fields: 115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</si>
  <si>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</si>
  <si>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</si>
  <si>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</si>
  <si>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</si>
  <si>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</si>
  <si>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</si>
  <si>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</si>
  <si>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TIEMIS    </t>
  </si>
  <si>
    <t>EMISOR</t>
  </si>
  <si>
    <t>Zoned Decimal</t>
  </si>
  <si>
    <t>3</t>
  </si>
  <si>
    <t>0</t>
  </si>
  <si>
    <t>1</t>
  </si>
  <si>
    <t xml:space="preserve">TIFING    </t>
  </si>
  <si>
    <t>FECHA INGRESO</t>
  </si>
  <si>
    <t>8</t>
  </si>
  <si>
    <t>4</t>
  </si>
  <si>
    <t xml:space="preserve">TINOPE    </t>
  </si>
  <si>
    <t>NRO OPERA</t>
  </si>
  <si>
    <t>5</t>
  </si>
  <si>
    <t>12</t>
  </si>
  <si>
    <t xml:space="preserve">TIENVI    </t>
  </si>
  <si>
    <t/>
  </si>
  <si>
    <t>17</t>
  </si>
  <si>
    <t xml:space="preserve">TIRECI    </t>
  </si>
  <si>
    <t>21</t>
  </si>
  <si>
    <t xml:space="preserve">TICTRA    </t>
  </si>
  <si>
    <t>MTI</t>
  </si>
  <si>
    <t>25</t>
  </si>
  <si>
    <t xml:space="preserve">TICOFU    </t>
  </si>
  <si>
    <t>COD FUNCION</t>
  </si>
  <si>
    <t>29</t>
  </si>
  <si>
    <t xml:space="preserve">TITARJ    </t>
  </si>
  <si>
    <t>16</t>
  </si>
  <si>
    <t>32</t>
  </si>
  <si>
    <t xml:space="preserve">TIFTRA    </t>
  </si>
  <si>
    <t>FECHA TRANSACC</t>
  </si>
  <si>
    <t>6</t>
  </si>
  <si>
    <t>48</t>
  </si>
  <si>
    <t xml:space="preserve">TIAUTO    </t>
  </si>
  <si>
    <t>AUTORIZ</t>
  </si>
  <si>
    <t>Character</t>
  </si>
  <si>
    <t>54</t>
  </si>
  <si>
    <t xml:space="preserve">TIIMPO    </t>
  </si>
  <si>
    <t>IMPORTE</t>
  </si>
  <si>
    <t>2</t>
  </si>
  <si>
    <t>60</t>
  </si>
  <si>
    <t xml:space="preserve">TIMONE    </t>
  </si>
  <si>
    <t>MONEDA</t>
  </si>
  <si>
    <t>72</t>
  </si>
  <si>
    <t xml:space="preserve">TITIPO    </t>
  </si>
  <si>
    <t>COD PROCESO</t>
  </si>
  <si>
    <t>75</t>
  </si>
  <si>
    <t xml:space="preserve">TICEST    </t>
  </si>
  <si>
    <t>COD ESTABL</t>
  </si>
  <si>
    <t>15</t>
  </si>
  <si>
    <t>77</t>
  </si>
  <si>
    <t xml:space="preserve">TIMCC     </t>
  </si>
  <si>
    <t>MCC</t>
  </si>
  <si>
    <t>92</t>
  </si>
  <si>
    <t xml:space="preserve">TIAREN    </t>
  </si>
  <si>
    <t>ACQ REFER NUMBER</t>
  </si>
  <si>
    <t>23</t>
  </si>
  <si>
    <t>96</t>
  </si>
  <si>
    <t xml:space="preserve">TINEST    </t>
  </si>
  <si>
    <t>NOMBRE ESTABLEC</t>
  </si>
  <si>
    <t>22</t>
  </si>
  <si>
    <t>119</t>
  </si>
  <si>
    <t xml:space="preserve">TIDIRE    </t>
  </si>
  <si>
    <t>DIRECC ESTABLEC</t>
  </si>
  <si>
    <t>141</t>
  </si>
  <si>
    <t xml:space="preserve">TICIUD    </t>
  </si>
  <si>
    <t>CIUDAD</t>
  </si>
  <si>
    <t>13</t>
  </si>
  <si>
    <t>163</t>
  </si>
  <si>
    <t xml:space="preserve">TITIDO    </t>
  </si>
  <si>
    <t>TIPO DOC</t>
  </si>
  <si>
    <t>176</t>
  </si>
  <si>
    <t xml:space="preserve">TIREVE    </t>
  </si>
  <si>
    <t>REVERSA</t>
  </si>
  <si>
    <t>177</t>
  </si>
  <si>
    <t xml:space="preserve">TIPOSC    </t>
  </si>
  <si>
    <t>POINT DATA CODE</t>
  </si>
  <si>
    <t>178</t>
  </si>
  <si>
    <t xml:space="preserve">TITITE    </t>
  </si>
  <si>
    <t>TIPO TERMINAL</t>
  </si>
  <si>
    <t>190</t>
  </si>
  <si>
    <t xml:space="preserve">TIORIG    </t>
  </si>
  <si>
    <t>193</t>
  </si>
  <si>
    <t xml:space="preserve">TIINDO    </t>
  </si>
  <si>
    <t>INDICA DOCUM</t>
  </si>
  <si>
    <t>194</t>
  </si>
  <si>
    <t xml:space="preserve">TIIMAD    </t>
  </si>
  <si>
    <t>IMPO ADQUI</t>
  </si>
  <si>
    <t>195</t>
  </si>
  <si>
    <t xml:space="preserve">TIEXAD    </t>
  </si>
  <si>
    <t>EXPO ADQUI</t>
  </si>
  <si>
    <t>207</t>
  </si>
  <si>
    <t xml:space="preserve">TIMOAD    </t>
  </si>
  <si>
    <t>MONE ADQUI</t>
  </si>
  <si>
    <t>208</t>
  </si>
  <si>
    <t xml:space="preserve">TIIMFA    </t>
  </si>
  <si>
    <t>IMPO FACTU</t>
  </si>
  <si>
    <t>211</t>
  </si>
  <si>
    <t xml:space="preserve">TIEXFA    </t>
  </si>
  <si>
    <t>EXPO FACTU</t>
  </si>
  <si>
    <t>223</t>
  </si>
  <si>
    <t xml:space="preserve">TIMOFA    </t>
  </si>
  <si>
    <t>MONE FACTU</t>
  </si>
  <si>
    <t>224</t>
  </si>
  <si>
    <t xml:space="preserve">TIICA     </t>
  </si>
  <si>
    <t>227</t>
  </si>
  <si>
    <t xml:space="preserve">TICIVI    </t>
  </si>
  <si>
    <t>CICLO VIDA</t>
  </si>
  <si>
    <t>231</t>
  </si>
  <si>
    <t xml:space="preserve">TICNTR    </t>
  </si>
  <si>
    <t>NRO CONTROL</t>
  </si>
  <si>
    <t>247</t>
  </si>
  <si>
    <t xml:space="preserve">TIRCOD    </t>
  </si>
  <si>
    <t>COD RAZON</t>
  </si>
  <si>
    <t>264</t>
  </si>
  <si>
    <t xml:space="preserve">TIRCOR    </t>
  </si>
  <si>
    <t>COD RAZON REFER</t>
  </si>
  <si>
    <t>268</t>
  </si>
  <si>
    <t xml:space="preserve">TICCIU    </t>
  </si>
  <si>
    <t>COD CIUDAD</t>
  </si>
  <si>
    <t>272</t>
  </si>
  <si>
    <t xml:space="preserve">TIPAIS    </t>
  </si>
  <si>
    <t>PAIS</t>
  </si>
  <si>
    <t>275</t>
  </si>
  <si>
    <t xml:space="preserve">TIMSGB    </t>
  </si>
  <si>
    <t>100</t>
  </si>
  <si>
    <t>278</t>
  </si>
  <si>
    <t xml:space="preserve">TIFENV    </t>
  </si>
  <si>
    <t>FECHA ENVIO INCOMI</t>
  </si>
  <si>
    <t>378</t>
  </si>
  <si>
    <t xml:space="preserve">TIRECU    </t>
  </si>
  <si>
    <t>PAGO RECURRENTE</t>
  </si>
  <si>
    <t>384</t>
  </si>
  <si>
    <t xml:space="preserve">TIFILE    </t>
  </si>
  <si>
    <t>FILE ID</t>
  </si>
  <si>
    <t>385</t>
  </si>
  <si>
    <t xml:space="preserve">TIUSAP    </t>
  </si>
  <si>
    <t>10</t>
  </si>
  <si>
    <t>410</t>
  </si>
  <si>
    <t xml:space="preserve">TIFEAP    </t>
  </si>
  <si>
    <t>420</t>
  </si>
  <si>
    <t xml:space="preserve">TIUSDE    </t>
  </si>
  <si>
    <t>428</t>
  </si>
  <si>
    <t xml:space="preserve">TIFEDE    </t>
  </si>
  <si>
    <t>438</t>
  </si>
  <si>
    <t xml:space="preserve">TISITU    </t>
  </si>
  <si>
    <t>446</t>
  </si>
  <si>
    <t xml:space="preserve">TIFINO    </t>
  </si>
  <si>
    <t>FECING OUTGO</t>
  </si>
  <si>
    <t>447</t>
  </si>
  <si>
    <t xml:space="preserve">TINOPO    </t>
  </si>
  <si>
    <t>NROOPE OUTGO</t>
  </si>
  <si>
    <t>455</t>
  </si>
  <si>
    <t xml:space="preserve">TITINT    </t>
  </si>
  <si>
    <t>TIPO INTERCAMBIO</t>
  </si>
  <si>
    <t>460</t>
  </si>
  <si>
    <t xml:space="preserve">TICOMI    </t>
  </si>
  <si>
    <t>COMISION</t>
  </si>
  <si>
    <t>Packed Decimal</t>
  </si>
  <si>
    <t>9</t>
  </si>
  <si>
    <t>461</t>
  </si>
  <si>
    <t xml:space="preserve">TICOPR    </t>
  </si>
  <si>
    <t>COMIS PROCES</t>
  </si>
  <si>
    <t>466</t>
  </si>
  <si>
    <t xml:space="preserve">TICOEM    </t>
  </si>
  <si>
    <t>COMIS EMISOR</t>
  </si>
  <si>
    <t>471</t>
  </si>
  <si>
    <t xml:space="preserve">TICOER    </t>
  </si>
  <si>
    <t>SERV PROCES</t>
  </si>
  <si>
    <t>476</t>
  </si>
  <si>
    <t xml:space="preserve">TIIMPR    </t>
  </si>
  <si>
    <t>IGV COMIS PROCE</t>
  </si>
  <si>
    <t>7</t>
  </si>
  <si>
    <t>481</t>
  </si>
  <si>
    <t xml:space="preserve">TIIMER    </t>
  </si>
  <si>
    <t>IGV SERV PROCES</t>
  </si>
  <si>
    <t>485</t>
  </si>
  <si>
    <t xml:space="preserve">TITCAM    </t>
  </si>
  <si>
    <t>TIPO CAMBIO</t>
  </si>
  <si>
    <t>489</t>
  </si>
  <si>
    <t xml:space="preserve">TINCUO    </t>
  </si>
  <si>
    <t>NRO CUOTAS</t>
  </si>
  <si>
    <t>492</t>
  </si>
  <si>
    <t xml:space="preserve">TIICAX    </t>
  </si>
  <si>
    <t>ICA EXPANDIDO</t>
  </si>
  <si>
    <t>494</t>
  </si>
  <si>
    <t xml:space="preserve">TIENVX    </t>
  </si>
  <si>
    <t>ENVIA EXPAND</t>
  </si>
  <si>
    <t>500</t>
  </si>
  <si>
    <t xml:space="preserve">TIRECX    </t>
  </si>
  <si>
    <t>RECIBE EXPAND</t>
  </si>
  <si>
    <t>506</t>
  </si>
  <si>
    <t xml:space="preserve">TIPROD    </t>
  </si>
  <si>
    <t>PRODUCTO</t>
  </si>
  <si>
    <t>512</t>
  </si>
  <si>
    <t xml:space="preserve">TIBACT    </t>
  </si>
  <si>
    <t>BUSSI ACTIVITY</t>
  </si>
  <si>
    <t>514</t>
  </si>
  <si>
    <t xml:space="preserve">TIIRD     </t>
  </si>
  <si>
    <t>IRD</t>
  </si>
  <si>
    <t>526</t>
  </si>
  <si>
    <t xml:space="preserve">TIMPDI    </t>
  </si>
  <si>
    <t>MES PAGO DIFER</t>
  </si>
  <si>
    <t>528</t>
  </si>
  <si>
    <t xml:space="preserve">TIPAUC    </t>
  </si>
  <si>
    <t>PROTOC-AUTENT-UCAF</t>
  </si>
  <si>
    <t>529</t>
  </si>
  <si>
    <t xml:space="preserve">TISUBP    </t>
  </si>
  <si>
    <t>SUB PROD</t>
  </si>
  <si>
    <t>532</t>
  </si>
  <si>
    <t xml:space="preserve">TITAPR    </t>
  </si>
  <si>
    <t>TIPO APROB</t>
  </si>
  <si>
    <t>535</t>
  </si>
  <si>
    <t xml:space="preserve">TICERT    </t>
  </si>
  <si>
    <t>COD ESTAB RET</t>
  </si>
  <si>
    <t>536</t>
  </si>
  <si>
    <t xml:space="preserve">TIGAPR    </t>
  </si>
  <si>
    <t>GLOSA APROB</t>
  </si>
  <si>
    <t>50</t>
  </si>
  <si>
    <t>545</t>
  </si>
  <si>
    <t xml:space="preserve">TIHTRA    </t>
  </si>
  <si>
    <t>HORA TRANS</t>
  </si>
  <si>
    <t>595</t>
  </si>
  <si>
    <t xml:space="preserve">TIFSIS    </t>
  </si>
  <si>
    <t>FEC SIST</t>
  </si>
  <si>
    <t>601</t>
  </si>
  <si>
    <t xml:space="preserve">TIHSIS    </t>
  </si>
  <si>
    <t>HORA SIST</t>
  </si>
  <si>
    <t>609</t>
  </si>
  <si>
    <t xml:space="preserve">TISVC     </t>
  </si>
  <si>
    <t>SERVICE CODE</t>
  </si>
  <si>
    <t>615</t>
  </si>
  <si>
    <t xml:space="preserve">TITCTA    </t>
  </si>
  <si>
    <t>DE3S2 TIPO CTA</t>
  </si>
  <si>
    <t>618</t>
  </si>
  <si>
    <t xml:space="preserve">TIICSH    </t>
  </si>
  <si>
    <t>IMPORTE CASH</t>
  </si>
  <si>
    <t>620</t>
  </si>
  <si>
    <t xml:space="preserve">TIECSH    </t>
  </si>
  <si>
    <t>COEM  CASH</t>
  </si>
  <si>
    <t>632</t>
  </si>
  <si>
    <t xml:space="preserve">TITCMB    </t>
  </si>
  <si>
    <t>TCAM B</t>
  </si>
  <si>
    <t>11</t>
  </si>
  <si>
    <t>637</t>
  </si>
  <si>
    <t xml:space="preserve">TITCMM    </t>
  </si>
  <si>
    <t>TCAM M</t>
  </si>
  <si>
    <t>648</t>
  </si>
  <si>
    <t xml:space="preserve">TITCMS    </t>
  </si>
  <si>
    <t>TCAM S</t>
  </si>
  <si>
    <t>659</t>
  </si>
  <si>
    <t xml:space="preserve">TIREGI    </t>
  </si>
  <si>
    <t>REGION</t>
  </si>
  <si>
    <t>670</t>
  </si>
  <si>
    <t xml:space="preserve">TIMTI     </t>
  </si>
  <si>
    <t>671</t>
  </si>
  <si>
    <t xml:space="preserve">TIPAN     </t>
  </si>
  <si>
    <t>PAN</t>
  </si>
  <si>
    <t>19</t>
  </si>
  <si>
    <t>675</t>
  </si>
  <si>
    <t xml:space="preserve">TISIST    </t>
  </si>
  <si>
    <t>SISTEMA</t>
  </si>
  <si>
    <t>694</t>
  </si>
  <si>
    <t xml:space="preserve">TITERM    </t>
  </si>
  <si>
    <t>TERMINAL</t>
  </si>
  <si>
    <t>699</t>
  </si>
  <si>
    <t xml:space="preserve">TIPAIE    </t>
  </si>
  <si>
    <t>PAIS EMISOR</t>
  </si>
  <si>
    <t>707</t>
  </si>
  <si>
    <t xml:space="preserve">TIMAXI    </t>
  </si>
  <si>
    <t>DIAS MAXIMO</t>
  </si>
  <si>
    <t>710</t>
  </si>
  <si>
    <t xml:space="preserve">TIFMAX    </t>
  </si>
  <si>
    <t>FECHA MAX OUTGOING</t>
  </si>
  <si>
    <t>713</t>
  </si>
  <si>
    <t xml:space="preserve">TIPROG    </t>
  </si>
  <si>
    <t>PROGRAMA</t>
  </si>
  <si>
    <t>719</t>
  </si>
  <si>
    <t xml:space="preserve">TITAIN    </t>
  </si>
  <si>
    <t>TASA INTERCAMBIO</t>
  </si>
  <si>
    <t>729</t>
  </si>
  <si>
    <t xml:space="preserve">TIANEX    </t>
  </si>
  <si>
    <t>ANEXO</t>
  </si>
  <si>
    <t>730</t>
  </si>
  <si>
    <t xml:space="preserve">TILTAR    </t>
  </si>
  <si>
    <t>LONG TARJ</t>
  </si>
  <si>
    <t>731</t>
  </si>
  <si>
    <t xml:space="preserve">TITARM    </t>
  </si>
  <si>
    <t>TARJETA MASK</t>
  </si>
  <si>
    <t>733</t>
  </si>
  <si>
    <t xml:space="preserve">TIUSER    </t>
  </si>
  <si>
    <t>752</t>
  </si>
  <si>
    <t xml:space="preserve">TIPRCO    </t>
  </si>
  <si>
    <t>762</t>
  </si>
  <si>
    <t xml:space="preserve">TIICCA    </t>
  </si>
  <si>
    <t>IMP CONV MON</t>
  </si>
  <si>
    <t>768</t>
  </si>
  <si>
    <t xml:space="preserve">TIREMO    </t>
  </si>
  <si>
    <t>MONE FEE</t>
  </si>
  <si>
    <t>773</t>
  </si>
  <si>
    <t xml:space="preserve">TICFEE    </t>
  </si>
  <si>
    <t>CODI FEE</t>
  </si>
  <si>
    <t>776</t>
  </si>
  <si>
    <t xml:space="preserve">TIPFID    </t>
  </si>
  <si>
    <t>PAY FACIL ID</t>
  </si>
  <si>
    <t>778</t>
  </si>
  <si>
    <t xml:space="preserve">TITADI    </t>
  </si>
  <si>
    <t>TIPO IMP ADI</t>
  </si>
  <si>
    <t>784</t>
  </si>
  <si>
    <t xml:space="preserve">TIMADI    </t>
  </si>
  <si>
    <t>MONE IMP ADI</t>
  </si>
  <si>
    <t>786</t>
  </si>
  <si>
    <t xml:space="preserve">TISADI    </t>
  </si>
  <si>
    <t>SIGN IMP ADI</t>
  </si>
  <si>
    <t>789</t>
  </si>
  <si>
    <t xml:space="preserve">TIIADI    </t>
  </si>
  <si>
    <t>IMP ADI</t>
  </si>
  <si>
    <t>790</t>
  </si>
  <si>
    <t xml:space="preserve">TIBCOE    </t>
  </si>
  <si>
    <t>BCO EMISOR</t>
  </si>
  <si>
    <t>802</t>
  </si>
  <si>
    <t xml:space="preserve">TIRUCE    </t>
  </si>
  <si>
    <t>RUCE</t>
  </si>
  <si>
    <t>805</t>
  </si>
  <si>
    <t xml:space="preserve">TICTOR    </t>
  </si>
  <si>
    <t>COD TRA</t>
  </si>
  <si>
    <t>816</t>
  </si>
  <si>
    <t xml:space="preserve">TIFPOR    </t>
  </si>
  <si>
    <t>FEC PROCESO ORI</t>
  </si>
  <si>
    <t>819</t>
  </si>
  <si>
    <t xml:space="preserve">TIIMOR    </t>
  </si>
  <si>
    <t>IMPO ORI</t>
  </si>
  <si>
    <t>827</t>
  </si>
  <si>
    <t xml:space="preserve">TIMOOR    </t>
  </si>
  <si>
    <t>MONE ORI</t>
  </si>
  <si>
    <t>833</t>
  </si>
  <si>
    <t xml:space="preserve">TIMEOR    </t>
  </si>
  <si>
    <t>MEDIO DE TRANSAC</t>
  </si>
  <si>
    <t>836</t>
  </si>
  <si>
    <t xml:space="preserve">TIOROR    </t>
  </si>
  <si>
    <t>ORIGEN</t>
  </si>
  <si>
    <t>838</t>
  </si>
  <si>
    <t xml:space="preserve">TISETL    </t>
  </si>
  <si>
    <t>SETTL LEVEL</t>
  </si>
  <si>
    <t>840</t>
  </si>
  <si>
    <t xml:space="preserve">TISETC    </t>
  </si>
  <si>
    <t>SETTL CODE</t>
  </si>
  <si>
    <t>841</t>
  </si>
  <si>
    <t xml:space="preserve">TIFNS     </t>
  </si>
  <si>
    <t>FRAUD NOTI SERV</t>
  </si>
  <si>
    <t>851</t>
  </si>
  <si>
    <t xml:space="preserve">TICPOS    </t>
  </si>
  <si>
    <t>CPOS MERCHANT</t>
  </si>
  <si>
    <t>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</si>
</sst>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5"/>
      <name val="Arial"/>
      <family val="2"/>
    </font>
    <font>
      <b/>
      <sz val="10"/>
      <name val="Arial"/>
      <family val="2"/>
    </font>
    <font>
      <sz val="10"/>
      <color rgb="FF0000C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workbookViewId="0">
      <selection activeCell="H4" sqref="H4:H118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  <col min="8" max="8" width="18.28515625" bestFit="1" customWidth="1"/>
  </cols>
  <sheetData>
    <row r="1" spans="1:8" ht="20.100000000000001" customHeight="1" x14ac:dyDescent="0.3">
      <c r="A1" s="4" t="s">
        <v>0</v>
      </c>
      <c r="B1" s="5"/>
      <c r="C1" s="5"/>
      <c r="D1" s="5"/>
      <c r="E1" s="5"/>
      <c r="F1" s="5"/>
      <c r="G1" s="5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  <c r="H4" t="str">
        <f>PROPER(B4)</f>
        <v>Emisor</v>
      </c>
    </row>
    <row r="5" spans="1:8" x14ac:dyDescent="0.25">
      <c r="A5" s="2" t="s">
        <v>14</v>
      </c>
      <c r="B5" s="2" t="s">
        <v>15</v>
      </c>
      <c r="C5" s="2" t="s">
        <v>10</v>
      </c>
      <c r="D5" s="2" t="s">
        <v>16</v>
      </c>
      <c r="E5" s="2" t="s">
        <v>12</v>
      </c>
      <c r="F5" s="2" t="s">
        <v>17</v>
      </c>
      <c r="G5" s="2" t="s">
        <v>15</v>
      </c>
      <c r="H5" t="str">
        <f t="shared" ref="H5:H68" si="0">PROPER(B5)</f>
        <v>Fecha Ingreso</v>
      </c>
    </row>
    <row r="6" spans="1:8" x14ac:dyDescent="0.25">
      <c r="A6" s="2" t="s">
        <v>18</v>
      </c>
      <c r="B6" s="2" t="s">
        <v>19</v>
      </c>
      <c r="C6" s="2" t="s">
        <v>10</v>
      </c>
      <c r="D6" s="2" t="s">
        <v>20</v>
      </c>
      <c r="E6" s="2" t="s">
        <v>12</v>
      </c>
      <c r="F6" s="2" t="s">
        <v>21</v>
      </c>
      <c r="G6" s="2" t="s">
        <v>19</v>
      </c>
      <c r="H6" t="str">
        <f t="shared" si="0"/>
        <v>Nro Opera</v>
      </c>
    </row>
    <row r="7" spans="1:8" x14ac:dyDescent="0.25">
      <c r="A7" s="3" t="s">
        <v>22</v>
      </c>
      <c r="B7" s="3" t="s">
        <v>23</v>
      </c>
      <c r="C7" s="3" t="s">
        <v>10</v>
      </c>
      <c r="D7" s="3" t="s">
        <v>17</v>
      </c>
      <c r="E7" s="3" t="s">
        <v>12</v>
      </c>
      <c r="F7" s="3" t="s">
        <v>24</v>
      </c>
      <c r="G7" s="3" t="s">
        <v>23</v>
      </c>
      <c r="H7" t="str">
        <f t="shared" si="0"/>
        <v/>
      </c>
    </row>
    <row r="8" spans="1:8" x14ac:dyDescent="0.25">
      <c r="A8" s="3" t="s">
        <v>25</v>
      </c>
      <c r="B8" s="3" t="s">
        <v>23</v>
      </c>
      <c r="C8" s="3" t="s">
        <v>10</v>
      </c>
      <c r="D8" s="3" t="s">
        <v>17</v>
      </c>
      <c r="E8" s="3" t="s">
        <v>12</v>
      </c>
      <c r="F8" s="3" t="s">
        <v>26</v>
      </c>
      <c r="G8" s="3" t="s">
        <v>23</v>
      </c>
      <c r="H8" t="str">
        <f t="shared" si="0"/>
        <v/>
      </c>
    </row>
    <row r="9" spans="1:8" x14ac:dyDescent="0.25">
      <c r="A9" s="3" t="s">
        <v>27</v>
      </c>
      <c r="B9" s="3" t="s">
        <v>28</v>
      </c>
      <c r="C9" s="3" t="s">
        <v>10</v>
      </c>
      <c r="D9" s="3" t="s">
        <v>17</v>
      </c>
      <c r="E9" s="3" t="s">
        <v>12</v>
      </c>
      <c r="F9" s="3" t="s">
        <v>29</v>
      </c>
      <c r="G9" s="3" t="s">
        <v>28</v>
      </c>
      <c r="H9" t="str">
        <f t="shared" si="0"/>
        <v>Mti</v>
      </c>
    </row>
    <row r="10" spans="1:8" x14ac:dyDescent="0.25">
      <c r="A10" s="3" t="s">
        <v>30</v>
      </c>
      <c r="B10" s="3" t="s">
        <v>31</v>
      </c>
      <c r="C10" s="3" t="s">
        <v>10</v>
      </c>
      <c r="D10" s="3" t="s">
        <v>11</v>
      </c>
      <c r="E10" s="3" t="s">
        <v>12</v>
      </c>
      <c r="F10" s="3" t="s">
        <v>32</v>
      </c>
      <c r="G10" s="3" t="s">
        <v>31</v>
      </c>
      <c r="H10" t="str">
        <f t="shared" si="0"/>
        <v>Cod Funcion</v>
      </c>
    </row>
    <row r="11" spans="1:8" x14ac:dyDescent="0.25">
      <c r="A11" s="3" t="s">
        <v>33</v>
      </c>
      <c r="B11" s="3" t="s">
        <v>31</v>
      </c>
      <c r="C11" s="3" t="s">
        <v>10</v>
      </c>
      <c r="D11" s="3" t="s">
        <v>34</v>
      </c>
      <c r="E11" s="3" t="s">
        <v>12</v>
      </c>
      <c r="F11" s="3" t="s">
        <v>35</v>
      </c>
      <c r="G11" s="3" t="s">
        <v>31</v>
      </c>
      <c r="H11" t="str">
        <f t="shared" si="0"/>
        <v>Cod Funcion</v>
      </c>
    </row>
    <row r="12" spans="1:8" x14ac:dyDescent="0.25">
      <c r="A12" s="3" t="s">
        <v>36</v>
      </c>
      <c r="B12" s="3" t="s">
        <v>37</v>
      </c>
      <c r="C12" s="3" t="s">
        <v>10</v>
      </c>
      <c r="D12" s="3" t="s">
        <v>38</v>
      </c>
      <c r="E12" s="3" t="s">
        <v>12</v>
      </c>
      <c r="F12" s="3" t="s">
        <v>39</v>
      </c>
      <c r="G12" s="3" t="s">
        <v>37</v>
      </c>
      <c r="H12" t="str">
        <f t="shared" si="0"/>
        <v>Fecha Transacc</v>
      </c>
    </row>
    <row r="13" spans="1:8" x14ac:dyDescent="0.25">
      <c r="A13" s="3" t="s">
        <v>40</v>
      </c>
      <c r="B13" s="3" t="s">
        <v>41</v>
      </c>
      <c r="C13" s="3" t="s">
        <v>42</v>
      </c>
      <c r="D13" s="3" t="s">
        <v>38</v>
      </c>
      <c r="E13" s="3" t="s">
        <v>23</v>
      </c>
      <c r="F13" s="3" t="s">
        <v>43</v>
      </c>
      <c r="G13" s="3" t="s">
        <v>41</v>
      </c>
      <c r="H13" t="str">
        <f t="shared" si="0"/>
        <v>Autoriz</v>
      </c>
    </row>
    <row r="14" spans="1:8" x14ac:dyDescent="0.25">
      <c r="A14" s="3" t="s">
        <v>44</v>
      </c>
      <c r="B14" s="3" t="s">
        <v>45</v>
      </c>
      <c r="C14" s="3" t="s">
        <v>10</v>
      </c>
      <c r="D14" s="3" t="s">
        <v>21</v>
      </c>
      <c r="E14" s="3" t="s">
        <v>46</v>
      </c>
      <c r="F14" s="3" t="s">
        <v>47</v>
      </c>
      <c r="G14" s="3" t="s">
        <v>45</v>
      </c>
      <c r="H14" t="str">
        <f t="shared" si="0"/>
        <v>Importe</v>
      </c>
    </row>
    <row r="15" spans="1:8" x14ac:dyDescent="0.25">
      <c r="A15" s="3" t="s">
        <v>48</v>
      </c>
      <c r="B15" s="3" t="s">
        <v>49</v>
      </c>
      <c r="C15" s="3" t="s">
        <v>42</v>
      </c>
      <c r="D15" s="3" t="s">
        <v>11</v>
      </c>
      <c r="E15" s="3" t="s">
        <v>23</v>
      </c>
      <c r="F15" s="3" t="s">
        <v>50</v>
      </c>
      <c r="G15" s="3" t="s">
        <v>49</v>
      </c>
      <c r="H15" t="str">
        <f t="shared" si="0"/>
        <v>Moneda</v>
      </c>
    </row>
    <row r="16" spans="1:8" x14ac:dyDescent="0.25">
      <c r="A16" s="3" t="s">
        <v>51</v>
      </c>
      <c r="B16" s="3" t="s">
        <v>52</v>
      </c>
      <c r="C16" s="3" t="s">
        <v>42</v>
      </c>
      <c r="D16" s="3" t="s">
        <v>46</v>
      </c>
      <c r="E16" s="3" t="s">
        <v>23</v>
      </c>
      <c r="F16" s="3" t="s">
        <v>53</v>
      </c>
      <c r="G16" s="3" t="s">
        <v>52</v>
      </c>
      <c r="H16" t="str">
        <f t="shared" si="0"/>
        <v>Cod Proceso</v>
      </c>
    </row>
    <row r="17" spans="1:8" x14ac:dyDescent="0.25">
      <c r="A17" s="3" t="s">
        <v>54</v>
      </c>
      <c r="B17" s="3" t="s">
        <v>55</v>
      </c>
      <c r="C17" s="3" t="s">
        <v>42</v>
      </c>
      <c r="D17" s="3" t="s">
        <v>56</v>
      </c>
      <c r="E17" s="3" t="s">
        <v>23</v>
      </c>
      <c r="F17" s="3" t="s">
        <v>57</v>
      </c>
      <c r="G17" s="3" t="s">
        <v>55</v>
      </c>
      <c r="H17" t="str">
        <f t="shared" si="0"/>
        <v>Cod Establ</v>
      </c>
    </row>
    <row r="18" spans="1:8" x14ac:dyDescent="0.25">
      <c r="A18" s="3" t="s">
        <v>58</v>
      </c>
      <c r="B18" s="3" t="s">
        <v>59</v>
      </c>
      <c r="C18" s="3" t="s">
        <v>42</v>
      </c>
      <c r="D18" s="3" t="s">
        <v>17</v>
      </c>
      <c r="E18" s="3" t="s">
        <v>23</v>
      </c>
      <c r="F18" s="3" t="s">
        <v>60</v>
      </c>
      <c r="G18" s="3" t="s">
        <v>59</v>
      </c>
      <c r="H18" t="str">
        <f t="shared" si="0"/>
        <v>Mcc</v>
      </c>
    </row>
    <row r="19" spans="1:8" x14ac:dyDescent="0.25">
      <c r="A19" s="3" t="s">
        <v>61</v>
      </c>
      <c r="B19" s="3" t="s">
        <v>62</v>
      </c>
      <c r="C19" s="3" t="s">
        <v>42</v>
      </c>
      <c r="D19" s="3" t="s">
        <v>63</v>
      </c>
      <c r="E19" s="3" t="s">
        <v>23</v>
      </c>
      <c r="F19" s="3" t="s">
        <v>64</v>
      </c>
      <c r="G19" s="3" t="s">
        <v>62</v>
      </c>
      <c r="H19" t="str">
        <f t="shared" si="0"/>
        <v>Acq Refer Number</v>
      </c>
    </row>
    <row r="20" spans="1:8" x14ac:dyDescent="0.25">
      <c r="A20" s="3" t="s">
        <v>65</v>
      </c>
      <c r="B20" s="3" t="s">
        <v>66</v>
      </c>
      <c r="C20" s="3" t="s">
        <v>42</v>
      </c>
      <c r="D20" s="3" t="s">
        <v>67</v>
      </c>
      <c r="E20" s="3" t="s">
        <v>23</v>
      </c>
      <c r="F20" s="3" t="s">
        <v>68</v>
      </c>
      <c r="G20" s="3" t="s">
        <v>66</v>
      </c>
      <c r="H20" t="str">
        <f t="shared" si="0"/>
        <v>Nombre Establec</v>
      </c>
    </row>
    <row r="21" spans="1:8" x14ac:dyDescent="0.25">
      <c r="A21" s="3" t="s">
        <v>69</v>
      </c>
      <c r="B21" s="3" t="s">
        <v>70</v>
      </c>
      <c r="C21" s="3" t="s">
        <v>42</v>
      </c>
      <c r="D21" s="3" t="s">
        <v>67</v>
      </c>
      <c r="E21" s="3" t="s">
        <v>23</v>
      </c>
      <c r="F21" s="3" t="s">
        <v>71</v>
      </c>
      <c r="G21" s="3" t="s">
        <v>70</v>
      </c>
      <c r="H21" t="str">
        <f t="shared" si="0"/>
        <v>Direcc Establec</v>
      </c>
    </row>
    <row r="22" spans="1:8" x14ac:dyDescent="0.25">
      <c r="A22" s="3" t="s">
        <v>72</v>
      </c>
      <c r="B22" s="3" t="s">
        <v>73</v>
      </c>
      <c r="C22" s="3" t="s">
        <v>42</v>
      </c>
      <c r="D22" s="3" t="s">
        <v>74</v>
      </c>
      <c r="E22" s="3" t="s">
        <v>23</v>
      </c>
      <c r="F22" s="3" t="s">
        <v>75</v>
      </c>
      <c r="G22" s="3" t="s">
        <v>73</v>
      </c>
      <c r="H22" t="str">
        <f t="shared" si="0"/>
        <v>Ciudad</v>
      </c>
    </row>
    <row r="23" spans="1:8" x14ac:dyDescent="0.25">
      <c r="A23" s="3" t="s">
        <v>76</v>
      </c>
      <c r="B23" s="3" t="s">
        <v>77</v>
      </c>
      <c r="C23" s="3" t="s">
        <v>42</v>
      </c>
      <c r="D23" s="3" t="s">
        <v>13</v>
      </c>
      <c r="E23" s="3" t="s">
        <v>23</v>
      </c>
      <c r="F23" s="3" t="s">
        <v>78</v>
      </c>
      <c r="G23" s="3" t="s">
        <v>77</v>
      </c>
      <c r="H23" t="str">
        <f t="shared" si="0"/>
        <v>Tipo Doc</v>
      </c>
    </row>
    <row r="24" spans="1:8" x14ac:dyDescent="0.25">
      <c r="A24" s="3" t="s">
        <v>79</v>
      </c>
      <c r="B24" s="3" t="s">
        <v>80</v>
      </c>
      <c r="C24" s="3" t="s">
        <v>42</v>
      </c>
      <c r="D24" s="3" t="s">
        <v>13</v>
      </c>
      <c r="E24" s="3" t="s">
        <v>23</v>
      </c>
      <c r="F24" s="3" t="s">
        <v>81</v>
      </c>
      <c r="G24" s="3" t="s">
        <v>80</v>
      </c>
      <c r="H24" t="str">
        <f t="shared" si="0"/>
        <v>Reversa</v>
      </c>
    </row>
    <row r="25" spans="1:8" x14ac:dyDescent="0.25">
      <c r="A25" s="3" t="s">
        <v>82</v>
      </c>
      <c r="B25" s="3" t="s">
        <v>83</v>
      </c>
      <c r="C25" s="3" t="s">
        <v>42</v>
      </c>
      <c r="D25" s="3" t="s">
        <v>21</v>
      </c>
      <c r="E25" s="3" t="s">
        <v>23</v>
      </c>
      <c r="F25" s="3" t="s">
        <v>84</v>
      </c>
      <c r="G25" s="3" t="s">
        <v>83</v>
      </c>
      <c r="H25" t="str">
        <f t="shared" si="0"/>
        <v>Point Data Code</v>
      </c>
    </row>
    <row r="26" spans="1:8" x14ac:dyDescent="0.25">
      <c r="A26" s="3" t="s">
        <v>85</v>
      </c>
      <c r="B26" s="3" t="s">
        <v>86</v>
      </c>
      <c r="C26" s="3" t="s">
        <v>42</v>
      </c>
      <c r="D26" s="3" t="s">
        <v>11</v>
      </c>
      <c r="E26" s="3" t="s">
        <v>23</v>
      </c>
      <c r="F26" s="3" t="s">
        <v>87</v>
      </c>
      <c r="G26" s="3" t="s">
        <v>86</v>
      </c>
      <c r="H26" t="str">
        <f t="shared" si="0"/>
        <v>Tipo Terminal</v>
      </c>
    </row>
    <row r="27" spans="1:8" x14ac:dyDescent="0.25">
      <c r="A27" s="3" t="s">
        <v>88</v>
      </c>
      <c r="B27" s="3" t="s">
        <v>23</v>
      </c>
      <c r="C27" s="3" t="s">
        <v>42</v>
      </c>
      <c r="D27" s="3" t="s">
        <v>13</v>
      </c>
      <c r="E27" s="3" t="s">
        <v>23</v>
      </c>
      <c r="F27" s="3" t="s">
        <v>89</v>
      </c>
      <c r="G27" s="3" t="s">
        <v>23</v>
      </c>
      <c r="H27" t="str">
        <f t="shared" si="0"/>
        <v/>
      </c>
    </row>
    <row r="28" spans="1:8" x14ac:dyDescent="0.25">
      <c r="A28" s="3" t="s">
        <v>90</v>
      </c>
      <c r="B28" s="3" t="s">
        <v>91</v>
      </c>
      <c r="C28" s="3" t="s">
        <v>42</v>
      </c>
      <c r="D28" s="3" t="s">
        <v>13</v>
      </c>
      <c r="E28" s="3" t="s">
        <v>23</v>
      </c>
      <c r="F28" s="3" t="s">
        <v>92</v>
      </c>
      <c r="G28" s="3" t="s">
        <v>91</v>
      </c>
      <c r="H28" t="str">
        <f t="shared" si="0"/>
        <v>Indica Docum</v>
      </c>
    </row>
    <row r="29" spans="1:8" x14ac:dyDescent="0.25">
      <c r="A29" s="3" t="s">
        <v>93</v>
      </c>
      <c r="B29" s="3" t="s">
        <v>94</v>
      </c>
      <c r="C29" s="3" t="s">
        <v>10</v>
      </c>
      <c r="D29" s="3" t="s">
        <v>21</v>
      </c>
      <c r="E29" s="3" t="s">
        <v>12</v>
      </c>
      <c r="F29" s="3" t="s">
        <v>95</v>
      </c>
      <c r="G29" s="3" t="s">
        <v>94</v>
      </c>
      <c r="H29" t="str">
        <f t="shared" si="0"/>
        <v>Impo Adqui</v>
      </c>
    </row>
    <row r="30" spans="1:8" x14ac:dyDescent="0.25">
      <c r="A30" s="3" t="s">
        <v>96</v>
      </c>
      <c r="B30" s="3" t="s">
        <v>97</v>
      </c>
      <c r="C30" s="3" t="s">
        <v>42</v>
      </c>
      <c r="D30" s="3" t="s">
        <v>13</v>
      </c>
      <c r="E30" s="3" t="s">
        <v>23</v>
      </c>
      <c r="F30" s="3" t="s">
        <v>98</v>
      </c>
      <c r="G30" s="3" t="s">
        <v>97</v>
      </c>
      <c r="H30" t="str">
        <f t="shared" si="0"/>
        <v>Expo Adqui</v>
      </c>
    </row>
    <row r="31" spans="1:8" x14ac:dyDescent="0.25">
      <c r="A31" s="3" t="s">
        <v>99</v>
      </c>
      <c r="B31" s="3" t="s">
        <v>100</v>
      </c>
      <c r="C31" s="3" t="s">
        <v>42</v>
      </c>
      <c r="D31" s="3" t="s">
        <v>11</v>
      </c>
      <c r="E31" s="3" t="s">
        <v>23</v>
      </c>
      <c r="F31" s="3" t="s">
        <v>101</v>
      </c>
      <c r="G31" s="3" t="s">
        <v>100</v>
      </c>
      <c r="H31" t="str">
        <f t="shared" si="0"/>
        <v>Mone Adqui</v>
      </c>
    </row>
    <row r="32" spans="1:8" x14ac:dyDescent="0.25">
      <c r="A32" s="3" t="s">
        <v>102</v>
      </c>
      <c r="B32" s="3" t="s">
        <v>103</v>
      </c>
      <c r="C32" s="3" t="s">
        <v>10</v>
      </c>
      <c r="D32" s="3" t="s">
        <v>21</v>
      </c>
      <c r="E32" s="3" t="s">
        <v>12</v>
      </c>
      <c r="F32" s="3" t="s">
        <v>104</v>
      </c>
      <c r="G32" s="3" t="s">
        <v>103</v>
      </c>
      <c r="H32" t="str">
        <f t="shared" si="0"/>
        <v>Impo Factu</v>
      </c>
    </row>
    <row r="33" spans="1:8" x14ac:dyDescent="0.25">
      <c r="A33" s="3" t="s">
        <v>105</v>
      </c>
      <c r="B33" s="3" t="s">
        <v>106</v>
      </c>
      <c r="C33" s="3" t="s">
        <v>42</v>
      </c>
      <c r="D33" s="3" t="s">
        <v>13</v>
      </c>
      <c r="E33" s="3" t="s">
        <v>23</v>
      </c>
      <c r="F33" s="3" t="s">
        <v>107</v>
      </c>
      <c r="G33" s="3" t="s">
        <v>106</v>
      </c>
      <c r="H33" t="str">
        <f t="shared" si="0"/>
        <v>Expo Factu</v>
      </c>
    </row>
    <row r="34" spans="1:8" x14ac:dyDescent="0.25">
      <c r="A34" s="3" t="s">
        <v>108</v>
      </c>
      <c r="B34" s="3" t="s">
        <v>109</v>
      </c>
      <c r="C34" s="3" t="s">
        <v>42</v>
      </c>
      <c r="D34" s="3" t="s">
        <v>11</v>
      </c>
      <c r="E34" s="3" t="s">
        <v>23</v>
      </c>
      <c r="F34" s="3" t="s">
        <v>110</v>
      </c>
      <c r="G34" s="3" t="s">
        <v>109</v>
      </c>
      <c r="H34" t="str">
        <f t="shared" si="0"/>
        <v>Mone Factu</v>
      </c>
    </row>
    <row r="35" spans="1:8" x14ac:dyDescent="0.25">
      <c r="A35" s="3" t="s">
        <v>111</v>
      </c>
      <c r="B35" s="3" t="s">
        <v>23</v>
      </c>
      <c r="C35" s="3" t="s">
        <v>42</v>
      </c>
      <c r="D35" s="3" t="s">
        <v>17</v>
      </c>
      <c r="E35" s="3" t="s">
        <v>23</v>
      </c>
      <c r="F35" s="3" t="s">
        <v>112</v>
      </c>
      <c r="G35" s="3" t="s">
        <v>23</v>
      </c>
      <c r="H35" t="str">
        <f t="shared" si="0"/>
        <v/>
      </c>
    </row>
    <row r="36" spans="1:8" x14ac:dyDescent="0.25">
      <c r="A36" s="3" t="s">
        <v>113</v>
      </c>
      <c r="B36" s="3" t="s">
        <v>114</v>
      </c>
      <c r="C36" s="3" t="s">
        <v>42</v>
      </c>
      <c r="D36" s="3" t="s">
        <v>34</v>
      </c>
      <c r="E36" s="3" t="s">
        <v>23</v>
      </c>
      <c r="F36" s="3" t="s">
        <v>115</v>
      </c>
      <c r="G36" s="3" t="s">
        <v>114</v>
      </c>
      <c r="H36" t="str">
        <f t="shared" si="0"/>
        <v>Ciclo Vida</v>
      </c>
    </row>
    <row r="37" spans="1:8" x14ac:dyDescent="0.25">
      <c r="A37" s="3" t="s">
        <v>116</v>
      </c>
      <c r="B37" s="3" t="s">
        <v>117</v>
      </c>
      <c r="C37" s="3" t="s">
        <v>42</v>
      </c>
      <c r="D37" s="3" t="s">
        <v>24</v>
      </c>
      <c r="E37" s="3" t="s">
        <v>23</v>
      </c>
      <c r="F37" s="3" t="s">
        <v>118</v>
      </c>
      <c r="G37" s="3" t="s">
        <v>117</v>
      </c>
      <c r="H37" t="str">
        <f t="shared" si="0"/>
        <v>Nro Control</v>
      </c>
    </row>
    <row r="38" spans="1:8" x14ac:dyDescent="0.25">
      <c r="A38" s="3" t="s">
        <v>119</v>
      </c>
      <c r="B38" s="3" t="s">
        <v>120</v>
      </c>
      <c r="C38" s="3" t="s">
        <v>42</v>
      </c>
      <c r="D38" s="3" t="s">
        <v>17</v>
      </c>
      <c r="E38" s="3" t="s">
        <v>23</v>
      </c>
      <c r="F38" s="3" t="s">
        <v>121</v>
      </c>
      <c r="G38" s="3" t="s">
        <v>120</v>
      </c>
      <c r="H38" t="str">
        <f t="shared" si="0"/>
        <v>Cod Razon</v>
      </c>
    </row>
    <row r="39" spans="1:8" x14ac:dyDescent="0.25">
      <c r="A39" s="3" t="s">
        <v>122</v>
      </c>
      <c r="B39" s="3" t="s">
        <v>123</v>
      </c>
      <c r="C39" s="3" t="s">
        <v>42</v>
      </c>
      <c r="D39" s="3" t="s">
        <v>17</v>
      </c>
      <c r="E39" s="3" t="s">
        <v>23</v>
      </c>
      <c r="F39" s="3" t="s">
        <v>124</v>
      </c>
      <c r="G39" s="3" t="s">
        <v>123</v>
      </c>
      <c r="H39" t="str">
        <f t="shared" si="0"/>
        <v>Cod Razon Refer</v>
      </c>
    </row>
    <row r="40" spans="1:8" x14ac:dyDescent="0.25">
      <c r="A40" s="3" t="s">
        <v>125</v>
      </c>
      <c r="B40" s="3" t="s">
        <v>126</v>
      </c>
      <c r="C40" s="3" t="s">
        <v>42</v>
      </c>
      <c r="D40" s="3" t="s">
        <v>11</v>
      </c>
      <c r="E40" s="3" t="s">
        <v>23</v>
      </c>
      <c r="F40" s="3" t="s">
        <v>127</v>
      </c>
      <c r="G40" s="3" t="s">
        <v>126</v>
      </c>
      <c r="H40" t="str">
        <f t="shared" si="0"/>
        <v>Cod Ciudad</v>
      </c>
    </row>
    <row r="41" spans="1:8" x14ac:dyDescent="0.25">
      <c r="A41" s="3" t="s">
        <v>128</v>
      </c>
      <c r="B41" s="3" t="s">
        <v>129</v>
      </c>
      <c r="C41" s="3" t="s">
        <v>42</v>
      </c>
      <c r="D41" s="3" t="s">
        <v>11</v>
      </c>
      <c r="E41" s="3" t="s">
        <v>23</v>
      </c>
      <c r="F41" s="3" t="s">
        <v>130</v>
      </c>
      <c r="G41" s="3" t="s">
        <v>129</v>
      </c>
      <c r="H41" t="str">
        <f t="shared" si="0"/>
        <v>Pais</v>
      </c>
    </row>
    <row r="42" spans="1:8" x14ac:dyDescent="0.25">
      <c r="A42" s="3" t="s">
        <v>131</v>
      </c>
      <c r="B42" s="3" t="s">
        <v>23</v>
      </c>
      <c r="C42" s="3" t="s">
        <v>42</v>
      </c>
      <c r="D42" s="3" t="s">
        <v>132</v>
      </c>
      <c r="E42" s="3" t="s">
        <v>23</v>
      </c>
      <c r="F42" s="3" t="s">
        <v>133</v>
      </c>
      <c r="G42" s="3" t="s">
        <v>23</v>
      </c>
      <c r="H42" t="str">
        <f t="shared" si="0"/>
        <v/>
      </c>
    </row>
    <row r="43" spans="1:8" x14ac:dyDescent="0.25">
      <c r="A43" s="3" t="s">
        <v>134</v>
      </c>
      <c r="B43" s="3" t="s">
        <v>135</v>
      </c>
      <c r="C43" s="3" t="s">
        <v>10</v>
      </c>
      <c r="D43" s="3" t="s">
        <v>38</v>
      </c>
      <c r="E43" s="3" t="s">
        <v>12</v>
      </c>
      <c r="F43" s="3" t="s">
        <v>136</v>
      </c>
      <c r="G43" s="3" t="s">
        <v>135</v>
      </c>
      <c r="H43" t="str">
        <f t="shared" si="0"/>
        <v>Fecha Envio Incomi</v>
      </c>
    </row>
    <row r="44" spans="1:8" x14ac:dyDescent="0.25">
      <c r="A44" s="3" t="s">
        <v>137</v>
      </c>
      <c r="B44" s="3" t="s">
        <v>138</v>
      </c>
      <c r="C44" s="3" t="s">
        <v>42</v>
      </c>
      <c r="D44" s="3" t="s">
        <v>13</v>
      </c>
      <c r="E44" s="3" t="s">
        <v>23</v>
      </c>
      <c r="F44" s="3" t="s">
        <v>139</v>
      </c>
      <c r="G44" s="3" t="s">
        <v>138</v>
      </c>
      <c r="H44" t="str">
        <f t="shared" si="0"/>
        <v>Pago Recurrente</v>
      </c>
    </row>
    <row r="45" spans="1:8" x14ac:dyDescent="0.25">
      <c r="A45" s="3" t="s">
        <v>140</v>
      </c>
      <c r="B45" s="3" t="s">
        <v>141</v>
      </c>
      <c r="C45" s="3" t="s">
        <v>42</v>
      </c>
      <c r="D45" s="3" t="s">
        <v>29</v>
      </c>
      <c r="E45" s="3" t="s">
        <v>23</v>
      </c>
      <c r="F45" s="3" t="s">
        <v>142</v>
      </c>
      <c r="G45" s="3" t="s">
        <v>141</v>
      </c>
      <c r="H45" t="str">
        <f t="shared" si="0"/>
        <v>File Id</v>
      </c>
    </row>
    <row r="46" spans="1:8" x14ac:dyDescent="0.25">
      <c r="A46" s="3" t="s">
        <v>143</v>
      </c>
      <c r="B46" s="3" t="s">
        <v>23</v>
      </c>
      <c r="C46" s="3" t="s">
        <v>42</v>
      </c>
      <c r="D46" s="3" t="s">
        <v>144</v>
      </c>
      <c r="E46" s="3" t="s">
        <v>23</v>
      </c>
      <c r="F46" s="3" t="s">
        <v>145</v>
      </c>
      <c r="G46" s="3" t="s">
        <v>23</v>
      </c>
      <c r="H46" t="str">
        <f t="shared" si="0"/>
        <v/>
      </c>
    </row>
    <row r="47" spans="1:8" x14ac:dyDescent="0.25">
      <c r="A47" s="3" t="s">
        <v>146</v>
      </c>
      <c r="B47" s="3" t="s">
        <v>23</v>
      </c>
      <c r="C47" s="3" t="s">
        <v>10</v>
      </c>
      <c r="D47" s="3" t="s">
        <v>16</v>
      </c>
      <c r="E47" s="3" t="s">
        <v>12</v>
      </c>
      <c r="F47" s="3" t="s">
        <v>147</v>
      </c>
      <c r="G47" s="3" t="s">
        <v>23</v>
      </c>
      <c r="H47" t="str">
        <f t="shared" si="0"/>
        <v/>
      </c>
    </row>
    <row r="48" spans="1:8" x14ac:dyDescent="0.25">
      <c r="A48" s="3" t="s">
        <v>148</v>
      </c>
      <c r="B48" s="3" t="s">
        <v>23</v>
      </c>
      <c r="C48" s="3" t="s">
        <v>42</v>
      </c>
      <c r="D48" s="3" t="s">
        <v>144</v>
      </c>
      <c r="E48" s="3" t="s">
        <v>23</v>
      </c>
      <c r="F48" s="3" t="s">
        <v>149</v>
      </c>
      <c r="G48" s="3" t="s">
        <v>23</v>
      </c>
      <c r="H48" t="str">
        <f t="shared" si="0"/>
        <v/>
      </c>
    </row>
    <row r="49" spans="1:8" x14ac:dyDescent="0.25">
      <c r="A49" s="3" t="s">
        <v>150</v>
      </c>
      <c r="B49" s="3" t="s">
        <v>23</v>
      </c>
      <c r="C49" s="3" t="s">
        <v>10</v>
      </c>
      <c r="D49" s="3" t="s">
        <v>16</v>
      </c>
      <c r="E49" s="3" t="s">
        <v>12</v>
      </c>
      <c r="F49" s="3" t="s">
        <v>151</v>
      </c>
      <c r="G49" s="3" t="s">
        <v>23</v>
      </c>
      <c r="H49" t="str">
        <f t="shared" si="0"/>
        <v/>
      </c>
    </row>
    <row r="50" spans="1:8" x14ac:dyDescent="0.25">
      <c r="A50" s="3" t="s">
        <v>152</v>
      </c>
      <c r="B50" s="3" t="s">
        <v>23</v>
      </c>
      <c r="C50" s="3" t="s">
        <v>42</v>
      </c>
      <c r="D50" s="3" t="s">
        <v>13</v>
      </c>
      <c r="E50" s="3" t="s">
        <v>23</v>
      </c>
      <c r="F50" s="3" t="s">
        <v>153</v>
      </c>
      <c r="G50" s="3" t="s">
        <v>23</v>
      </c>
      <c r="H50" t="str">
        <f t="shared" si="0"/>
        <v/>
      </c>
    </row>
    <row r="51" spans="1:8" x14ac:dyDescent="0.25">
      <c r="A51" s="3" t="s">
        <v>154</v>
      </c>
      <c r="B51" s="3" t="s">
        <v>155</v>
      </c>
      <c r="C51" s="3" t="s">
        <v>10</v>
      </c>
      <c r="D51" s="3" t="s">
        <v>16</v>
      </c>
      <c r="E51" s="3" t="s">
        <v>12</v>
      </c>
      <c r="F51" s="3" t="s">
        <v>156</v>
      </c>
      <c r="G51" s="3" t="s">
        <v>155</v>
      </c>
      <c r="H51" t="str">
        <f t="shared" si="0"/>
        <v>Fecing Outgo</v>
      </c>
    </row>
    <row r="52" spans="1:8" x14ac:dyDescent="0.25">
      <c r="A52" s="3" t="s">
        <v>157</v>
      </c>
      <c r="B52" s="3" t="s">
        <v>158</v>
      </c>
      <c r="C52" s="3" t="s">
        <v>10</v>
      </c>
      <c r="D52" s="3" t="s">
        <v>20</v>
      </c>
      <c r="E52" s="3" t="s">
        <v>12</v>
      </c>
      <c r="F52" s="3" t="s">
        <v>159</v>
      </c>
      <c r="G52" s="3" t="s">
        <v>158</v>
      </c>
      <c r="H52" t="str">
        <f t="shared" si="0"/>
        <v>Nroope Outgo</v>
      </c>
    </row>
    <row r="53" spans="1:8" x14ac:dyDescent="0.25">
      <c r="A53" s="3" t="s">
        <v>160</v>
      </c>
      <c r="B53" s="3" t="s">
        <v>161</v>
      </c>
      <c r="C53" s="3" t="s">
        <v>42</v>
      </c>
      <c r="D53" s="3" t="s">
        <v>13</v>
      </c>
      <c r="E53" s="3" t="s">
        <v>23</v>
      </c>
      <c r="F53" s="3" t="s">
        <v>162</v>
      </c>
      <c r="G53" s="3" t="s">
        <v>161</v>
      </c>
      <c r="H53" t="str">
        <f t="shared" si="0"/>
        <v>Tipo Intercambio</v>
      </c>
    </row>
    <row r="54" spans="1:8" x14ac:dyDescent="0.25">
      <c r="A54" s="3" t="s">
        <v>163</v>
      </c>
      <c r="B54" s="3" t="s">
        <v>164</v>
      </c>
      <c r="C54" s="3" t="s">
        <v>165</v>
      </c>
      <c r="D54" s="3" t="s">
        <v>166</v>
      </c>
      <c r="E54" s="3" t="s">
        <v>46</v>
      </c>
      <c r="F54" s="3" t="s">
        <v>167</v>
      </c>
      <c r="G54" s="3" t="s">
        <v>164</v>
      </c>
      <c r="H54" t="str">
        <f t="shared" si="0"/>
        <v>Comision</v>
      </c>
    </row>
    <row r="55" spans="1:8" x14ac:dyDescent="0.25">
      <c r="A55" s="3" t="s">
        <v>168</v>
      </c>
      <c r="B55" s="3" t="s">
        <v>169</v>
      </c>
      <c r="C55" s="3" t="s">
        <v>165</v>
      </c>
      <c r="D55" s="3" t="s">
        <v>166</v>
      </c>
      <c r="E55" s="3" t="s">
        <v>46</v>
      </c>
      <c r="F55" s="3" t="s">
        <v>170</v>
      </c>
      <c r="G55" s="3" t="s">
        <v>169</v>
      </c>
      <c r="H55" t="str">
        <f t="shared" si="0"/>
        <v>Comis Proces</v>
      </c>
    </row>
    <row r="56" spans="1:8" x14ac:dyDescent="0.25">
      <c r="A56" s="3" t="s">
        <v>171</v>
      </c>
      <c r="B56" s="3" t="s">
        <v>172</v>
      </c>
      <c r="C56" s="3" t="s">
        <v>165</v>
      </c>
      <c r="D56" s="3" t="s">
        <v>166</v>
      </c>
      <c r="E56" s="3" t="s">
        <v>46</v>
      </c>
      <c r="F56" s="3" t="s">
        <v>173</v>
      </c>
      <c r="G56" s="3" t="s">
        <v>172</v>
      </c>
      <c r="H56" t="str">
        <f t="shared" si="0"/>
        <v>Comis Emisor</v>
      </c>
    </row>
    <row r="57" spans="1:8" x14ac:dyDescent="0.25">
      <c r="A57" s="3" t="s">
        <v>174</v>
      </c>
      <c r="B57" s="3" t="s">
        <v>175</v>
      </c>
      <c r="C57" s="3" t="s">
        <v>165</v>
      </c>
      <c r="D57" s="3" t="s">
        <v>166</v>
      </c>
      <c r="E57" s="3" t="s">
        <v>46</v>
      </c>
      <c r="F57" s="3" t="s">
        <v>176</v>
      </c>
      <c r="G57" s="3" t="s">
        <v>175</v>
      </c>
      <c r="H57" t="str">
        <f t="shared" si="0"/>
        <v>Serv Proces</v>
      </c>
    </row>
    <row r="58" spans="1:8" x14ac:dyDescent="0.25">
      <c r="A58" s="3" t="s">
        <v>177</v>
      </c>
      <c r="B58" s="3" t="s">
        <v>178</v>
      </c>
      <c r="C58" s="3" t="s">
        <v>165</v>
      </c>
      <c r="D58" s="3" t="s">
        <v>179</v>
      </c>
      <c r="E58" s="3" t="s">
        <v>46</v>
      </c>
      <c r="F58" s="3" t="s">
        <v>180</v>
      </c>
      <c r="G58" s="3" t="s">
        <v>178</v>
      </c>
      <c r="H58" t="str">
        <f t="shared" si="0"/>
        <v>Igv Comis Proce</v>
      </c>
    </row>
    <row r="59" spans="1:8" x14ac:dyDescent="0.25">
      <c r="A59" s="3" t="s">
        <v>181</v>
      </c>
      <c r="B59" s="3" t="s">
        <v>182</v>
      </c>
      <c r="C59" s="3" t="s">
        <v>165</v>
      </c>
      <c r="D59" s="3" t="s">
        <v>179</v>
      </c>
      <c r="E59" s="3" t="s">
        <v>46</v>
      </c>
      <c r="F59" s="3" t="s">
        <v>183</v>
      </c>
      <c r="G59" s="3" t="s">
        <v>182</v>
      </c>
      <c r="H59" t="str">
        <f t="shared" si="0"/>
        <v>Igv Serv Proces</v>
      </c>
    </row>
    <row r="60" spans="1:8" x14ac:dyDescent="0.25">
      <c r="A60" s="3" t="s">
        <v>184</v>
      </c>
      <c r="B60" s="3" t="s">
        <v>185</v>
      </c>
      <c r="C60" s="3" t="s">
        <v>165</v>
      </c>
      <c r="D60" s="3" t="s">
        <v>20</v>
      </c>
      <c r="E60" s="3" t="s">
        <v>11</v>
      </c>
      <c r="F60" s="3" t="s">
        <v>186</v>
      </c>
      <c r="G60" s="3" t="s">
        <v>185</v>
      </c>
      <c r="H60" t="str">
        <f t="shared" si="0"/>
        <v>Tipo Cambio</v>
      </c>
    </row>
    <row r="61" spans="1:8" x14ac:dyDescent="0.25">
      <c r="A61" s="3" t="s">
        <v>187</v>
      </c>
      <c r="B61" s="3" t="s">
        <v>188</v>
      </c>
      <c r="C61" s="3" t="s">
        <v>42</v>
      </c>
      <c r="D61" s="3" t="s">
        <v>46</v>
      </c>
      <c r="E61" s="3" t="s">
        <v>23</v>
      </c>
      <c r="F61" s="3" t="s">
        <v>189</v>
      </c>
      <c r="G61" s="3" t="s">
        <v>188</v>
      </c>
      <c r="H61" t="str">
        <f t="shared" si="0"/>
        <v>Nro Cuotas</v>
      </c>
    </row>
    <row r="62" spans="1:8" x14ac:dyDescent="0.25">
      <c r="A62" s="3" t="s">
        <v>190</v>
      </c>
      <c r="B62" s="3" t="s">
        <v>191</v>
      </c>
      <c r="C62" s="3" t="s">
        <v>42</v>
      </c>
      <c r="D62" s="3" t="s">
        <v>38</v>
      </c>
      <c r="E62" s="3" t="s">
        <v>23</v>
      </c>
      <c r="F62" s="3" t="s">
        <v>192</v>
      </c>
      <c r="G62" s="3" t="s">
        <v>191</v>
      </c>
      <c r="H62" t="str">
        <f t="shared" si="0"/>
        <v>Ica Expandido</v>
      </c>
    </row>
    <row r="63" spans="1:8" x14ac:dyDescent="0.25">
      <c r="A63" s="3" t="s">
        <v>193</v>
      </c>
      <c r="B63" s="3" t="s">
        <v>194</v>
      </c>
      <c r="C63" s="3" t="s">
        <v>42</v>
      </c>
      <c r="D63" s="3" t="s">
        <v>38</v>
      </c>
      <c r="E63" s="3" t="s">
        <v>23</v>
      </c>
      <c r="F63" s="3" t="s">
        <v>195</v>
      </c>
      <c r="G63" s="3" t="s">
        <v>194</v>
      </c>
      <c r="H63" t="str">
        <f t="shared" si="0"/>
        <v>Envia Expand</v>
      </c>
    </row>
    <row r="64" spans="1:8" x14ac:dyDescent="0.25">
      <c r="A64" s="3" t="s">
        <v>196</v>
      </c>
      <c r="B64" s="3" t="s">
        <v>197</v>
      </c>
      <c r="C64" s="3" t="s">
        <v>42</v>
      </c>
      <c r="D64" s="3" t="s">
        <v>38</v>
      </c>
      <c r="E64" s="3" t="s">
        <v>23</v>
      </c>
      <c r="F64" s="3" t="s">
        <v>198</v>
      </c>
      <c r="G64" s="3" t="s">
        <v>197</v>
      </c>
      <c r="H64" t="str">
        <f t="shared" si="0"/>
        <v>Recibe Expand</v>
      </c>
    </row>
    <row r="65" spans="1:8" x14ac:dyDescent="0.25">
      <c r="A65" s="3" t="s">
        <v>199</v>
      </c>
      <c r="B65" s="3" t="s">
        <v>200</v>
      </c>
      <c r="C65" s="3" t="s">
        <v>42</v>
      </c>
      <c r="D65" s="3" t="s">
        <v>46</v>
      </c>
      <c r="E65" s="3" t="s">
        <v>23</v>
      </c>
      <c r="F65" s="3" t="s">
        <v>201</v>
      </c>
      <c r="G65" s="3" t="s">
        <v>200</v>
      </c>
      <c r="H65" t="str">
        <f t="shared" si="0"/>
        <v>Producto</v>
      </c>
    </row>
    <row r="66" spans="1:8" x14ac:dyDescent="0.25">
      <c r="A66" s="3" t="s">
        <v>202</v>
      </c>
      <c r="B66" s="3" t="s">
        <v>203</v>
      </c>
      <c r="C66" s="3" t="s">
        <v>42</v>
      </c>
      <c r="D66" s="3" t="s">
        <v>21</v>
      </c>
      <c r="E66" s="3" t="s">
        <v>23</v>
      </c>
      <c r="F66" s="3" t="s">
        <v>204</v>
      </c>
      <c r="G66" s="3" t="s">
        <v>203</v>
      </c>
      <c r="H66" t="str">
        <f t="shared" si="0"/>
        <v>Bussi Activity</v>
      </c>
    </row>
    <row r="67" spans="1:8" x14ac:dyDescent="0.25">
      <c r="A67" s="3" t="s">
        <v>205</v>
      </c>
      <c r="B67" s="3" t="s">
        <v>206</v>
      </c>
      <c r="C67" s="3" t="s">
        <v>42</v>
      </c>
      <c r="D67" s="3" t="s">
        <v>46</v>
      </c>
      <c r="E67" s="3" t="s">
        <v>23</v>
      </c>
      <c r="F67" s="3" t="s">
        <v>207</v>
      </c>
      <c r="G67" s="3" t="s">
        <v>206</v>
      </c>
      <c r="H67" t="str">
        <f t="shared" si="0"/>
        <v>Ird</v>
      </c>
    </row>
    <row r="68" spans="1:8" x14ac:dyDescent="0.25">
      <c r="A68" s="3" t="s">
        <v>208</v>
      </c>
      <c r="B68" s="3" t="s">
        <v>209</v>
      </c>
      <c r="C68" s="3" t="s">
        <v>42</v>
      </c>
      <c r="D68" s="3" t="s">
        <v>13</v>
      </c>
      <c r="E68" s="3" t="s">
        <v>23</v>
      </c>
      <c r="F68" s="3" t="s">
        <v>210</v>
      </c>
      <c r="G68" s="3" t="s">
        <v>209</v>
      </c>
      <c r="H68" t="str">
        <f t="shared" si="0"/>
        <v>Mes Pago Difer</v>
      </c>
    </row>
    <row r="69" spans="1:8" x14ac:dyDescent="0.25">
      <c r="A69" s="3" t="s">
        <v>211</v>
      </c>
      <c r="B69" s="3" t="s">
        <v>212</v>
      </c>
      <c r="C69" s="3" t="s">
        <v>42</v>
      </c>
      <c r="D69" s="3" t="s">
        <v>11</v>
      </c>
      <c r="E69" s="3" t="s">
        <v>23</v>
      </c>
      <c r="F69" s="3" t="s">
        <v>213</v>
      </c>
      <c r="G69" s="3" t="s">
        <v>212</v>
      </c>
      <c r="H69" t="str">
        <f t="shared" ref="H69:H118" si="1">PROPER(B69)</f>
        <v>Protoc-Autent-Ucaf</v>
      </c>
    </row>
    <row r="70" spans="1:8" x14ac:dyDescent="0.25">
      <c r="A70" s="3" t="s">
        <v>214</v>
      </c>
      <c r="B70" s="3" t="s">
        <v>215</v>
      </c>
      <c r="C70" s="3" t="s">
        <v>42</v>
      </c>
      <c r="D70" s="3" t="s">
        <v>11</v>
      </c>
      <c r="E70" s="3" t="s">
        <v>23</v>
      </c>
      <c r="F70" s="3" t="s">
        <v>216</v>
      </c>
      <c r="G70" s="3" t="s">
        <v>215</v>
      </c>
      <c r="H70" t="str">
        <f t="shared" si="1"/>
        <v>Sub Prod</v>
      </c>
    </row>
    <row r="71" spans="1:8" x14ac:dyDescent="0.25">
      <c r="A71" s="3" t="s">
        <v>217</v>
      </c>
      <c r="B71" s="3" t="s">
        <v>218</v>
      </c>
      <c r="C71" s="3" t="s">
        <v>42</v>
      </c>
      <c r="D71" s="3" t="s">
        <v>13</v>
      </c>
      <c r="E71" s="3" t="s">
        <v>23</v>
      </c>
      <c r="F71" s="3" t="s">
        <v>219</v>
      </c>
      <c r="G71" s="3" t="s">
        <v>218</v>
      </c>
      <c r="H71" t="str">
        <f t="shared" si="1"/>
        <v>Tipo Aprob</v>
      </c>
    </row>
    <row r="72" spans="1:8" x14ac:dyDescent="0.25">
      <c r="A72" s="3" t="s">
        <v>220</v>
      </c>
      <c r="B72" s="3" t="s">
        <v>221</v>
      </c>
      <c r="C72" s="3" t="s">
        <v>10</v>
      </c>
      <c r="D72" s="3" t="s">
        <v>166</v>
      </c>
      <c r="E72" s="3" t="s">
        <v>12</v>
      </c>
      <c r="F72" s="3" t="s">
        <v>222</v>
      </c>
      <c r="G72" s="3" t="s">
        <v>221</v>
      </c>
      <c r="H72" t="str">
        <f t="shared" si="1"/>
        <v>Cod Estab Ret</v>
      </c>
    </row>
    <row r="73" spans="1:8" x14ac:dyDescent="0.25">
      <c r="A73" s="3" t="s">
        <v>223</v>
      </c>
      <c r="B73" s="3" t="s">
        <v>224</v>
      </c>
      <c r="C73" s="3" t="s">
        <v>42</v>
      </c>
      <c r="D73" s="3" t="s">
        <v>225</v>
      </c>
      <c r="E73" s="3" t="s">
        <v>23</v>
      </c>
      <c r="F73" s="3" t="s">
        <v>226</v>
      </c>
      <c r="G73" s="3" t="s">
        <v>224</v>
      </c>
      <c r="H73" t="str">
        <f t="shared" si="1"/>
        <v>Glosa Aprob</v>
      </c>
    </row>
    <row r="74" spans="1:8" x14ac:dyDescent="0.25">
      <c r="A74" s="3" t="s">
        <v>227</v>
      </c>
      <c r="B74" s="3" t="s">
        <v>228</v>
      </c>
      <c r="C74" s="3" t="s">
        <v>42</v>
      </c>
      <c r="D74" s="3" t="s">
        <v>38</v>
      </c>
      <c r="E74" s="3" t="s">
        <v>23</v>
      </c>
      <c r="F74" s="3" t="s">
        <v>229</v>
      </c>
      <c r="G74" s="3" t="s">
        <v>228</v>
      </c>
      <c r="H74" t="str">
        <f t="shared" si="1"/>
        <v>Hora Trans</v>
      </c>
    </row>
    <row r="75" spans="1:8" x14ac:dyDescent="0.25">
      <c r="A75" s="3" t="s">
        <v>230</v>
      </c>
      <c r="B75" s="3" t="s">
        <v>231</v>
      </c>
      <c r="C75" s="3" t="s">
        <v>10</v>
      </c>
      <c r="D75" s="3" t="s">
        <v>16</v>
      </c>
      <c r="E75" s="3" t="s">
        <v>12</v>
      </c>
      <c r="F75" s="3" t="s">
        <v>232</v>
      </c>
      <c r="G75" s="3" t="s">
        <v>231</v>
      </c>
      <c r="H75" t="str">
        <f t="shared" si="1"/>
        <v>Fec Sist</v>
      </c>
    </row>
    <row r="76" spans="1:8" x14ac:dyDescent="0.25">
      <c r="A76" s="3" t="s">
        <v>233</v>
      </c>
      <c r="B76" s="3" t="s">
        <v>234</v>
      </c>
      <c r="C76" s="3" t="s">
        <v>10</v>
      </c>
      <c r="D76" s="3" t="s">
        <v>38</v>
      </c>
      <c r="E76" s="3" t="s">
        <v>12</v>
      </c>
      <c r="F76" s="3" t="s">
        <v>235</v>
      </c>
      <c r="G76" s="3" t="s">
        <v>234</v>
      </c>
      <c r="H76" t="str">
        <f t="shared" si="1"/>
        <v>Hora Sist</v>
      </c>
    </row>
    <row r="77" spans="1:8" x14ac:dyDescent="0.25">
      <c r="A77" s="3" t="s">
        <v>236</v>
      </c>
      <c r="B77" s="3" t="s">
        <v>237</v>
      </c>
      <c r="C77" s="3" t="s">
        <v>42</v>
      </c>
      <c r="D77" s="3" t="s">
        <v>11</v>
      </c>
      <c r="E77" s="3" t="s">
        <v>23</v>
      </c>
      <c r="F77" s="3" t="s">
        <v>238</v>
      </c>
      <c r="G77" s="3" t="s">
        <v>237</v>
      </c>
      <c r="H77" t="str">
        <f t="shared" si="1"/>
        <v>Service Code</v>
      </c>
    </row>
    <row r="78" spans="1:8" x14ac:dyDescent="0.25">
      <c r="A78" s="3" t="s">
        <v>239</v>
      </c>
      <c r="B78" s="3" t="s">
        <v>240</v>
      </c>
      <c r="C78" s="3" t="s">
        <v>42</v>
      </c>
      <c r="D78" s="3" t="s">
        <v>46</v>
      </c>
      <c r="E78" s="3" t="s">
        <v>23</v>
      </c>
      <c r="F78" s="3" t="s">
        <v>241</v>
      </c>
      <c r="G78" s="3" t="s">
        <v>240</v>
      </c>
      <c r="H78" t="str">
        <f t="shared" si="1"/>
        <v>De3S2 Tipo Cta</v>
      </c>
    </row>
    <row r="79" spans="1:8" x14ac:dyDescent="0.25">
      <c r="A79" s="3" t="s">
        <v>242</v>
      </c>
      <c r="B79" s="3" t="s">
        <v>243</v>
      </c>
      <c r="C79" s="3" t="s">
        <v>10</v>
      </c>
      <c r="D79" s="3" t="s">
        <v>21</v>
      </c>
      <c r="E79" s="3" t="s">
        <v>46</v>
      </c>
      <c r="F79" s="3" t="s">
        <v>244</v>
      </c>
      <c r="G79" s="3" t="s">
        <v>243</v>
      </c>
      <c r="H79" t="str">
        <f t="shared" si="1"/>
        <v>Importe Cash</v>
      </c>
    </row>
    <row r="80" spans="1:8" x14ac:dyDescent="0.25">
      <c r="A80" s="3" t="s">
        <v>245</v>
      </c>
      <c r="B80" s="3" t="s">
        <v>246</v>
      </c>
      <c r="C80" s="3" t="s">
        <v>165</v>
      </c>
      <c r="D80" s="3" t="s">
        <v>166</v>
      </c>
      <c r="E80" s="3" t="s">
        <v>46</v>
      </c>
      <c r="F80" s="3" t="s">
        <v>247</v>
      </c>
      <c r="G80" s="3" t="s">
        <v>246</v>
      </c>
      <c r="H80" t="str">
        <f t="shared" si="1"/>
        <v>Coem  Cash</v>
      </c>
    </row>
    <row r="81" spans="1:8" x14ac:dyDescent="0.25">
      <c r="A81" s="3" t="s">
        <v>248</v>
      </c>
      <c r="B81" s="3" t="s">
        <v>249</v>
      </c>
      <c r="C81" s="3" t="s">
        <v>42</v>
      </c>
      <c r="D81" s="3" t="s">
        <v>250</v>
      </c>
      <c r="E81" s="3" t="s">
        <v>23</v>
      </c>
      <c r="F81" s="3" t="s">
        <v>251</v>
      </c>
      <c r="G81" s="3" t="s">
        <v>249</v>
      </c>
      <c r="H81" t="str">
        <f t="shared" si="1"/>
        <v>Tcam B</v>
      </c>
    </row>
    <row r="82" spans="1:8" x14ac:dyDescent="0.25">
      <c r="A82" s="3" t="s">
        <v>252</v>
      </c>
      <c r="B82" s="3" t="s">
        <v>253</v>
      </c>
      <c r="C82" s="3" t="s">
        <v>42</v>
      </c>
      <c r="D82" s="3" t="s">
        <v>250</v>
      </c>
      <c r="E82" s="3" t="s">
        <v>23</v>
      </c>
      <c r="F82" s="3" t="s">
        <v>254</v>
      </c>
      <c r="G82" s="3" t="s">
        <v>253</v>
      </c>
      <c r="H82" t="str">
        <f t="shared" si="1"/>
        <v>Tcam M</v>
      </c>
    </row>
    <row r="83" spans="1:8" x14ac:dyDescent="0.25">
      <c r="A83" s="3" t="s">
        <v>255</v>
      </c>
      <c r="B83" s="3" t="s">
        <v>256</v>
      </c>
      <c r="C83" s="3" t="s">
        <v>42</v>
      </c>
      <c r="D83" s="3" t="s">
        <v>250</v>
      </c>
      <c r="E83" s="3" t="s">
        <v>23</v>
      </c>
      <c r="F83" s="3" t="s">
        <v>257</v>
      </c>
      <c r="G83" s="3" t="s">
        <v>256</v>
      </c>
      <c r="H83" t="str">
        <f t="shared" si="1"/>
        <v>Tcam S</v>
      </c>
    </row>
    <row r="84" spans="1:8" x14ac:dyDescent="0.25">
      <c r="A84" s="3" t="s">
        <v>258</v>
      </c>
      <c r="B84" s="3" t="s">
        <v>259</v>
      </c>
      <c r="C84" s="3" t="s">
        <v>42</v>
      </c>
      <c r="D84" s="3" t="s">
        <v>13</v>
      </c>
      <c r="E84" s="3" t="s">
        <v>23</v>
      </c>
      <c r="F84" s="3" t="s">
        <v>260</v>
      </c>
      <c r="G84" s="3" t="s">
        <v>259</v>
      </c>
      <c r="H84" t="str">
        <f t="shared" si="1"/>
        <v>Region</v>
      </c>
    </row>
    <row r="85" spans="1:8" x14ac:dyDescent="0.25">
      <c r="A85" s="3" t="s">
        <v>261</v>
      </c>
      <c r="B85" s="3" t="s">
        <v>28</v>
      </c>
      <c r="C85" s="3" t="s">
        <v>42</v>
      </c>
      <c r="D85" s="3" t="s">
        <v>17</v>
      </c>
      <c r="E85" s="3" t="s">
        <v>23</v>
      </c>
      <c r="F85" s="3" t="s">
        <v>262</v>
      </c>
      <c r="G85" s="3" t="s">
        <v>28</v>
      </c>
      <c r="H85" t="str">
        <f t="shared" si="1"/>
        <v>Mti</v>
      </c>
    </row>
    <row r="86" spans="1:8" x14ac:dyDescent="0.25">
      <c r="A86" s="3" t="s">
        <v>263</v>
      </c>
      <c r="B86" s="3" t="s">
        <v>264</v>
      </c>
      <c r="C86" s="3" t="s">
        <v>42</v>
      </c>
      <c r="D86" s="3" t="s">
        <v>265</v>
      </c>
      <c r="E86" s="3" t="s">
        <v>23</v>
      </c>
      <c r="F86" s="3" t="s">
        <v>266</v>
      </c>
      <c r="G86" s="3" t="s">
        <v>264</v>
      </c>
      <c r="H86" t="str">
        <f t="shared" si="1"/>
        <v>Pan</v>
      </c>
    </row>
    <row r="87" spans="1:8" x14ac:dyDescent="0.25">
      <c r="A87" s="3" t="s">
        <v>267</v>
      </c>
      <c r="B87" s="3" t="s">
        <v>268</v>
      </c>
      <c r="C87" s="3" t="s">
        <v>42</v>
      </c>
      <c r="D87" s="3" t="s">
        <v>20</v>
      </c>
      <c r="E87" s="3" t="s">
        <v>23</v>
      </c>
      <c r="F87" s="3" t="s">
        <v>269</v>
      </c>
      <c r="G87" s="3" t="s">
        <v>268</v>
      </c>
      <c r="H87" t="str">
        <f t="shared" si="1"/>
        <v>Sistema</v>
      </c>
    </row>
    <row r="88" spans="1:8" x14ac:dyDescent="0.25">
      <c r="A88" s="3" t="s">
        <v>270</v>
      </c>
      <c r="B88" s="3" t="s">
        <v>271</v>
      </c>
      <c r="C88" s="3" t="s">
        <v>42</v>
      </c>
      <c r="D88" s="3" t="s">
        <v>16</v>
      </c>
      <c r="E88" s="3" t="s">
        <v>23</v>
      </c>
      <c r="F88" s="3" t="s">
        <v>272</v>
      </c>
      <c r="G88" s="3" t="s">
        <v>271</v>
      </c>
      <c r="H88" t="str">
        <f t="shared" si="1"/>
        <v>Terminal</v>
      </c>
    </row>
    <row r="89" spans="1:8" x14ac:dyDescent="0.25">
      <c r="A89" s="3" t="s">
        <v>273</v>
      </c>
      <c r="B89" s="3" t="s">
        <v>274</v>
      </c>
      <c r="C89" s="3" t="s">
        <v>42</v>
      </c>
      <c r="D89" s="3" t="s">
        <v>11</v>
      </c>
      <c r="E89" s="3" t="s">
        <v>23</v>
      </c>
      <c r="F89" s="3" t="s">
        <v>275</v>
      </c>
      <c r="G89" s="3" t="s">
        <v>274</v>
      </c>
      <c r="H89" t="str">
        <f t="shared" si="1"/>
        <v>Pais Emisor</v>
      </c>
    </row>
    <row r="90" spans="1:8" x14ac:dyDescent="0.25">
      <c r="A90" s="3" t="s">
        <v>276</v>
      </c>
      <c r="B90" s="3" t="s">
        <v>277</v>
      </c>
      <c r="C90" s="3" t="s">
        <v>10</v>
      </c>
      <c r="D90" s="3" t="s">
        <v>11</v>
      </c>
      <c r="E90" s="3" t="s">
        <v>12</v>
      </c>
      <c r="F90" s="3" t="s">
        <v>278</v>
      </c>
      <c r="G90" s="3" t="s">
        <v>277</v>
      </c>
      <c r="H90" t="str">
        <f t="shared" si="1"/>
        <v>Dias Maximo</v>
      </c>
    </row>
    <row r="91" spans="1:8" x14ac:dyDescent="0.25">
      <c r="A91" s="3" t="s">
        <v>279</v>
      </c>
      <c r="B91" s="3" t="s">
        <v>280</v>
      </c>
      <c r="C91" s="3" t="s">
        <v>10</v>
      </c>
      <c r="D91" s="3" t="s">
        <v>38</v>
      </c>
      <c r="E91" s="3" t="s">
        <v>12</v>
      </c>
      <c r="F91" s="3" t="s">
        <v>281</v>
      </c>
      <c r="G91" s="3" t="s">
        <v>280</v>
      </c>
      <c r="H91" t="str">
        <f t="shared" si="1"/>
        <v>Fecha Max Outgoing</v>
      </c>
    </row>
    <row r="92" spans="1:8" x14ac:dyDescent="0.25">
      <c r="A92" s="3" t="s">
        <v>282</v>
      </c>
      <c r="B92" s="3" t="s">
        <v>283</v>
      </c>
      <c r="C92" s="3" t="s">
        <v>42</v>
      </c>
      <c r="D92" s="3" t="s">
        <v>144</v>
      </c>
      <c r="E92" s="3" t="s">
        <v>23</v>
      </c>
      <c r="F92" s="3" t="s">
        <v>284</v>
      </c>
      <c r="G92" s="3" t="s">
        <v>283</v>
      </c>
      <c r="H92" t="str">
        <f t="shared" si="1"/>
        <v>Programa</v>
      </c>
    </row>
    <row r="93" spans="1:8" x14ac:dyDescent="0.25">
      <c r="A93" s="3" t="s">
        <v>285</v>
      </c>
      <c r="B93" s="3" t="s">
        <v>286</v>
      </c>
      <c r="C93" s="3" t="s">
        <v>42</v>
      </c>
      <c r="D93" s="3" t="s">
        <v>13</v>
      </c>
      <c r="E93" s="3" t="s">
        <v>23</v>
      </c>
      <c r="F93" s="3" t="s">
        <v>287</v>
      </c>
      <c r="G93" s="3" t="s">
        <v>286</v>
      </c>
      <c r="H93" t="str">
        <f t="shared" si="1"/>
        <v>Tasa Intercambio</v>
      </c>
    </row>
    <row r="94" spans="1:8" x14ac:dyDescent="0.25">
      <c r="A94" s="3" t="s">
        <v>288</v>
      </c>
      <c r="B94" s="3" t="s">
        <v>289</v>
      </c>
      <c r="C94" s="3" t="s">
        <v>42</v>
      </c>
      <c r="D94" s="3" t="s">
        <v>13</v>
      </c>
      <c r="E94" s="3" t="s">
        <v>23</v>
      </c>
      <c r="F94" s="3" t="s">
        <v>290</v>
      </c>
      <c r="G94" s="3" t="s">
        <v>289</v>
      </c>
      <c r="H94" t="str">
        <f t="shared" si="1"/>
        <v>Anexo</v>
      </c>
    </row>
    <row r="95" spans="1:8" x14ac:dyDescent="0.25">
      <c r="A95" s="3" t="s">
        <v>291</v>
      </c>
      <c r="B95" s="3" t="s">
        <v>292</v>
      </c>
      <c r="C95" s="3" t="s">
        <v>10</v>
      </c>
      <c r="D95" s="3" t="s">
        <v>46</v>
      </c>
      <c r="E95" s="3" t="s">
        <v>12</v>
      </c>
      <c r="F95" s="3" t="s">
        <v>293</v>
      </c>
      <c r="G95" s="3" t="s">
        <v>292</v>
      </c>
      <c r="H95" t="str">
        <f t="shared" si="1"/>
        <v>Long Tarj</v>
      </c>
    </row>
    <row r="96" spans="1:8" x14ac:dyDescent="0.25">
      <c r="A96" s="3" t="s">
        <v>294</v>
      </c>
      <c r="B96" s="3" t="s">
        <v>295</v>
      </c>
      <c r="C96" s="3" t="s">
        <v>42</v>
      </c>
      <c r="D96" s="3" t="s">
        <v>265</v>
      </c>
      <c r="E96" s="3" t="s">
        <v>23</v>
      </c>
      <c r="F96" s="3" t="s">
        <v>296</v>
      </c>
      <c r="G96" s="3" t="s">
        <v>295</v>
      </c>
      <c r="H96" t="str">
        <f t="shared" si="1"/>
        <v>Tarjeta Mask</v>
      </c>
    </row>
    <row r="97" spans="1:8" x14ac:dyDescent="0.25">
      <c r="A97" s="3" t="s">
        <v>297</v>
      </c>
      <c r="B97" s="3" t="s">
        <v>23</v>
      </c>
      <c r="C97" s="3" t="s">
        <v>42</v>
      </c>
      <c r="D97" s="3" t="s">
        <v>144</v>
      </c>
      <c r="E97" s="3" t="s">
        <v>23</v>
      </c>
      <c r="F97" s="3" t="s">
        <v>298</v>
      </c>
      <c r="G97" s="3" t="s">
        <v>23</v>
      </c>
      <c r="H97" t="str">
        <f t="shared" si="1"/>
        <v/>
      </c>
    </row>
    <row r="98" spans="1:8" x14ac:dyDescent="0.25">
      <c r="A98" s="3" t="s">
        <v>299</v>
      </c>
      <c r="B98" s="3" t="s">
        <v>52</v>
      </c>
      <c r="C98" s="3" t="s">
        <v>42</v>
      </c>
      <c r="D98" s="3" t="s">
        <v>38</v>
      </c>
      <c r="E98" s="3" t="s">
        <v>23</v>
      </c>
      <c r="F98" s="3" t="s">
        <v>300</v>
      </c>
      <c r="G98" s="3" t="s">
        <v>52</v>
      </c>
      <c r="H98" t="str">
        <f t="shared" si="1"/>
        <v>Cod Proceso</v>
      </c>
    </row>
    <row r="99" spans="1:8" x14ac:dyDescent="0.25">
      <c r="A99" s="3" t="s">
        <v>301</v>
      </c>
      <c r="B99" s="3" t="s">
        <v>302</v>
      </c>
      <c r="C99" s="3" t="s">
        <v>165</v>
      </c>
      <c r="D99" s="3" t="s">
        <v>166</v>
      </c>
      <c r="E99" s="3" t="s">
        <v>46</v>
      </c>
      <c r="F99" s="3" t="s">
        <v>303</v>
      </c>
      <c r="G99" s="3" t="s">
        <v>302</v>
      </c>
      <c r="H99" t="str">
        <f t="shared" si="1"/>
        <v>Imp Conv Mon</v>
      </c>
    </row>
    <row r="100" spans="1:8" x14ac:dyDescent="0.25">
      <c r="A100" s="3" t="s">
        <v>304</v>
      </c>
      <c r="B100" s="3" t="s">
        <v>305</v>
      </c>
      <c r="C100" s="3" t="s">
        <v>42</v>
      </c>
      <c r="D100" s="3" t="s">
        <v>11</v>
      </c>
      <c r="E100" s="3" t="s">
        <v>23</v>
      </c>
      <c r="F100" s="3" t="s">
        <v>306</v>
      </c>
      <c r="G100" s="3" t="s">
        <v>305</v>
      </c>
      <c r="H100" t="str">
        <f t="shared" si="1"/>
        <v>Mone Fee</v>
      </c>
    </row>
    <row r="101" spans="1:8" x14ac:dyDescent="0.25">
      <c r="A101" s="3" t="s">
        <v>307</v>
      </c>
      <c r="B101" s="3" t="s">
        <v>308</v>
      </c>
      <c r="C101" s="3" t="s">
        <v>42</v>
      </c>
      <c r="D101" s="3" t="s">
        <v>46</v>
      </c>
      <c r="E101" s="3" t="s">
        <v>23</v>
      </c>
      <c r="F101" s="3" t="s">
        <v>309</v>
      </c>
      <c r="G101" s="3" t="s">
        <v>308</v>
      </c>
      <c r="H101" t="str">
        <f t="shared" si="1"/>
        <v>Codi Fee</v>
      </c>
    </row>
    <row r="102" spans="1:8" x14ac:dyDescent="0.25">
      <c r="A102" s="3" t="s">
        <v>310</v>
      </c>
      <c r="B102" s="3" t="s">
        <v>311</v>
      </c>
      <c r="C102" s="3" t="s">
        <v>165</v>
      </c>
      <c r="D102" s="3" t="s">
        <v>250</v>
      </c>
      <c r="E102" s="3" t="s">
        <v>12</v>
      </c>
      <c r="F102" s="3" t="s">
        <v>312</v>
      </c>
      <c r="G102" s="3" t="s">
        <v>311</v>
      </c>
      <c r="H102" t="str">
        <f t="shared" si="1"/>
        <v>Pay Facil Id</v>
      </c>
    </row>
    <row r="103" spans="1:8" x14ac:dyDescent="0.25">
      <c r="A103" s="3" t="s">
        <v>313</v>
      </c>
      <c r="B103" s="3" t="s">
        <v>314</v>
      </c>
      <c r="C103" s="3" t="s">
        <v>42</v>
      </c>
      <c r="D103" s="3" t="s">
        <v>46</v>
      </c>
      <c r="E103" s="3" t="s">
        <v>23</v>
      </c>
      <c r="F103" s="3" t="s">
        <v>315</v>
      </c>
      <c r="G103" s="3" t="s">
        <v>314</v>
      </c>
      <c r="H103" t="str">
        <f t="shared" si="1"/>
        <v>Tipo Imp Adi</v>
      </c>
    </row>
    <row r="104" spans="1:8" x14ac:dyDescent="0.25">
      <c r="A104" s="3" t="s">
        <v>316</v>
      </c>
      <c r="B104" s="3" t="s">
        <v>317</v>
      </c>
      <c r="C104" s="3" t="s">
        <v>42</v>
      </c>
      <c r="D104" s="3" t="s">
        <v>11</v>
      </c>
      <c r="E104" s="3" t="s">
        <v>23</v>
      </c>
      <c r="F104" s="3" t="s">
        <v>318</v>
      </c>
      <c r="G104" s="3" t="s">
        <v>317</v>
      </c>
      <c r="H104" t="str">
        <f t="shared" si="1"/>
        <v>Mone Imp Adi</v>
      </c>
    </row>
    <row r="105" spans="1:8" x14ac:dyDescent="0.25">
      <c r="A105" s="3" t="s">
        <v>319</v>
      </c>
      <c r="B105" s="3" t="s">
        <v>320</v>
      </c>
      <c r="C105" s="3" t="s">
        <v>42</v>
      </c>
      <c r="D105" s="3" t="s">
        <v>13</v>
      </c>
      <c r="E105" s="3" t="s">
        <v>23</v>
      </c>
      <c r="F105" s="3" t="s">
        <v>321</v>
      </c>
      <c r="G105" s="3" t="s">
        <v>320</v>
      </c>
      <c r="H105" t="str">
        <f t="shared" si="1"/>
        <v>Sign Imp Adi</v>
      </c>
    </row>
    <row r="106" spans="1:8" x14ac:dyDescent="0.25">
      <c r="A106" s="3" t="s">
        <v>322</v>
      </c>
      <c r="B106" s="3" t="s">
        <v>323</v>
      </c>
      <c r="C106" s="3" t="s">
        <v>10</v>
      </c>
      <c r="D106" s="3" t="s">
        <v>21</v>
      </c>
      <c r="E106" s="3" t="s">
        <v>46</v>
      </c>
      <c r="F106" s="3" t="s">
        <v>324</v>
      </c>
      <c r="G106" s="3" t="s">
        <v>323</v>
      </c>
      <c r="H106" t="str">
        <f t="shared" si="1"/>
        <v>Imp Adi</v>
      </c>
    </row>
    <row r="107" spans="1:8" x14ac:dyDescent="0.25">
      <c r="A107" s="3" t="s">
        <v>325</v>
      </c>
      <c r="B107" s="3" t="s">
        <v>326</v>
      </c>
      <c r="C107" s="3" t="s">
        <v>10</v>
      </c>
      <c r="D107" s="3" t="s">
        <v>11</v>
      </c>
      <c r="E107" s="3" t="s">
        <v>12</v>
      </c>
      <c r="F107" s="3" t="s">
        <v>327</v>
      </c>
      <c r="G107" s="3" t="s">
        <v>326</v>
      </c>
      <c r="H107" t="str">
        <f t="shared" si="1"/>
        <v>Bco Emisor</v>
      </c>
    </row>
    <row r="108" spans="1:8" x14ac:dyDescent="0.25">
      <c r="A108" s="3" t="s">
        <v>328</v>
      </c>
      <c r="B108" s="3" t="s">
        <v>329</v>
      </c>
      <c r="C108" s="3" t="s">
        <v>42</v>
      </c>
      <c r="D108" s="3" t="s">
        <v>250</v>
      </c>
      <c r="E108" s="3" t="s">
        <v>23</v>
      </c>
      <c r="F108" s="3" t="s">
        <v>330</v>
      </c>
      <c r="G108" s="3" t="s">
        <v>329</v>
      </c>
      <c r="H108" t="str">
        <f t="shared" si="1"/>
        <v>Ruce</v>
      </c>
    </row>
    <row r="109" spans="1:8" x14ac:dyDescent="0.25">
      <c r="A109" s="3" t="s">
        <v>331</v>
      </c>
      <c r="B109" s="3" t="s">
        <v>332</v>
      </c>
      <c r="C109" s="3" t="s">
        <v>10</v>
      </c>
      <c r="D109" s="3" t="s">
        <v>11</v>
      </c>
      <c r="E109" s="3" t="s">
        <v>12</v>
      </c>
      <c r="F109" s="3" t="s">
        <v>333</v>
      </c>
      <c r="G109" s="3" t="s">
        <v>332</v>
      </c>
      <c r="H109" t="str">
        <f t="shared" si="1"/>
        <v>Cod Tra</v>
      </c>
    </row>
    <row r="110" spans="1:8" x14ac:dyDescent="0.25">
      <c r="A110" s="3" t="s">
        <v>334</v>
      </c>
      <c r="B110" s="3" t="s">
        <v>335</v>
      </c>
      <c r="C110" s="3" t="s">
        <v>10</v>
      </c>
      <c r="D110" s="3" t="s">
        <v>16</v>
      </c>
      <c r="E110" s="3" t="s">
        <v>12</v>
      </c>
      <c r="F110" s="3" t="s">
        <v>336</v>
      </c>
      <c r="G110" s="3" t="s">
        <v>335</v>
      </c>
      <c r="H110" t="str">
        <f t="shared" si="1"/>
        <v>Fec Proceso Ori</v>
      </c>
    </row>
    <row r="111" spans="1:8" x14ac:dyDescent="0.25">
      <c r="A111" s="3" t="s">
        <v>337</v>
      </c>
      <c r="B111" s="3" t="s">
        <v>338</v>
      </c>
      <c r="C111" s="3" t="s">
        <v>165</v>
      </c>
      <c r="D111" s="3" t="s">
        <v>250</v>
      </c>
      <c r="E111" s="3" t="s">
        <v>46</v>
      </c>
      <c r="F111" s="3" t="s">
        <v>339</v>
      </c>
      <c r="G111" s="3" t="s">
        <v>338</v>
      </c>
      <c r="H111" t="str">
        <f t="shared" si="1"/>
        <v>Impo Ori</v>
      </c>
    </row>
    <row r="112" spans="1:8" x14ac:dyDescent="0.25">
      <c r="A112" s="3" t="s">
        <v>340</v>
      </c>
      <c r="B112" s="3" t="s">
        <v>341</v>
      </c>
      <c r="C112" s="3" t="s">
        <v>42</v>
      </c>
      <c r="D112" s="3" t="s">
        <v>11</v>
      </c>
      <c r="E112" s="3" t="s">
        <v>23</v>
      </c>
      <c r="F112" s="3" t="s">
        <v>342</v>
      </c>
      <c r="G112" s="3" t="s">
        <v>341</v>
      </c>
      <c r="H112" t="str">
        <f t="shared" si="1"/>
        <v>Mone Ori</v>
      </c>
    </row>
    <row r="113" spans="1:8" x14ac:dyDescent="0.25">
      <c r="A113" s="3" t="s">
        <v>343</v>
      </c>
      <c r="B113" s="3" t="s">
        <v>344</v>
      </c>
      <c r="C113" s="3" t="s">
        <v>42</v>
      </c>
      <c r="D113" s="3" t="s">
        <v>46</v>
      </c>
      <c r="E113" s="3" t="s">
        <v>23</v>
      </c>
      <c r="F113" s="3" t="s">
        <v>345</v>
      </c>
      <c r="G113" s="3" t="s">
        <v>344</v>
      </c>
      <c r="H113" t="str">
        <f t="shared" si="1"/>
        <v>Medio De Transac</v>
      </c>
    </row>
    <row r="114" spans="1:8" x14ac:dyDescent="0.25">
      <c r="A114" s="3" t="s">
        <v>346</v>
      </c>
      <c r="B114" s="3" t="s">
        <v>347</v>
      </c>
      <c r="C114" s="3" t="s">
        <v>42</v>
      </c>
      <c r="D114" s="3" t="s">
        <v>46</v>
      </c>
      <c r="E114" s="3" t="s">
        <v>23</v>
      </c>
      <c r="F114" s="3" t="s">
        <v>348</v>
      </c>
      <c r="G114" s="3" t="s">
        <v>347</v>
      </c>
      <c r="H114" t="str">
        <f t="shared" si="1"/>
        <v>Origen</v>
      </c>
    </row>
    <row r="115" spans="1:8" x14ac:dyDescent="0.25">
      <c r="A115" s="3" t="s">
        <v>349</v>
      </c>
      <c r="B115" s="3" t="s">
        <v>350</v>
      </c>
      <c r="C115" s="3" t="s">
        <v>42</v>
      </c>
      <c r="D115" s="3" t="s">
        <v>13</v>
      </c>
      <c r="E115" s="3" t="s">
        <v>23</v>
      </c>
      <c r="F115" s="3" t="s">
        <v>351</v>
      </c>
      <c r="G115" s="3" t="s">
        <v>350</v>
      </c>
      <c r="H115" t="str">
        <f t="shared" si="1"/>
        <v>Settl Level</v>
      </c>
    </row>
    <row r="116" spans="1:8" x14ac:dyDescent="0.25">
      <c r="A116" s="3" t="s">
        <v>352</v>
      </c>
      <c r="B116" s="3" t="s">
        <v>353</v>
      </c>
      <c r="C116" s="3" t="s">
        <v>42</v>
      </c>
      <c r="D116" s="3" t="s">
        <v>144</v>
      </c>
      <c r="E116" s="3" t="s">
        <v>23</v>
      </c>
      <c r="F116" s="3" t="s">
        <v>354</v>
      </c>
      <c r="G116" s="3" t="s">
        <v>353</v>
      </c>
      <c r="H116" t="str">
        <f t="shared" si="1"/>
        <v>Settl Code</v>
      </c>
    </row>
    <row r="117" spans="1:8" x14ac:dyDescent="0.25">
      <c r="A117" s="3" t="s">
        <v>355</v>
      </c>
      <c r="B117" s="3" t="s">
        <v>356</v>
      </c>
      <c r="C117" s="3" t="s">
        <v>42</v>
      </c>
      <c r="D117" s="3" t="s">
        <v>16</v>
      </c>
      <c r="E117" s="3" t="s">
        <v>23</v>
      </c>
      <c r="F117" s="3" t="s">
        <v>357</v>
      </c>
      <c r="G117" s="3" t="s">
        <v>356</v>
      </c>
      <c r="H117" t="str">
        <f t="shared" si="1"/>
        <v>Fraud Noti Serv</v>
      </c>
    </row>
    <row r="118" spans="1:8" x14ac:dyDescent="0.25">
      <c r="A118" s="3" t="s">
        <v>358</v>
      </c>
      <c r="B118" s="3" t="s">
        <v>359</v>
      </c>
      <c r="C118" s="3" t="s">
        <v>42</v>
      </c>
      <c r="D118" s="3" t="s">
        <v>144</v>
      </c>
      <c r="E118" s="3" t="s">
        <v>23</v>
      </c>
      <c r="F118" s="3" t="s">
        <v>360</v>
      </c>
      <c r="G118" s="3" t="s">
        <v>359</v>
      </c>
      <c r="H118" t="str">
        <f t="shared" si="1"/>
        <v>Cpos Merchant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9a36ae274e70674bbe0d17cb2fced9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98993720155a38f4a0d96e810513cc6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61B9CC-D550-4557-A0CA-80D3D1070FFC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D719A1DF-EB38-4753-83D1-25A18D2765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E4878-2E5D-4CFC-BA48-0B058369D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2025-10-20T16:50:07Z</dcterms:created>
  <dcterms:modified xsi:type="dcterms:W3CDTF">2025-10-20T16:59:36Z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