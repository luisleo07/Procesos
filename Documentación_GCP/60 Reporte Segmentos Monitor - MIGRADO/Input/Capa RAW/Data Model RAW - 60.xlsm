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530" codeName="{DD97A8EA-9A9A-E61F-A557-7D5A7D7259CE}"/>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60 Reporte Segmentos Monitor/Capa RAW/"/>
    </mc:Choice>
  </mc:AlternateContent>
  <xr:revisionPtr revIDLastSave="165" documentId="8_{1DCF88E8-8811-44D0-8773-D3AB89B02E57}" xr6:coauthVersionLast="47" xr6:coauthVersionMax="47" xr10:uidLastSave="{B0B3C2D8-84D6-4667-8EFE-FE30B9677752}"/>
  <bookViews>
    <workbookView xWindow="-108" yWindow="-108" windowWidth="23256" windowHeight="12456" activeTab="2" xr2:uid="{00000000-000D-0000-FFFF-FFFF00000000}"/>
  </bookViews>
  <sheets>
    <sheet name="Datos Sensibles" sheetId="4" r:id="rId1"/>
    <sheet name="Estructuras del Modelo" sheetId="1" r:id="rId2"/>
    <sheet name="segmentos_mes_respaldo" sheetId="2" r:id="rId3"/>
    <sheet name="segmentos_monitor" sheetId="5" r:id="rId4"/>
  </sheets>
  <functionGroups builtInGroupCount="19"/>
  <definedNames>
    <definedName name="_xleta.AND"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4" i="5" l="1"/>
  <c r="E13" i="5"/>
  <c r="E12" i="5"/>
  <c r="E11" i="5"/>
  <c r="E10" i="5"/>
  <c r="E9" i="5"/>
  <c r="E8" i="5"/>
  <c r="E7" i="5"/>
  <c r="E6" i="5"/>
  <c r="E5" i="5"/>
  <c r="E4" i="5"/>
  <c r="E3" i="5"/>
  <c r="E7" i="2"/>
  <c r="E8" i="2"/>
  <c r="E9" i="2"/>
  <c r="E10" i="2"/>
  <c r="E4" i="2"/>
  <c r="E5" i="2"/>
  <c r="E6" i="2"/>
  <c r="E3" i="2"/>
</calcChain>
</file>

<file path=xl/sharedStrings.xml><?xml version="1.0" encoding="utf-8"?>
<sst xmlns="http://schemas.openxmlformats.org/spreadsheetml/2006/main" count="381" uniqueCount="120">
  <si>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</si>
  <si>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</si>
  <si>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</si>
  <si>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</si>
  <si>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</si>
  <si>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</si>
  <si>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</si>
  <si>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</si>
  <si>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</si>
  <si>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</si>
  <si>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</si>
  <si>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</si>
  <si>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</si>
  <si>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</si>
  <si>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</si>
  <si>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</si>
  <si>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</si>
  <si>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</si>
  <si>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</si>
  <si>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</si>
  <si>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</si>
  <si>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</si>
  <si>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</si>
  <si>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</si>
  <si>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</si>
  <si>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</si>
  <si>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</si>
  <si>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</si>
  <si>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</si>
  <si>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</si>
  <si>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</si>
  <si>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</si>
  <si>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</si>
  <si>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</si>
  <si>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</si>
  <si>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</si>
  <si>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</si>
  <si>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</si>
  <si>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</si>
  <si>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prd-izipay-data-storage-pv</t>
  </si>
  <si>
    <t>m_comercio</t>
  </si>
  <si>
    <t>N</t>
  </si>
  <si>
    <t>prod</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</si>
  <si>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</si>
  <si>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</si>
  <si>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</si>
  <si>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</si>
  <si>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</si>
  <si>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Column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</si>
  <si>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</si>
  <si>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</si>
  <si>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</si>
  <si>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</si>
  <si>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</si>
  <si>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</si>
  <si>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</si>
  <si>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</si>
  <si>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</si>
  <si>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</si>
  <si>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</si>
  <si>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</si>
  <si>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</si>
  <si>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</si>
  <si>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</si>
  <si>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</si>
  <si>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</si>
  <si>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</si>
  <si>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</si>
  <si>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</si>
  <si>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</si>
  <si>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</si>
  <si>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</si>
  <si>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STRING</t>
  </si>
  <si>
    <t>nom_responsable_cuenta</t>
  </si>
  <si>
    <t>nom_ejecutivo_dealer</t>
  </si>
  <si>
    <t>record_source</t>
  </si>
  <si>
    <t>Dato de Auditoría: Descripción del aplicativo origen de los datos.</t>
  </si>
  <si>
    <t>load_date</t>
  </si>
  <si>
    <t>Fecha y hora de inserción del registro en el modelo</t>
  </si>
  <si>
    <t>creation_user</t>
  </si>
  <si>
    <t>Usuario que crea el registro en la BD</t>
  </si>
  <si>
    <t>prd-data-operation-migration@prd-izipay-data-operation.iam.gserviceaccount.com</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</si>
  <si>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</si>
  <si>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</si>
  <si>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</si>
  <si>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</si>
  <si>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</si>
  <si>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</si>
  <si>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HEREDADA</t>
  </si>
  <si>
    <t>Apellido paterno</t>
  </si>
  <si>
    <t>Apellido materno</t>
  </si>
  <si>
    <t>Zona (Raw, Master, BI)</t>
  </si>
  <si>
    <t>mc2103@izipay.pe</t>
  </si>
  <si>
    <t>DATETIME</t>
  </si>
  <si>
    <t>2025-07-04T03:07:39.145385</t>
  </si>
  <si>
    <t>CLIENTES</t>
  </si>
  <si>
    <t>raw_dataentry_operaciones</t>
  </si>
  <si>
    <t>segmentos_mes_respaldo</t>
  </si>
  <si>
    <t>segmentos_monitor</t>
  </si>
  <si>
    <t>Única Carga</t>
  </si>
  <si>
    <t>Raw</t>
  </si>
  <si>
    <t>Operaciones</t>
  </si>
  <si>
    <t>Tabla que guarda historia a cierre de cada mes de los códigos de segmentos a nivel documento del cliente afiliado</t>
  </si>
  <si>
    <t>Tabla que guarda historia de cada ejecución del proceso en donde se indica los tipos de cambios  a nivel documento del cliente afiliado</t>
  </si>
  <si>
    <t>party_id_izi</t>
  </si>
  <si>
    <t>cta_esp_anterior</t>
  </si>
  <si>
    <t>fecha_corte</t>
  </si>
  <si>
    <t>Código identificador del número de documento del cliente afiliado a IziPay</t>
  </si>
  <si>
    <t>Situación que tiene el cliente al cierre del mes anterior</t>
  </si>
  <si>
    <t>Código del segmento que tiene el cliente al cierre del mes anterior</t>
  </si>
  <si>
    <t>Fecha del último día del mes anterior donde se evaluó su código de segmento y situación</t>
  </si>
  <si>
    <t>E</t>
  </si>
  <si>
    <t>DATAENRY-OPERACIONES</t>
  </si>
  <si>
    <t>1654651324657</t>
  </si>
  <si>
    <t>cta_esp_actual</t>
  </si>
  <si>
    <t>situac_anterior</t>
  </si>
  <si>
    <t>situac_actual</t>
  </si>
  <si>
    <t>tipo_cambio</t>
  </si>
  <si>
    <t>accion</t>
  </si>
  <si>
    <t>fecha_ejecucion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</si>
</sst>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yyyy\-mm\-dd;@"/>
  </numFmts>
  <fonts count="14">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s>
  <fills count="6">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FF"/>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35">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4" borderId="1" xfId="0" applyFill="1" applyBorder="1" applyAlignment="1">
      <alignment vertical="top" wrapText="1"/>
    </xf>
    <xf numFmtId="0" fontId="13" fillId="4" borderId="1" xfId="0" applyFont="1" applyFill="1" applyBorder="1" applyAlignment="1">
      <alignment horizontal="center" vertical="center" wrapText="1"/>
    </xf>
    <xf numFmtId="0" fontId="0" fillId="4" borderId="1" xfId="0" applyFill="1" applyBorder="1" applyAlignment="1">
      <alignment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0" fontId="11" fillId="0" borderId="0" xfId="0" applyFont="1" applyAlignment="1">
      <alignment vertical="center" wrapText="1"/>
    </xf>
    <xf numFmtId="165" fontId="0" fillId="0" borderId="1" xfId="0" applyNumberFormat="1" applyBorder="1" applyAlignment="1">
      <alignment horizontal="left" vertical="center"/>
    </xf>
    <xf numFmtId="0" fontId="0" fillId="0" borderId="1" xfId="0" applyBorder="1" applyAlignment="1">
      <alignment horizontal="left" vertical="center"/>
    </xf>
    <xf numFmtId="0" fontId="5" fillId="0" borderId="1" xfId="1" applyBorder="1" applyAlignment="1">
      <alignment horizontal="left" vertical="center"/>
    </xf>
    <xf numFmtId="165" fontId="0" fillId="0" borderId="1" xfId="0" applyNumberFormat="1" applyBorder="1" applyAlignment="1">
      <alignment horizontal="center" vertical="center"/>
    </xf>
    <xf numFmtId="0" fontId="5" fillId="0" borderId="1" xfId="1" applyBorder="1" applyAlignment="1">
      <alignment horizontal="center" vertical="center"/>
    </xf>
    <xf numFmtId="49" fontId="0" fillId="0" borderId="1" xfId="0" applyNumberFormat="1" applyBorder="1" applyAlignment="1">
      <alignment horizontal="center" vertical="center"/>
    </xf>
    <xf numFmtId="49" fontId="0" fillId="0" borderId="1" xfId="0" applyNumberFormat="1" applyBorder="1" applyAlignment="1">
      <alignment horizontal="left" vertical="center"/>
    </xf>
    <xf numFmtId="0" fontId="0" fillId="5" borderId="1" xfId="0" applyFill="1" applyBorder="1" applyAlignment="1">
      <alignment vertical="center"/>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hyperlink" Target="mailto:mc2103@izipay.pe" TargetMode="External"/><Relationship Id="rId1" Type="http://schemas.openxmlformats.org/officeDocument/2006/relationships/hyperlink" Target="mailto:mc2103@izipay.pe"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22"/>
  <sheetViews>
    <sheetView showGridLines="0" workbookViewId="0">
      <selection activeCell="K8" sqref="K8"/>
    </sheetView>
  </sheetViews>
  <sheetFormatPr baseColWidth="10" defaultRowHeight="14.4"/>
  <cols>
    <col min="1" max="1" width="7.33203125" customWidth="1"/>
    <col min="2" max="5" width="23.33203125" customWidth="1"/>
    <col min="6" max="6" width="27.88671875" customWidth="1"/>
    <col min="7" max="7" width="23.33203125" customWidth="1"/>
  </cols>
  <sheetData>
    <row r="1" spans="1:7">
      <c r="A1" s="1"/>
      <c r="B1" s="1"/>
      <c r="C1" s="1"/>
      <c r="D1" s="1"/>
      <c r="E1" s="1"/>
      <c r="F1" s="1"/>
      <c r="G1" s="1"/>
    </row>
    <row r="2" spans="1:7" ht="29.4">
      <c r="A2" s="9" t="s">
        <v>82</v>
      </c>
      <c r="B2" s="1"/>
      <c r="C2" s="1"/>
      <c r="D2" s="1"/>
      <c r="E2" s="1"/>
      <c r="F2" s="1"/>
      <c r="G2" s="1"/>
    </row>
    <row r="3" spans="1:7" s="1" customFormat="1" ht="66" customHeight="1">
      <c r="A3" s="26" t="s">
        <v>83</v>
      </c>
      <c r="B3" s="26"/>
      <c r="C3" s="26"/>
      <c r="D3" s="26"/>
      <c r="E3" s="26"/>
      <c r="F3" s="26"/>
      <c r="G3" s="26"/>
    </row>
    <row r="4" spans="1:7">
      <c r="A4" s="1"/>
      <c r="B4" s="1"/>
      <c r="C4" s="1"/>
      <c r="D4" s="1"/>
      <c r="E4" s="1"/>
      <c r="F4" s="1"/>
      <c r="G4" s="1"/>
    </row>
    <row r="5" spans="1:7">
      <c r="A5" s="10" t="s">
        <v>84</v>
      </c>
      <c r="B5" s="10" t="s">
        <v>85</v>
      </c>
      <c r="C5" s="10" t="s">
        <v>86</v>
      </c>
      <c r="D5" s="10" t="s">
        <v>87</v>
      </c>
      <c r="E5" s="10" t="s">
        <v>7</v>
      </c>
      <c r="F5" s="10" t="s">
        <v>48</v>
      </c>
      <c r="G5" s="10" t="s">
        <v>8</v>
      </c>
    </row>
    <row r="6" spans="1:7">
      <c r="A6" s="11">
        <v>1</v>
      </c>
      <c r="B6" s="8" t="s">
        <v>88</v>
      </c>
      <c r="C6" s="8" t="s">
        <v>88</v>
      </c>
      <c r="D6" s="8" t="s">
        <v>88</v>
      </c>
      <c r="E6" s="8" t="s">
        <v>40</v>
      </c>
      <c r="F6" s="12" t="s">
        <v>73</v>
      </c>
      <c r="G6" s="13" t="s">
        <v>89</v>
      </c>
    </row>
    <row r="7" spans="1:7">
      <c r="A7" s="11">
        <v>2</v>
      </c>
      <c r="B7" s="8" t="s">
        <v>88</v>
      </c>
      <c r="C7" s="8" t="s">
        <v>88</v>
      </c>
      <c r="D7" s="8" t="s">
        <v>88</v>
      </c>
      <c r="E7" s="8" t="s">
        <v>40</v>
      </c>
      <c r="F7" s="12" t="s">
        <v>74</v>
      </c>
      <c r="G7" s="13" t="s">
        <v>90</v>
      </c>
    </row>
    <row r="8" spans="1:7">
      <c r="A8" s="11"/>
      <c r="B8" s="8"/>
      <c r="C8" s="8"/>
      <c r="D8" s="8"/>
      <c r="E8" s="8"/>
      <c r="F8" s="12"/>
      <c r="G8" s="13"/>
    </row>
    <row r="9" spans="1:7">
      <c r="A9" s="11"/>
      <c r="B9" s="8"/>
      <c r="C9" s="8"/>
      <c r="D9" s="8"/>
      <c r="E9" s="8"/>
      <c r="F9" s="12"/>
      <c r="G9" s="13"/>
    </row>
    <row r="10" spans="1:7">
      <c r="A10" s="11"/>
      <c r="B10" s="8"/>
      <c r="C10" s="8"/>
      <c r="D10" s="8"/>
      <c r="E10" s="8"/>
      <c r="F10" s="12"/>
      <c r="G10" s="13"/>
    </row>
    <row r="11" spans="1:7">
      <c r="A11" s="11"/>
      <c r="B11" s="8"/>
      <c r="C11" s="8"/>
      <c r="D11" s="8"/>
      <c r="E11" s="8"/>
      <c r="F11" s="12"/>
      <c r="G11" s="13"/>
    </row>
    <row r="12" spans="1:7">
      <c r="A12" s="11"/>
      <c r="B12" s="8"/>
      <c r="C12" s="8"/>
      <c r="D12" s="8"/>
      <c r="E12" s="8"/>
      <c r="F12" s="14"/>
      <c r="G12" s="13"/>
    </row>
    <row r="13" spans="1:7">
      <c r="A13" s="11"/>
      <c r="B13" s="8"/>
      <c r="C13" s="8"/>
      <c r="D13" s="8"/>
      <c r="E13" s="8"/>
      <c r="F13" s="14"/>
      <c r="G13" s="13"/>
    </row>
    <row r="14" spans="1:7">
      <c r="A14" s="11"/>
      <c r="B14" s="8"/>
      <c r="C14" s="8"/>
      <c r="D14" s="8"/>
      <c r="E14" s="8"/>
      <c r="F14" s="14"/>
      <c r="G14" s="13"/>
    </row>
    <row r="15" spans="1:7">
      <c r="A15" s="11"/>
      <c r="B15" s="8"/>
      <c r="C15" s="8"/>
      <c r="D15" s="8"/>
      <c r="E15" s="8"/>
      <c r="F15" s="14"/>
      <c r="G15" s="13"/>
    </row>
    <row r="16" spans="1:7">
      <c r="A16" s="11"/>
      <c r="B16" s="8"/>
      <c r="C16" s="8"/>
      <c r="D16" s="8"/>
      <c r="E16" s="8"/>
      <c r="F16" s="14"/>
      <c r="G16" s="13"/>
    </row>
    <row r="17" spans="1:7">
      <c r="A17" s="11"/>
      <c r="B17" s="8"/>
      <c r="C17" s="8"/>
      <c r="D17" s="8"/>
      <c r="E17" s="8"/>
      <c r="F17" s="14"/>
      <c r="G17" s="13"/>
    </row>
    <row r="18" spans="1:7">
      <c r="A18" s="11"/>
      <c r="B18" s="8"/>
      <c r="C18" s="8"/>
      <c r="D18" s="8"/>
      <c r="E18" s="8"/>
      <c r="F18" s="14"/>
      <c r="G18" s="13"/>
    </row>
    <row r="19" spans="1:7">
      <c r="A19" s="11"/>
      <c r="B19" s="8"/>
      <c r="C19" s="8"/>
      <c r="D19" s="8"/>
      <c r="E19" s="8"/>
      <c r="F19" s="14"/>
      <c r="G19" s="13"/>
    </row>
    <row r="20" spans="1:7">
      <c r="A20" s="11"/>
      <c r="B20" s="8"/>
      <c r="C20" s="8"/>
      <c r="D20" s="8"/>
      <c r="E20" s="8"/>
      <c r="F20" s="14"/>
      <c r="G20" s="13"/>
    </row>
    <row r="21" spans="1:7">
      <c r="A21" s="1"/>
      <c r="B21" s="1"/>
      <c r="C21" s="1"/>
      <c r="D21" s="1"/>
      <c r="E21" s="1"/>
      <c r="F21" s="1"/>
      <c r="G21" s="1"/>
    </row>
    <row r="22" spans="1:7">
      <c r="A22" s="1"/>
      <c r="B22" s="1"/>
      <c r="C22" s="1"/>
      <c r="D22" s="1"/>
      <c r="E22" s="1"/>
      <c r="F22" s="1"/>
      <c r="G22"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2"/>
  <sheetViews>
    <sheetView showGridLines="0" topLeftCell="D1" workbookViewId="0">
      <selection activeCell="H12" sqref="H12"/>
    </sheetView>
  </sheetViews>
  <sheetFormatPr baseColWidth="10" defaultColWidth="9.109375" defaultRowHeight="14.4"/>
  <cols>
    <col min="1" max="8" width="33.33203125" customWidth="1"/>
    <col min="9" max="9" width="78.33203125" customWidth="1"/>
    <col min="10" max="20" width="33.33203125" customWidth="1"/>
  </cols>
  <sheetData>
    <row r="1" spans="1:20">
      <c r="A1" s="15" t="s">
        <v>0</v>
      </c>
      <c r="B1" s="15" t="s">
        <v>1</v>
      </c>
      <c r="C1" s="15" t="s">
        <v>2</v>
      </c>
      <c r="D1" s="15" t="s">
        <v>3</v>
      </c>
      <c r="E1" s="15" t="s">
        <v>4</v>
      </c>
      <c r="F1" s="16" t="s">
        <v>5</v>
      </c>
      <c r="G1" s="15" t="s">
        <v>6</v>
      </c>
      <c r="H1" s="15" t="s">
        <v>7</v>
      </c>
      <c r="I1" s="15" t="s">
        <v>8</v>
      </c>
      <c r="J1" s="15" t="s">
        <v>9</v>
      </c>
      <c r="K1" s="15" t="s">
        <v>10</v>
      </c>
      <c r="L1" s="15" t="s">
        <v>11</v>
      </c>
      <c r="M1" s="15" t="s">
        <v>12</v>
      </c>
      <c r="N1" s="15" t="s">
        <v>13</v>
      </c>
      <c r="O1" s="15" t="s">
        <v>14</v>
      </c>
      <c r="P1" s="15" t="s">
        <v>15</v>
      </c>
      <c r="Q1" s="15" t="s">
        <v>16</v>
      </c>
      <c r="R1" s="15" t="s">
        <v>17</v>
      </c>
      <c r="S1" s="15" t="s">
        <v>18</v>
      </c>
      <c r="T1" s="15" t="s">
        <v>19</v>
      </c>
    </row>
    <row r="2" spans="1:20" ht="41.4">
      <c r="A2" s="17" t="s">
        <v>20</v>
      </c>
      <c r="B2" s="17" t="s">
        <v>21</v>
      </c>
      <c r="C2" s="17" t="s">
        <v>22</v>
      </c>
      <c r="D2" s="17" t="s">
        <v>23</v>
      </c>
      <c r="E2" s="17" t="s">
        <v>24</v>
      </c>
      <c r="F2" s="17" t="s">
        <v>25</v>
      </c>
      <c r="G2" s="17" t="s">
        <v>26</v>
      </c>
      <c r="H2" s="17" t="s">
        <v>27</v>
      </c>
      <c r="I2" s="17" t="s">
        <v>28</v>
      </c>
      <c r="J2" s="18" t="s">
        <v>29</v>
      </c>
      <c r="K2" s="18" t="s">
        <v>30</v>
      </c>
      <c r="L2" s="19"/>
      <c r="M2" s="17" t="s">
        <v>31</v>
      </c>
      <c r="N2" s="17" t="s">
        <v>32</v>
      </c>
      <c r="O2" s="17" t="s">
        <v>33</v>
      </c>
      <c r="P2" s="17" t="s">
        <v>91</v>
      </c>
      <c r="Q2" s="17" t="s">
        <v>34</v>
      </c>
      <c r="R2" s="17" t="s">
        <v>35</v>
      </c>
      <c r="S2" s="17" t="s">
        <v>36</v>
      </c>
      <c r="T2" s="17" t="s">
        <v>37</v>
      </c>
    </row>
    <row r="3" spans="1:20">
      <c r="A3" s="5" t="s">
        <v>38</v>
      </c>
      <c r="B3" s="5" t="s">
        <v>95</v>
      </c>
      <c r="C3" s="5" t="s">
        <v>95</v>
      </c>
      <c r="D3" s="5" t="s">
        <v>95</v>
      </c>
      <c r="E3" s="5" t="s">
        <v>95</v>
      </c>
      <c r="F3" s="5" t="s">
        <v>39</v>
      </c>
      <c r="G3" s="5" t="s">
        <v>96</v>
      </c>
      <c r="H3" s="6" t="s">
        <v>97</v>
      </c>
      <c r="I3" s="7" t="s">
        <v>102</v>
      </c>
      <c r="J3" s="5" t="s">
        <v>99</v>
      </c>
      <c r="K3" s="5" t="s">
        <v>99</v>
      </c>
      <c r="L3" s="8"/>
      <c r="M3" s="6" t="s">
        <v>92</v>
      </c>
      <c r="N3" s="5" t="s">
        <v>41</v>
      </c>
      <c r="O3" s="5" t="s">
        <v>42</v>
      </c>
      <c r="P3" s="5" t="s">
        <v>100</v>
      </c>
      <c r="Q3" s="5" t="s">
        <v>101</v>
      </c>
      <c r="R3" s="5"/>
      <c r="S3" s="5"/>
      <c r="T3" s="5"/>
    </row>
    <row r="4" spans="1:20">
      <c r="A4" s="5" t="s">
        <v>38</v>
      </c>
      <c r="B4" s="5" t="s">
        <v>95</v>
      </c>
      <c r="C4" s="5" t="s">
        <v>95</v>
      </c>
      <c r="D4" s="5" t="s">
        <v>95</v>
      </c>
      <c r="E4" s="5" t="s">
        <v>95</v>
      </c>
      <c r="F4" s="5" t="s">
        <v>39</v>
      </c>
      <c r="G4" s="5" t="s">
        <v>96</v>
      </c>
      <c r="H4" s="6" t="s">
        <v>98</v>
      </c>
      <c r="I4" s="7" t="s">
        <v>103</v>
      </c>
      <c r="J4" s="5" t="s">
        <v>99</v>
      </c>
      <c r="K4" s="5" t="s">
        <v>99</v>
      </c>
      <c r="L4" s="8"/>
      <c r="M4" s="6" t="s">
        <v>92</v>
      </c>
      <c r="N4" s="5" t="s">
        <v>41</v>
      </c>
      <c r="O4" s="5" t="s">
        <v>42</v>
      </c>
      <c r="P4" s="5" t="s">
        <v>100</v>
      </c>
      <c r="Q4" s="5" t="s">
        <v>101</v>
      </c>
      <c r="R4" s="5"/>
      <c r="S4" s="5"/>
      <c r="T4" s="5"/>
    </row>
    <row r="5" spans="1:20">
      <c r="A5" s="1"/>
      <c r="B5" s="1"/>
      <c r="C5" s="1"/>
      <c r="D5" s="1"/>
      <c r="E5" s="1"/>
      <c r="F5" s="1"/>
      <c r="G5" s="1"/>
      <c r="H5" s="1"/>
      <c r="I5" s="1"/>
      <c r="J5" s="1"/>
      <c r="K5" s="1"/>
      <c r="L5" s="1"/>
      <c r="M5" s="1"/>
      <c r="N5" s="1"/>
      <c r="O5" s="1"/>
      <c r="P5" s="1"/>
      <c r="Q5" s="1"/>
      <c r="R5" s="1"/>
      <c r="S5" s="1"/>
      <c r="T5" s="1"/>
    </row>
    <row r="6" spans="1:20">
      <c r="A6" s="1"/>
      <c r="B6" s="1"/>
      <c r="C6" s="1"/>
      <c r="D6" s="1"/>
      <c r="E6" s="1"/>
      <c r="F6" s="1"/>
      <c r="G6" s="1"/>
      <c r="H6" s="1"/>
      <c r="I6" s="1"/>
      <c r="J6" s="1"/>
      <c r="K6" s="1"/>
      <c r="L6" s="1"/>
      <c r="M6" s="1"/>
      <c r="N6" s="1"/>
      <c r="O6" s="1"/>
      <c r="P6" s="1"/>
      <c r="Q6" s="1"/>
      <c r="R6" s="1"/>
      <c r="S6" s="1"/>
      <c r="T6" s="1"/>
    </row>
    <row r="7" spans="1:20">
      <c r="A7" s="2" t="s">
        <v>43</v>
      </c>
      <c r="B7" s="1"/>
      <c r="C7" s="1"/>
      <c r="D7" s="1"/>
      <c r="E7" s="1"/>
      <c r="F7" s="1"/>
      <c r="G7" s="1"/>
      <c r="H7" s="1"/>
      <c r="I7" s="1"/>
      <c r="J7" s="1"/>
      <c r="K7" s="1"/>
      <c r="L7" s="1"/>
      <c r="M7" s="1"/>
      <c r="N7" s="1"/>
      <c r="O7" s="1"/>
      <c r="P7" s="1"/>
      <c r="Q7" s="1"/>
      <c r="R7" s="1"/>
      <c r="S7" s="1"/>
      <c r="T7" s="1"/>
    </row>
    <row r="8" spans="1:20">
      <c r="A8" s="3" t="s">
        <v>44</v>
      </c>
      <c r="B8" s="1"/>
      <c r="C8" s="1"/>
      <c r="D8" s="4"/>
      <c r="E8" s="4"/>
      <c r="F8" s="4"/>
      <c r="G8" s="4"/>
      <c r="H8" s="1"/>
      <c r="I8" s="1"/>
      <c r="J8" s="1"/>
      <c r="K8" s="1"/>
      <c r="L8" s="1"/>
      <c r="M8" s="1"/>
      <c r="N8" s="1"/>
      <c r="O8" s="1"/>
      <c r="P8" s="1"/>
      <c r="Q8" s="1"/>
      <c r="R8" s="1"/>
      <c r="S8" s="1"/>
      <c r="T8" s="1"/>
    </row>
    <row r="9" spans="1:20">
      <c r="A9" s="3" t="s">
        <v>45</v>
      </c>
      <c r="B9" s="1"/>
      <c r="C9" s="1"/>
      <c r="D9" s="4"/>
      <c r="E9" s="4"/>
      <c r="F9" s="4"/>
      <c r="G9" s="4"/>
      <c r="H9" s="1"/>
      <c r="I9" s="1"/>
      <c r="J9" s="1"/>
      <c r="K9" s="1"/>
      <c r="L9" s="1"/>
      <c r="M9" s="1"/>
      <c r="N9" s="1"/>
      <c r="O9" s="1"/>
      <c r="P9" s="1"/>
      <c r="Q9" s="1"/>
      <c r="R9" s="1"/>
      <c r="S9" s="1"/>
      <c r="T9" s="1"/>
    </row>
    <row r="10" spans="1:20">
      <c r="A10" s="3" t="s">
        <v>46</v>
      </c>
      <c r="B10" s="1"/>
      <c r="C10" s="1"/>
      <c r="D10" s="1"/>
      <c r="E10" s="1"/>
      <c r="F10" s="1"/>
      <c r="G10" s="1"/>
      <c r="H10" s="1"/>
      <c r="I10" s="1"/>
      <c r="J10" s="1"/>
      <c r="K10" s="1"/>
      <c r="L10" s="1"/>
      <c r="M10" s="1"/>
      <c r="N10" s="1"/>
      <c r="O10" s="1"/>
      <c r="P10" s="1"/>
      <c r="Q10" s="1"/>
      <c r="R10" s="1"/>
      <c r="S10" s="1"/>
      <c r="T10" s="1"/>
    </row>
    <row r="11" spans="1:20">
      <c r="A11" s="3" t="s">
        <v>47</v>
      </c>
      <c r="B11" s="1"/>
      <c r="C11" s="1"/>
      <c r="D11" s="1"/>
      <c r="E11" s="1"/>
      <c r="F11" s="1"/>
      <c r="G11" s="1"/>
      <c r="H11" s="1"/>
      <c r="I11" s="1"/>
      <c r="J11" s="1"/>
      <c r="K11" s="1"/>
      <c r="L11" s="1"/>
      <c r="M11" s="1"/>
      <c r="N11" s="1"/>
      <c r="O11" s="1"/>
      <c r="P11" s="1"/>
      <c r="Q11" s="1"/>
      <c r="R11" s="1"/>
      <c r="S11" s="1"/>
      <c r="T11" s="1"/>
    </row>
    <row r="12" spans="1:20">
      <c r="A12" s="1"/>
      <c r="B12" s="1"/>
      <c r="C12" s="1"/>
      <c r="D12" s="1"/>
      <c r="E12" s="1"/>
      <c r="F12" s="1"/>
      <c r="G12" s="1"/>
      <c r="H12" s="1"/>
      <c r="I12" s="1"/>
      <c r="J12" s="1"/>
      <c r="K12" s="1"/>
      <c r="L12" s="1"/>
      <c r="M12" s="1"/>
      <c r="N12" s="1"/>
      <c r="O12" s="1"/>
      <c r="P12" s="1"/>
      <c r="Q12" s="1"/>
      <c r="R12" s="1"/>
      <c r="S12" s="1"/>
      <c r="T12" s="1"/>
    </row>
  </sheetData>
  <hyperlinks>
    <hyperlink ref="H3" location="gid=307514419" display="gid=307514419" xr:uid="{0DB9A7A6-B614-41D9-8932-0970FDE8FB75}"/>
    <hyperlink ref="M3" r:id="rId1" xr:uid="{AE7499B5-4EFF-4EE2-9DA4-B351D470EE4D}"/>
    <hyperlink ref="H4" location="gid=307514419" display="gid=307514419" xr:uid="{F61802B3-D62A-4E09-8077-4BD8CBEC3CD6}"/>
    <hyperlink ref="M4" r:id="rId2" xr:uid="{65E9CCA3-6AC1-40BA-B36F-E2371558A02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10"/>
  <sheetViews>
    <sheetView showGridLines="0" tabSelected="1" topLeftCell="C1" workbookViewId="0">
      <selection activeCell="G8" sqref="G8"/>
    </sheetView>
  </sheetViews>
  <sheetFormatPr baseColWidth="10" defaultColWidth="11.44140625" defaultRowHeight="14.4"/>
  <cols>
    <col min="1" max="4" width="29" customWidth="1"/>
    <col min="5" max="6" width="48.33203125" customWidth="1"/>
    <col min="7" max="8" width="29" customWidth="1"/>
    <col min="9" max="9" width="40.5546875" customWidth="1"/>
    <col min="10" max="13" width="29" customWidth="1"/>
  </cols>
  <sheetData>
    <row r="1" spans="1:13" ht="31.2">
      <c r="A1" s="20" t="s">
        <v>5</v>
      </c>
      <c r="B1" s="21" t="s">
        <v>6</v>
      </c>
      <c r="C1" s="21" t="s">
        <v>7</v>
      </c>
      <c r="D1" s="21" t="s">
        <v>48</v>
      </c>
      <c r="E1" s="21" t="s">
        <v>49</v>
      </c>
      <c r="F1" s="21" t="s">
        <v>50</v>
      </c>
      <c r="G1" s="21" t="s">
        <v>51</v>
      </c>
      <c r="H1" s="21" t="s">
        <v>52</v>
      </c>
      <c r="I1" s="21" t="s">
        <v>53</v>
      </c>
      <c r="J1" s="21" t="s">
        <v>54</v>
      </c>
      <c r="K1" s="21" t="s">
        <v>55</v>
      </c>
      <c r="L1" s="21" t="s">
        <v>56</v>
      </c>
      <c r="M1" s="21" t="s">
        <v>57</v>
      </c>
    </row>
    <row r="2" spans="1:13" ht="46.8">
      <c r="A2" s="22" t="s">
        <v>25</v>
      </c>
      <c r="B2" s="22" t="s">
        <v>26</v>
      </c>
      <c r="C2" s="22" t="s">
        <v>58</v>
      </c>
      <c r="D2" s="22" t="s">
        <v>59</v>
      </c>
      <c r="E2" s="22" t="s">
        <v>60</v>
      </c>
      <c r="F2" s="22" t="s">
        <v>61</v>
      </c>
      <c r="G2" s="22" t="s">
        <v>62</v>
      </c>
      <c r="H2" s="22" t="s">
        <v>63</v>
      </c>
      <c r="I2" s="22" t="s">
        <v>64</v>
      </c>
      <c r="J2" s="22" t="s">
        <v>65</v>
      </c>
      <c r="K2" s="22" t="s">
        <v>66</v>
      </c>
      <c r="L2" s="22" t="s">
        <v>67</v>
      </c>
      <c r="M2" s="22" t="s">
        <v>66</v>
      </c>
    </row>
    <row r="3" spans="1:13">
      <c r="A3" s="23" t="s">
        <v>39</v>
      </c>
      <c r="B3" s="23" t="s">
        <v>96</v>
      </c>
      <c r="C3" s="24" t="s">
        <v>97</v>
      </c>
      <c r="D3" s="25" t="s">
        <v>68</v>
      </c>
      <c r="E3" s="25" t="str">
        <f>UPPER(F3)</f>
        <v>FECHA DE FOTO/DATOS CONFIGURADA EN EL ETL PARA LA EXTRACCIÓN DE DATOS, CORRESPONDE A APERTURAS DE COMERCIOS HASTA EL CIERRE DEL DÍA ANTERIOR</v>
      </c>
      <c r="F3" s="25" t="s">
        <v>69</v>
      </c>
      <c r="G3" s="23" t="s">
        <v>41</v>
      </c>
      <c r="H3" s="23" t="s">
        <v>70</v>
      </c>
      <c r="I3" s="27">
        <v>45841</v>
      </c>
      <c r="J3" s="23" t="s">
        <v>41</v>
      </c>
      <c r="K3" s="23" t="s">
        <v>41</v>
      </c>
      <c r="L3" s="23" t="s">
        <v>71</v>
      </c>
      <c r="M3" s="23" t="s">
        <v>41</v>
      </c>
    </row>
    <row r="4" spans="1:13">
      <c r="A4" s="23" t="s">
        <v>39</v>
      </c>
      <c r="B4" s="23" t="s">
        <v>96</v>
      </c>
      <c r="C4" s="24" t="s">
        <v>97</v>
      </c>
      <c r="D4" s="25" t="s">
        <v>75</v>
      </c>
      <c r="E4" s="25" t="str">
        <f>UPPER(F4)</f>
        <v>DATO DE AUDITORÍA: DESCRIPCIÓN DEL APLICATIVO ORIGEN DE LOS DATOS.</v>
      </c>
      <c r="F4" s="25" t="s">
        <v>76</v>
      </c>
      <c r="G4" s="23" t="s">
        <v>41</v>
      </c>
      <c r="H4" s="23" t="s">
        <v>72</v>
      </c>
      <c r="I4" s="28" t="s">
        <v>112</v>
      </c>
      <c r="J4" s="23" t="s">
        <v>41</v>
      </c>
      <c r="K4" s="23" t="s">
        <v>41</v>
      </c>
      <c r="L4" s="23" t="s">
        <v>41</v>
      </c>
      <c r="M4" s="23" t="s">
        <v>41</v>
      </c>
    </row>
    <row r="5" spans="1:13">
      <c r="A5" s="23" t="s">
        <v>39</v>
      </c>
      <c r="B5" s="23" t="s">
        <v>96</v>
      </c>
      <c r="C5" s="24" t="s">
        <v>97</v>
      </c>
      <c r="D5" s="25" t="s">
        <v>77</v>
      </c>
      <c r="E5" s="25" t="str">
        <f>UPPER(F5)</f>
        <v>FECHA Y HORA DE INSERCIÓN DEL REGISTRO EN EL MODELO</v>
      </c>
      <c r="F5" s="25" t="s">
        <v>78</v>
      </c>
      <c r="G5" s="23" t="s">
        <v>41</v>
      </c>
      <c r="H5" s="23" t="s">
        <v>93</v>
      </c>
      <c r="I5" s="28" t="s">
        <v>94</v>
      </c>
      <c r="J5" s="23" t="s">
        <v>41</v>
      </c>
      <c r="K5" s="23" t="s">
        <v>41</v>
      </c>
      <c r="L5" s="23" t="s">
        <v>41</v>
      </c>
      <c r="M5" s="23" t="s">
        <v>41</v>
      </c>
    </row>
    <row r="6" spans="1:13">
      <c r="A6" s="23" t="s">
        <v>39</v>
      </c>
      <c r="B6" s="23" t="s">
        <v>96</v>
      </c>
      <c r="C6" s="24" t="s">
        <v>97</v>
      </c>
      <c r="D6" s="25" t="s">
        <v>79</v>
      </c>
      <c r="E6" s="25" t="str">
        <f>UPPER(F6)</f>
        <v>USUARIO QUE CREA EL REGISTRO EN LA BD</v>
      </c>
      <c r="F6" s="25" t="s">
        <v>80</v>
      </c>
      <c r="G6" s="23" t="s">
        <v>41</v>
      </c>
      <c r="H6" s="23" t="s">
        <v>72</v>
      </c>
      <c r="I6" s="29" t="s">
        <v>81</v>
      </c>
      <c r="J6" s="23" t="s">
        <v>41</v>
      </c>
      <c r="K6" s="23" t="s">
        <v>41</v>
      </c>
      <c r="L6" s="23" t="s">
        <v>41</v>
      </c>
      <c r="M6" s="23" t="s">
        <v>41</v>
      </c>
    </row>
    <row r="7" spans="1:13">
      <c r="A7" s="23" t="s">
        <v>39</v>
      </c>
      <c r="B7" s="23" t="s">
        <v>96</v>
      </c>
      <c r="C7" s="24" t="s">
        <v>97</v>
      </c>
      <c r="D7" s="34" t="s">
        <v>104</v>
      </c>
      <c r="E7" s="25" t="str">
        <f t="shared" ref="E7:E8" si="0">UPPER(F7)</f>
        <v>CÓDIGO IDENTIFICADOR DEL NÚMERO DE DOCUMENTO DEL CLIENTE AFILIADO A IZIPAY</v>
      </c>
      <c r="F7" s="25" t="s">
        <v>107</v>
      </c>
      <c r="G7" s="23" t="s">
        <v>71</v>
      </c>
      <c r="H7" s="23" t="s">
        <v>72</v>
      </c>
      <c r="I7" s="33" t="s">
        <v>113</v>
      </c>
      <c r="J7" s="23" t="s">
        <v>71</v>
      </c>
      <c r="K7" s="23" t="s">
        <v>71</v>
      </c>
      <c r="L7" s="23" t="s">
        <v>41</v>
      </c>
      <c r="M7" s="23" t="s">
        <v>41</v>
      </c>
    </row>
    <row r="8" spans="1:13">
      <c r="A8" s="23" t="s">
        <v>39</v>
      </c>
      <c r="B8" s="23" t="s">
        <v>96</v>
      </c>
      <c r="C8" s="24" t="s">
        <v>97</v>
      </c>
      <c r="D8" s="25" t="s">
        <v>105</v>
      </c>
      <c r="E8" s="25" t="str">
        <f t="shared" si="0"/>
        <v>CÓDIGO DEL SEGMENTO QUE TIENE EL CLIENTE AL CIERRE DEL MES ANTERIOR</v>
      </c>
      <c r="F8" s="25" t="s">
        <v>109</v>
      </c>
      <c r="G8" s="23" t="s">
        <v>41</v>
      </c>
      <c r="H8" s="23" t="s">
        <v>72</v>
      </c>
      <c r="I8" s="28" t="s">
        <v>111</v>
      </c>
      <c r="J8" s="23" t="s">
        <v>41</v>
      </c>
      <c r="K8" s="23" t="s">
        <v>71</v>
      </c>
      <c r="L8" s="23" t="s">
        <v>41</v>
      </c>
      <c r="M8" s="23" t="s">
        <v>71</v>
      </c>
    </row>
    <row r="9" spans="1:13">
      <c r="A9" s="23" t="s">
        <v>39</v>
      </c>
      <c r="B9" s="23" t="s">
        <v>96</v>
      </c>
      <c r="C9" s="24" t="s">
        <v>97</v>
      </c>
      <c r="D9" s="25" t="s">
        <v>115</v>
      </c>
      <c r="E9" s="25" t="str">
        <f t="shared" ref="E9:E10" si="1">UPPER(F9)</f>
        <v>SITUACIÓN QUE TIENE EL CLIENTE AL CIERRE DEL MES ANTERIOR</v>
      </c>
      <c r="F9" s="25" t="s">
        <v>108</v>
      </c>
      <c r="G9" s="23" t="s">
        <v>41</v>
      </c>
      <c r="H9" s="23" t="s">
        <v>72</v>
      </c>
      <c r="I9" s="28">
        <v>1</v>
      </c>
      <c r="J9" s="23" t="s">
        <v>41</v>
      </c>
      <c r="K9" s="23" t="s">
        <v>71</v>
      </c>
      <c r="L9" s="23" t="s">
        <v>41</v>
      </c>
      <c r="M9" s="23" t="s">
        <v>71</v>
      </c>
    </row>
    <row r="10" spans="1:13">
      <c r="A10" s="23" t="s">
        <v>39</v>
      </c>
      <c r="B10" s="23" t="s">
        <v>96</v>
      </c>
      <c r="C10" s="24" t="s">
        <v>97</v>
      </c>
      <c r="D10" s="25" t="s">
        <v>106</v>
      </c>
      <c r="E10" s="25" t="str">
        <f t="shared" si="1"/>
        <v>FECHA DEL ÚLTIMO DÍA DEL MES ANTERIOR DONDE SE EVALUÓ SU CÓDIGO DE SEGMENTO Y SITUACIÓN</v>
      </c>
      <c r="F10" s="25" t="s">
        <v>110</v>
      </c>
      <c r="G10" s="23" t="s">
        <v>41</v>
      </c>
      <c r="H10" s="23" t="s">
        <v>70</v>
      </c>
      <c r="I10" s="27">
        <v>46022</v>
      </c>
      <c r="J10" s="23" t="s">
        <v>41</v>
      </c>
      <c r="K10" s="23" t="s">
        <v>71</v>
      </c>
      <c r="L10" s="23" t="s">
        <v>41</v>
      </c>
      <c r="M10" s="23" t="s">
        <v>41</v>
      </c>
    </row>
  </sheetData>
  <hyperlinks>
    <hyperlink ref="I6" r:id="rId1" xr:uid="{5055E7C2-704F-4DF8-B13D-BB52B0115323}"/>
  </hyperlinks>
  <pageMargins left="0.7" right="0.7" top="0.75" bottom="0.75" header="0.3" footer="0.3"/>
  <ignoredErrors>
    <ignoredError sqref="I7"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514F4-D9F2-4662-A528-FF772D569169}">
  <sheetPr codeName="Hoja4"/>
  <dimension ref="A1:M14"/>
  <sheetViews>
    <sheetView showGridLines="0" topLeftCell="B1" workbookViewId="0">
      <selection activeCell="G8" sqref="G8"/>
    </sheetView>
  </sheetViews>
  <sheetFormatPr baseColWidth="10" defaultColWidth="11.44140625" defaultRowHeight="14.4"/>
  <cols>
    <col min="1" max="4" width="29" customWidth="1"/>
    <col min="5" max="5" width="48.33203125" customWidth="1"/>
    <col min="6" max="6" width="57.5546875" customWidth="1"/>
    <col min="7" max="8" width="29" customWidth="1"/>
    <col min="9" max="9" width="40.5546875" customWidth="1"/>
    <col min="10" max="13" width="29" customWidth="1"/>
  </cols>
  <sheetData>
    <row r="1" spans="1:13" ht="31.2">
      <c r="A1" s="20" t="s">
        <v>5</v>
      </c>
      <c r="B1" s="21" t="s">
        <v>6</v>
      </c>
      <c r="C1" s="21" t="s">
        <v>7</v>
      </c>
      <c r="D1" s="21" t="s">
        <v>48</v>
      </c>
      <c r="E1" s="21" t="s">
        <v>49</v>
      </c>
      <c r="F1" s="21" t="s">
        <v>50</v>
      </c>
      <c r="G1" s="21" t="s">
        <v>51</v>
      </c>
      <c r="H1" s="21" t="s">
        <v>52</v>
      </c>
      <c r="I1" s="21" t="s">
        <v>53</v>
      </c>
      <c r="J1" s="21" t="s">
        <v>54</v>
      </c>
      <c r="K1" s="21" t="s">
        <v>55</v>
      </c>
      <c r="L1" s="21" t="s">
        <v>56</v>
      </c>
      <c r="M1" s="21" t="s">
        <v>57</v>
      </c>
    </row>
    <row r="2" spans="1:13" ht="46.8">
      <c r="A2" s="22" t="s">
        <v>25</v>
      </c>
      <c r="B2" s="22" t="s">
        <v>26</v>
      </c>
      <c r="C2" s="22" t="s">
        <v>58</v>
      </c>
      <c r="D2" s="22" t="s">
        <v>59</v>
      </c>
      <c r="E2" s="22" t="s">
        <v>60</v>
      </c>
      <c r="F2" s="22" t="s">
        <v>61</v>
      </c>
      <c r="G2" s="22" t="s">
        <v>62</v>
      </c>
      <c r="H2" s="22" t="s">
        <v>63</v>
      </c>
      <c r="I2" s="22" t="s">
        <v>64</v>
      </c>
      <c r="J2" s="22" t="s">
        <v>65</v>
      </c>
      <c r="K2" s="22" t="s">
        <v>66</v>
      </c>
      <c r="L2" s="22" t="s">
        <v>67</v>
      </c>
      <c r="M2" s="22" t="s">
        <v>66</v>
      </c>
    </row>
    <row r="3" spans="1:13">
      <c r="A3" s="23" t="s">
        <v>39</v>
      </c>
      <c r="B3" s="23" t="s">
        <v>96</v>
      </c>
      <c r="C3" s="24" t="s">
        <v>98</v>
      </c>
      <c r="D3" s="25" t="s">
        <v>68</v>
      </c>
      <c r="E3" s="25" t="str">
        <f>UPPER(F3)</f>
        <v>FECHA DE FOTO/DATOS CONFIGURADA EN EL ETL PARA LA EXTRACCIÓN DE DATOS, CORRESPONDE A APERTURAS DE COMERCIOS HASTA EL CIERRE DEL DÍA ANTERIOR</v>
      </c>
      <c r="F3" s="25" t="s">
        <v>69</v>
      </c>
      <c r="G3" s="23" t="s">
        <v>41</v>
      </c>
      <c r="H3" s="23" t="s">
        <v>70</v>
      </c>
      <c r="I3" s="30">
        <v>45841</v>
      </c>
      <c r="J3" s="23" t="s">
        <v>41</v>
      </c>
      <c r="K3" s="23" t="s">
        <v>41</v>
      </c>
      <c r="L3" s="23" t="s">
        <v>71</v>
      </c>
      <c r="M3" s="23" t="s">
        <v>41</v>
      </c>
    </row>
    <row r="4" spans="1:13">
      <c r="A4" s="23" t="s">
        <v>39</v>
      </c>
      <c r="B4" s="23" t="s">
        <v>96</v>
      </c>
      <c r="C4" s="24" t="s">
        <v>98</v>
      </c>
      <c r="D4" s="25" t="s">
        <v>75</v>
      </c>
      <c r="E4" s="25" t="str">
        <f>UPPER(F4)</f>
        <v>DATO DE AUDITORÍA: DESCRIPCIÓN DEL APLICATIVO ORIGEN DE LOS DATOS.</v>
      </c>
      <c r="F4" s="25" t="s">
        <v>76</v>
      </c>
      <c r="G4" s="23" t="s">
        <v>41</v>
      </c>
      <c r="H4" s="23" t="s">
        <v>72</v>
      </c>
      <c r="I4" s="23" t="s">
        <v>112</v>
      </c>
      <c r="J4" s="23" t="s">
        <v>41</v>
      </c>
      <c r="K4" s="23" t="s">
        <v>41</v>
      </c>
      <c r="L4" s="23" t="s">
        <v>41</v>
      </c>
      <c r="M4" s="23" t="s">
        <v>41</v>
      </c>
    </row>
    <row r="5" spans="1:13">
      <c r="A5" s="23" t="s">
        <v>39</v>
      </c>
      <c r="B5" s="23" t="s">
        <v>96</v>
      </c>
      <c r="C5" s="24" t="s">
        <v>98</v>
      </c>
      <c r="D5" s="25" t="s">
        <v>77</v>
      </c>
      <c r="E5" s="25" t="str">
        <f>UPPER(F5)</f>
        <v>FECHA Y HORA DE INSERCIÓN DEL REGISTRO EN EL MODELO</v>
      </c>
      <c r="F5" s="25" t="s">
        <v>78</v>
      </c>
      <c r="G5" s="23" t="s">
        <v>41</v>
      </c>
      <c r="H5" s="23" t="s">
        <v>93</v>
      </c>
      <c r="I5" s="23" t="s">
        <v>94</v>
      </c>
      <c r="J5" s="23" t="s">
        <v>41</v>
      </c>
      <c r="K5" s="23" t="s">
        <v>41</v>
      </c>
      <c r="L5" s="23" t="s">
        <v>41</v>
      </c>
      <c r="M5" s="23" t="s">
        <v>41</v>
      </c>
    </row>
    <row r="6" spans="1:13">
      <c r="A6" s="23" t="s">
        <v>39</v>
      </c>
      <c r="B6" s="23" t="s">
        <v>96</v>
      </c>
      <c r="C6" s="24" t="s">
        <v>98</v>
      </c>
      <c r="D6" s="25" t="s">
        <v>79</v>
      </c>
      <c r="E6" s="25" t="str">
        <f>UPPER(F6)</f>
        <v>USUARIO QUE CREA EL REGISTRO EN LA BD</v>
      </c>
      <c r="F6" s="25" t="s">
        <v>80</v>
      </c>
      <c r="G6" s="23" t="s">
        <v>41</v>
      </c>
      <c r="H6" s="23" t="s">
        <v>72</v>
      </c>
      <c r="I6" s="31" t="s">
        <v>81</v>
      </c>
      <c r="J6" s="23" t="s">
        <v>41</v>
      </c>
      <c r="K6" s="23" t="s">
        <v>41</v>
      </c>
      <c r="L6" s="23" t="s">
        <v>41</v>
      </c>
      <c r="M6" s="23" t="s">
        <v>41</v>
      </c>
    </row>
    <row r="7" spans="1:13">
      <c r="A7" s="23" t="s">
        <v>39</v>
      </c>
      <c r="B7" s="23" t="s">
        <v>96</v>
      </c>
      <c r="C7" s="24" t="s">
        <v>98</v>
      </c>
      <c r="D7" s="34" t="s">
        <v>104</v>
      </c>
      <c r="E7" s="25" t="str">
        <f t="shared" ref="E7:E10" si="0">UPPER(F7)</f>
        <v>CÓDIGO IDENTIFICADOR DEL NÚMERO DE DOCUMENTO DEL CLIENTE AFILIADO A IZIPAY</v>
      </c>
      <c r="F7" s="25" t="s">
        <v>107</v>
      </c>
      <c r="G7" s="23" t="s">
        <v>71</v>
      </c>
      <c r="H7" s="23" t="s">
        <v>72</v>
      </c>
      <c r="I7" s="32" t="s">
        <v>113</v>
      </c>
      <c r="J7" s="23" t="s">
        <v>71</v>
      </c>
      <c r="K7" s="23" t="s">
        <v>71</v>
      </c>
      <c r="L7" s="23" t="s">
        <v>41</v>
      </c>
      <c r="M7" s="23" t="s">
        <v>41</v>
      </c>
    </row>
    <row r="8" spans="1:13">
      <c r="A8" s="23" t="s">
        <v>39</v>
      </c>
      <c r="B8" s="23" t="s">
        <v>96</v>
      </c>
      <c r="C8" s="24" t="s">
        <v>98</v>
      </c>
      <c r="D8" s="25" t="s">
        <v>105</v>
      </c>
      <c r="E8" s="25" t="str">
        <f t="shared" si="0"/>
        <v>CÓDIGO DEL SEGMENTO QUE TIENE EL CLIENTE AL CIERRE DEL MES ANTERIOR</v>
      </c>
      <c r="F8" s="25" t="s">
        <v>109</v>
      </c>
      <c r="G8" s="23" t="s">
        <v>41</v>
      </c>
      <c r="H8" s="23" t="s">
        <v>72</v>
      </c>
      <c r="I8" s="23" t="s">
        <v>111</v>
      </c>
      <c r="J8" s="23" t="s">
        <v>41</v>
      </c>
      <c r="K8" s="23" t="s">
        <v>71</v>
      </c>
      <c r="L8" s="23" t="s">
        <v>41</v>
      </c>
      <c r="M8" s="23" t="s">
        <v>71</v>
      </c>
    </row>
    <row r="9" spans="1:13">
      <c r="A9" s="23" t="s">
        <v>39</v>
      </c>
      <c r="B9" s="23" t="s">
        <v>96</v>
      </c>
      <c r="C9" s="24" t="s">
        <v>98</v>
      </c>
      <c r="D9" s="25" t="s">
        <v>114</v>
      </c>
      <c r="E9" s="25" t="str">
        <f t="shared" si="0"/>
        <v>SITUACIÓN QUE TIENE EL CLIENTE AL CIERRE DEL MES ANTERIOR</v>
      </c>
      <c r="F9" s="25" t="s">
        <v>108</v>
      </c>
      <c r="G9" s="23" t="s">
        <v>41</v>
      </c>
      <c r="H9" s="23" t="s">
        <v>72</v>
      </c>
      <c r="I9" s="23">
        <v>1</v>
      </c>
      <c r="J9" s="23" t="s">
        <v>41</v>
      </c>
      <c r="K9" s="23" t="s">
        <v>71</v>
      </c>
      <c r="L9" s="23" t="s">
        <v>41</v>
      </c>
      <c r="M9" s="23" t="s">
        <v>71</v>
      </c>
    </row>
    <row r="10" spans="1:13">
      <c r="A10" s="23" t="s">
        <v>39</v>
      </c>
      <c r="B10" s="23" t="s">
        <v>96</v>
      </c>
      <c r="C10" s="24" t="s">
        <v>98</v>
      </c>
      <c r="D10" s="25" t="s">
        <v>115</v>
      </c>
      <c r="E10" s="25" t="str">
        <f t="shared" si="0"/>
        <v>FECHA DEL ÚLTIMO DÍA DEL MES ANTERIOR DONDE SE EVALUÓ SU CÓDIGO DE SEGMENTO Y SITUACIÓN</v>
      </c>
      <c r="F10" s="25" t="s">
        <v>110</v>
      </c>
      <c r="G10" s="23" t="s">
        <v>41</v>
      </c>
      <c r="H10" s="23" t="s">
        <v>70</v>
      </c>
      <c r="I10" s="30">
        <v>46022</v>
      </c>
      <c r="J10" s="23" t="s">
        <v>41</v>
      </c>
      <c r="K10" s="23" t="s">
        <v>71</v>
      </c>
      <c r="L10" s="23" t="s">
        <v>41</v>
      </c>
      <c r="M10" s="23" t="s">
        <v>41</v>
      </c>
    </row>
    <row r="11" spans="1:13">
      <c r="A11" s="23" t="s">
        <v>39</v>
      </c>
      <c r="B11" s="23" t="s">
        <v>96</v>
      </c>
      <c r="C11" s="24" t="s">
        <v>98</v>
      </c>
      <c r="D11" s="25" t="s">
        <v>116</v>
      </c>
      <c r="E11" s="25" t="str">
        <f t="shared" ref="E11:E14" si="1">UPPER(F11)</f>
        <v>CÓDIGO IDENTIFICADOR DEL NÚMERO DE DOCUMENTO DEL CLIENTE AFILIADO A IZIPAY</v>
      </c>
      <c r="F11" s="25" t="s">
        <v>107</v>
      </c>
      <c r="G11" s="23" t="s">
        <v>41</v>
      </c>
      <c r="H11" s="23" t="s">
        <v>72</v>
      </c>
      <c r="I11" s="32" t="s">
        <v>113</v>
      </c>
      <c r="J11" s="23" t="s">
        <v>71</v>
      </c>
      <c r="K11" s="23" t="s">
        <v>71</v>
      </c>
      <c r="L11" s="23" t="s">
        <v>41</v>
      </c>
      <c r="M11" s="23" t="s">
        <v>41</v>
      </c>
    </row>
    <row r="12" spans="1:13">
      <c r="A12" s="23" t="s">
        <v>39</v>
      </c>
      <c r="B12" s="23" t="s">
        <v>96</v>
      </c>
      <c r="C12" s="24" t="s">
        <v>98</v>
      </c>
      <c r="D12" s="25" t="s">
        <v>117</v>
      </c>
      <c r="E12" s="25" t="str">
        <f t="shared" si="1"/>
        <v>CÓDIGO DEL SEGMENTO QUE TIENE EL CLIENTE AL CIERRE DEL MES ANTERIOR</v>
      </c>
      <c r="F12" s="25" t="s">
        <v>109</v>
      </c>
      <c r="G12" s="23" t="s">
        <v>41</v>
      </c>
      <c r="H12" s="23" t="s">
        <v>72</v>
      </c>
      <c r="I12" s="23" t="s">
        <v>111</v>
      </c>
      <c r="J12" s="23" t="s">
        <v>41</v>
      </c>
      <c r="K12" s="23" t="s">
        <v>71</v>
      </c>
      <c r="L12" s="23" t="s">
        <v>41</v>
      </c>
      <c r="M12" s="23" t="s">
        <v>71</v>
      </c>
    </row>
    <row r="13" spans="1:13">
      <c r="A13" s="23" t="s">
        <v>39</v>
      </c>
      <c r="B13" s="23" t="s">
        <v>96</v>
      </c>
      <c r="C13" s="24" t="s">
        <v>98</v>
      </c>
      <c r="D13" s="25" t="s">
        <v>118</v>
      </c>
      <c r="E13" s="25" t="str">
        <f t="shared" si="1"/>
        <v>SITUACIÓN QUE TIENE EL CLIENTE AL CIERRE DEL MES ANTERIOR</v>
      </c>
      <c r="F13" s="25" t="s">
        <v>108</v>
      </c>
      <c r="G13" s="23" t="s">
        <v>41</v>
      </c>
      <c r="H13" s="23" t="s">
        <v>72</v>
      </c>
      <c r="I13" s="23">
        <v>1</v>
      </c>
      <c r="J13" s="23" t="s">
        <v>41</v>
      </c>
      <c r="K13" s="23" t="s">
        <v>71</v>
      </c>
      <c r="L13" s="23" t="s">
        <v>41</v>
      </c>
      <c r="M13" s="23" t="s">
        <v>71</v>
      </c>
    </row>
    <row r="14" spans="1:13">
      <c r="A14" s="23" t="s">
        <v>39</v>
      </c>
      <c r="B14" s="23" t="s">
        <v>96</v>
      </c>
      <c r="C14" s="24" t="s">
        <v>98</v>
      </c>
      <c r="D14" s="25" t="s">
        <v>119</v>
      </c>
      <c r="E14" s="25" t="str">
        <f t="shared" si="1"/>
        <v>FECHA DEL ÚLTIMO DÍA DEL MES ANTERIOR DONDE SE EVALUÓ SU CÓDIGO DE SEGMENTO Y SITUACIÓN</v>
      </c>
      <c r="F14" s="25" t="s">
        <v>110</v>
      </c>
      <c r="G14" s="23" t="s">
        <v>41</v>
      </c>
      <c r="H14" s="23" t="s">
        <v>70</v>
      </c>
      <c r="I14" s="30">
        <v>46022</v>
      </c>
      <c r="J14" s="23" t="s">
        <v>41</v>
      </c>
      <c r="K14" s="23" t="s">
        <v>71</v>
      </c>
      <c r="L14" s="23" t="s">
        <v>41</v>
      </c>
      <c r="M14" s="23" t="s">
        <v>41</v>
      </c>
    </row>
  </sheetData>
  <hyperlinks>
    <hyperlink ref="I6" r:id="rId1" xr:uid="{A45EA628-B74B-48B0-BCB9-1D909E4A6250}"/>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2.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3.xml><?xml version="1.0" encoding="utf-8"?>
<ds:datastoreItem xmlns:ds="http://schemas.openxmlformats.org/officeDocument/2006/customXml" ds:itemID="{71A51B1B-EF59-407A-8EA1-E9591DADCDB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Datos Sensibles</vt:lpstr>
      <vt:lpstr>Estructuras del Modelo</vt:lpstr>
      <vt:lpstr>segmentos_mes_respaldo</vt:lpstr>
      <vt:lpstr>segmentos_monitor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Angello Bravo</dc:creator>
  <cp:lastModifiedBy>ANGELLO BRAVO</cp:lastModifiedBy>
  <dcterms:created xsi:type="dcterms:W3CDTF">2015-06-05T18:19:34Z</dcterms:created>
  <dcterms:modified xsi:type="dcterms:W3CDTF">2026-01-29T22:34:46Z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