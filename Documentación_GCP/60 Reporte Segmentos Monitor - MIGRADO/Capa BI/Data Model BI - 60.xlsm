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1" codeName="{00000000-0000-0000-0000-000000000000}"/>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60 Reporte Segmentos Monitor/Capa BI/"/>
    </mc:Choice>
  </mc:AlternateContent>
  <xr:revisionPtr revIDLastSave="361" documentId="8_{1DCF88E8-8811-44D0-8773-D3AB89B02E57}" xr6:coauthVersionLast="47" xr6:coauthVersionMax="47" xr10:uidLastSave="{0DF7050D-166E-4E1A-B9C3-349BDCE80E2A}"/>
  <bookViews>
    <workbookView xWindow="-108" yWindow="-108" windowWidth="23256" windowHeight="12456" firstSheet="2" activeTab="2" xr2:uid="{00000000-000D-0000-FFFF-FFFF00000000}"/>
  </bookViews>
  <sheets>
    <sheet name="Datos Sensibles" sheetId="4" r:id="rId1"/>
    <sheet name="Estructuras del Modelo" sheetId="1" r:id="rId2"/>
    <sheet name="dv_variacion_estado_comercio" sheetId="2" r:id="rId3"/>
    <sheet name="v_variacion_estado_comercio_c" sheetId="6" r:id="rId4"/>
    <sheet name="v_variacion_estado_comercio_e" sheetId="7" r:id="rId5"/>
  </sheets>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2" l="1"/>
  <c r="E10" i="7"/>
  <c r="E9" i="7"/>
  <c r="E8" i="7"/>
  <c r="E7" i="7"/>
  <c r="E6" i="7"/>
  <c r="E5" i="7"/>
  <c r="E4" i="7"/>
  <c r="E3" i="7"/>
  <c r="E9" i="6"/>
  <c r="E10" i="6"/>
  <c r="E8" i="6"/>
  <c r="E7" i="6"/>
  <c r="E5" i="6"/>
  <c r="E6" i="6"/>
  <c r="E4" i="6"/>
  <c r="E3" i="6"/>
  <c r="E6" i="2"/>
  <c r="E12" i="2"/>
  <c r="E11" i="2"/>
  <c r="E9" i="2"/>
  <c r="E7" i="2"/>
  <c r="E8" i="2"/>
  <c r="E4" i="2"/>
  <c r="E10" i="2"/>
  <c r="E13" i="2"/>
  <c r="E14" i="2"/>
  <c r="E15" i="2"/>
  <c r="E3" i="2"/>
</calcChain>
</file>

<file path=xl/sharedStrings.xml><?xml version="1.0" encoding="utf-8"?>
<sst xmlns="http://schemas.openxmlformats.org/spreadsheetml/2006/main" count="527" uniqueCount="141">
  <si>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</si>
  <si>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</si>
  <si>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</si>
  <si>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</si>
  <si>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</si>
  <si>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</si>
  <si>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</si>
  <si>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</si>
  <si>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</si>
  <si>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HEREDADA</t>
  </si>
  <si>
    <t>m_comercio</t>
  </si>
  <si>
    <t>nom_responsable_cuenta</t>
  </si>
  <si>
    <t>Apellido paterno</t>
  </si>
  <si>
    <t>nom_ejecutivo_dealer</t>
  </si>
  <si>
    <t>Apellido materno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</si>
  <si>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</si>
  <si>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</si>
  <si>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</si>
  <si>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</si>
  <si>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</si>
  <si>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</si>
  <si>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</si>
  <si>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</si>
  <si>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</si>
  <si>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</si>
  <si>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</si>
  <si>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</si>
  <si>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</si>
  <si>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</si>
  <si>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</si>
  <si>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</si>
  <si>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</si>
  <si>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</si>
  <si>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</si>
  <si>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</si>
  <si>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</si>
  <si>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</si>
  <si>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</si>
  <si>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</si>
  <si>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</si>
  <si>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</si>
  <si>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</si>
  <si>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</si>
  <si>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</si>
  <si>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</si>
  <si>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</si>
  <si>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</si>
  <si>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</si>
  <si>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</si>
  <si>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</si>
  <si>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</si>
  <si>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</si>
  <si>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</si>
  <si>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</si>
  <si>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FRAUDE</t>
  </si>
  <si>
    <t>prd-izipay-data-storage-pv</t>
  </si>
  <si>
    <t>bi_riesgo</t>
  </si>
  <si>
    <t>dv_variacion_estado_comercio</t>
  </si>
  <si>
    <t>Tabla que almacena las variaciones de segmentos de los comercios al cierre de cada mes y la acción que tomará el equipo de Fraude</t>
  </si>
  <si>
    <t>Última foto - Incremental</t>
  </si>
  <si>
    <t>Mensual (1er día de cada mes a las 8:00am)</t>
  </si>
  <si>
    <t>mc2103@izipay.pe</t>
  </si>
  <si>
    <t>N</t>
  </si>
  <si>
    <t>prod</t>
  </si>
  <si>
    <t>BI</t>
  </si>
  <si>
    <t>Operaciones</t>
  </si>
  <si>
    <t>v_variacion_estado_comercio_c</t>
  </si>
  <si>
    <t>Vista que almacena la información del código de segmento "Corporaciones" (segmento del as400) que sirve para generar el archivo para el área de fraude</t>
  </si>
  <si>
    <t>Última foto 
(Se debe crear la vista para generar el archivo y dejarlo en la siguiente ruta: Reportes\Fraude\Variacion estado comercio\&lt;año&gt;\&lt;mes&gt;\id_comercios_corpo_yyyymmdd.csv (día anterior a la fecha de ejecución), después de generar el archivo se debe eliminar la vista)</t>
  </si>
  <si>
    <t>Mensual (1er día de cada mes a las 8:15am)</t>
  </si>
  <si>
    <t>v_variacion_estado_comercio_e</t>
  </si>
  <si>
    <t>Vista que almacena la información del código de segmento "Empresas" (segmento del as400) que sirve para generar el archivo para el área de fraude</t>
  </si>
  <si>
    <t>Última foto 
(Se debe crear la vista para generar el archivo y dejarlo en la siguiente ruta: Reportes\Fraude\Variacion estado comercio\&lt;año&gt;\&lt;mes&gt;\id_comercios_empresas_yyyymmdd.csv (día anterior a la fecha de ejecución), después de generar el archivo se debe eliminar la vista)</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</si>
  <si>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</si>
  <si>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</si>
  <si>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</si>
  <si>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</si>
  <si>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</si>
  <si>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</si>
  <si>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</si>
  <si>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</si>
  <si>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</si>
  <si>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</si>
  <si>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</si>
  <si>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</si>
  <si>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</si>
  <si>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</si>
  <si>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</si>
  <si>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</si>
  <si>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</si>
  <si>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</si>
  <si>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</si>
  <si>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</si>
  <si>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</si>
  <si>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</si>
  <si>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</si>
  <si>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</si>
  <si>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</si>
  <si>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 con el que el comercio cerró su información dicho día</t>
  </si>
  <si>
    <t>DATE</t>
  </si>
  <si>
    <t>Y</t>
  </si>
  <si>
    <t>party_id_izi</t>
  </si>
  <si>
    <t>Código identificador del número de documento del cliente afiliado que identifica de manera única al comercio. Se utiliza como clave principal en los procesos de comparación entre el estado anterior y actual.</t>
  </si>
  <si>
    <t>STRING</t>
  </si>
  <si>
    <t>fecha_proceso_actual</t>
  </si>
  <si>
    <t>Fecha de foto del cierre del mes m-1</t>
  </si>
  <si>
    <t>fecha_proceso_anterior</t>
  </si>
  <si>
    <t>Fecha de foto del cierre del mes m-2</t>
  </si>
  <si>
    <t>cod_segmento_actual</t>
  </si>
  <si>
    <t>Indica la clasificación de cuenta especial asignada al cliente como resultado del proceso de evaluación actual. Permite comparar contra la cuenta especial anterior para identificar variaciones.</t>
  </si>
  <si>
    <t>E</t>
  </si>
  <si>
    <t>cod_segmento_anterior</t>
  </si>
  <si>
    <t>Indica la clasificación de cuenta especial asignada al cliente antes de la evaluación en el periodo actual. Representa el estado previo utilizado como referencia para detectar cambios</t>
  </si>
  <si>
    <t>cod_situacion_actual</t>
  </si>
  <si>
    <t>Situación actual del comercio según la última actualización disponible. Este valor refleja el estado operativo vigente al momento de ejecución del proceso.</t>
  </si>
  <si>
    <t>cod_situacion_anterior</t>
  </si>
  <si>
    <t>Situación del comercio en el mes anterior según la tabla de establecimientos transformados. Este valor refleja el estado operativo del comercio en el histórico.</t>
  </si>
  <si>
    <t>tipo_cambio</t>
  </si>
  <si>
    <t>Resultado de la comparación entre el segmento y la situación del mes anterior versus el estado actual. Valores posibles: NUEVO, INACTIVO, CAMBIO_SEGMENTO, CAMBIO_SEGMENTO_NO_VALIDO, SIN_CAMBIO.</t>
  </si>
  <si>
    <t>SIN CAMBIO, NUEVO, INACTIVO, CAMBIO DE SEGMENTO, CAMBIO DE SEGMENTO NO VALIDO</t>
  </si>
  <si>
    <t>accion</t>
  </si>
  <si>
    <t>Acción a ejecutar según el tipo de cambio detectado en el comercio. Valores posibles: CARGAR, EXTRAER, MANTENER. Define la operación que debe realizarse en la plataforma de destino.</t>
  </si>
  <si>
    <t>CARGAR, EXTRAER, EXTRAER Y CARGAR, MANTENER</t>
  </si>
  <si>
    <t>record_source</t>
  </si>
  <si>
    <t>Dato de Auditoría: Descripción del aplicativo origen de los datos.</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</si>
  <si>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</si>
  <si>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</si>
  <si>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</si>
  <si>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</si>
  <si>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</si>
  <si>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</si>
  <si>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</si>
  <si>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nroruc</t>
  </si>
  <si>
    <t>cta_esp_anterior</t>
  </si>
  <si>
    <t>situac_anterior</t>
  </si>
  <si>
    <t>cta_esp_actual</t>
  </si>
  <si>
    <t>situac_actual</t>
  </si>
  <si>
    <t>SIN_CAMBIO</t>
  </si>
  <si>
    <t>fecha_ejecucion</t>
  </si>
  <si>
    <t>2026-01-30</t>
  </si>
  <si>
    <t>MANTENER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</si>
</sst>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7">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64" fontId="0" fillId="0" borderId="1" xfId="0" applyNumberFormat="1" applyBorder="1" applyAlignment="1">
      <alignment horizontal="left" vertical="center"/>
    </xf>
    <xf numFmtId="0" fontId="0" fillId="0" borderId="1" xfId="0" applyBorder="1" applyAlignment="1">
      <alignment horizontal="left" vertical="center"/>
    </xf>
    <xf numFmtId="0" fontId="5" fillId="0" borderId="1" xfId="1" applyBorder="1" applyAlignment="1">
      <alignment horizontal="left" vertical="center"/>
    </xf>
    <xf numFmtId="49" fontId="0" fillId="0" borderId="1" xfId="0" applyNumberFormat="1" applyBorder="1" applyAlignment="1">
      <alignment horizontal="left" vertical="center"/>
    </xf>
    <xf numFmtId="14" fontId="0" fillId="0" borderId="0" xfId="0" applyNumberFormat="1"/>
    <xf numFmtId="0" fontId="0" fillId="0" borderId="0" xfId="0" applyAlignment="1">
      <alignment horizontal="left"/>
    </xf>
    <xf numFmtId="164" fontId="0" fillId="0" borderId="0" xfId="0" applyNumberFormat="1" applyAlignment="1">
      <alignment horizontal="left"/>
    </xf>
    <xf numFmtId="0" fontId="0" fillId="5" borderId="1" xfId="0" applyFill="1" applyBorder="1" applyAlignment="1">
      <alignment vertical="center"/>
    </xf>
    <xf numFmtId="0" fontId="0" fillId="0" borderId="1" xfId="0" applyBorder="1" applyAlignment="1">
      <alignment horizontal="center" vertical="center" wrapText="1"/>
    </xf>
    <xf numFmtId="0" fontId="0" fillId="0" borderId="1" xfId="0" applyBorder="1" applyAlignment="1">
      <alignment horizontal="left" vertical="center" wrapText="1"/>
    </xf>
    <xf numFmtId="0" fontId="5" fillId="0" borderId="1" xfId="1" applyBorder="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top"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mailto:mc2103@izipay.pe" TargetMode="External"/><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K8" sqref="K8"/>
    </sheetView>
  </sheetViews>
  <sheetFormatPr defaultColWidth="11.42578125" defaultRowHeight="14.45"/>
  <cols>
    <col min="1" max="1" width="7.28515625" customWidth="1"/>
    <col min="2" max="5" width="23.28515625" customWidth="1"/>
    <col min="6" max="6" width="27.85546875" customWidth="1"/>
    <col min="7" max="7" width="23.28515625" customWidth="1"/>
  </cols>
  <sheetData>
    <row r="1" spans="1:7">
      <c r="A1" s="1"/>
      <c r="B1" s="1"/>
      <c r="C1" s="1"/>
      <c r="D1" s="1"/>
      <c r="E1" s="1"/>
      <c r="F1" s="1"/>
      <c r="G1" s="1"/>
    </row>
    <row r="2" spans="1:7" ht="29.45">
      <c r="A2" s="6" t="s">
        <v>0</v>
      </c>
      <c r="B2" s="1"/>
      <c r="C2" s="1"/>
      <c r="D2" s="1"/>
      <c r="E2" s="1"/>
      <c r="F2" s="1"/>
      <c r="G2" s="1"/>
    </row>
    <row r="3" spans="1:7" s="1" customFormat="1" ht="66" customHeight="1">
      <c r="A3" s="36" t="s">
        <v>1</v>
      </c>
      <c r="B3" s="36"/>
      <c r="C3" s="36"/>
      <c r="D3" s="36"/>
      <c r="E3" s="36"/>
      <c r="F3" s="36"/>
      <c r="G3" s="36"/>
    </row>
    <row r="4" spans="1:7">
      <c r="A4" s="1"/>
      <c r="B4" s="1"/>
      <c r="C4" s="1"/>
      <c r="D4" s="1"/>
      <c r="E4" s="1"/>
      <c r="F4" s="1"/>
      <c r="G4" s="1"/>
    </row>
    <row r="5" spans="1:7">
      <c r="A5" s="7" t="s">
        <v>2</v>
      </c>
      <c r="B5" s="7" t="s">
        <v>3</v>
      </c>
      <c r="C5" s="7" t="s">
        <v>4</v>
      </c>
      <c r="D5" s="7" t="s">
        <v>5</v>
      </c>
      <c r="E5" s="7" t="s">
        <v>6</v>
      </c>
      <c r="F5" s="7" t="s">
        <v>7</v>
      </c>
      <c r="G5" s="7" t="s">
        <v>8</v>
      </c>
    </row>
    <row r="6" spans="1:7">
      <c r="A6" s="8">
        <v>1</v>
      </c>
      <c r="B6" s="5" t="s">
        <v>9</v>
      </c>
      <c r="C6" s="5" t="s">
        <v>9</v>
      </c>
      <c r="D6" s="5" t="s">
        <v>9</v>
      </c>
      <c r="E6" s="5" t="s">
        <v>10</v>
      </c>
      <c r="F6" s="9" t="s">
        <v>11</v>
      </c>
      <c r="G6" s="10" t="s">
        <v>12</v>
      </c>
    </row>
    <row r="7" spans="1:7">
      <c r="A7" s="8">
        <v>2</v>
      </c>
      <c r="B7" s="5" t="s">
        <v>9</v>
      </c>
      <c r="C7" s="5" t="s">
        <v>9</v>
      </c>
      <c r="D7" s="5" t="s">
        <v>9</v>
      </c>
      <c r="E7" s="5" t="s">
        <v>10</v>
      </c>
      <c r="F7" s="9" t="s">
        <v>13</v>
      </c>
      <c r="G7" s="10" t="s">
        <v>14</v>
      </c>
    </row>
    <row r="8" spans="1:7">
      <c r="A8" s="8"/>
      <c r="B8" s="5"/>
      <c r="C8" s="5"/>
      <c r="D8" s="5"/>
      <c r="E8" s="5"/>
      <c r="F8" s="9"/>
      <c r="G8" s="10"/>
    </row>
    <row r="9" spans="1:7">
      <c r="A9" s="8"/>
      <c r="B9" s="5"/>
      <c r="C9" s="5"/>
      <c r="D9" s="5"/>
      <c r="E9" s="5"/>
      <c r="F9" s="9"/>
      <c r="G9" s="10"/>
    </row>
    <row r="10" spans="1:7">
      <c r="A10" s="8"/>
      <c r="B10" s="5"/>
      <c r="C10" s="5"/>
      <c r="D10" s="5"/>
      <c r="E10" s="5"/>
      <c r="F10" s="9"/>
      <c r="G10" s="10"/>
    </row>
    <row r="11" spans="1:7">
      <c r="A11" s="8"/>
      <c r="B11" s="5"/>
      <c r="C11" s="5"/>
      <c r="D11" s="5"/>
      <c r="E11" s="5"/>
      <c r="F11" s="9"/>
      <c r="G11" s="10"/>
    </row>
    <row r="12" spans="1:7">
      <c r="A12" s="8"/>
      <c r="B12" s="5"/>
      <c r="C12" s="5"/>
      <c r="D12" s="5"/>
      <c r="E12" s="5"/>
      <c r="F12" s="11"/>
      <c r="G12" s="10"/>
    </row>
    <row r="13" spans="1:7">
      <c r="A13" s="8"/>
      <c r="B13" s="5"/>
      <c r="C13" s="5"/>
      <c r="D13" s="5"/>
      <c r="E13" s="5"/>
      <c r="F13" s="11"/>
      <c r="G13" s="10"/>
    </row>
    <row r="14" spans="1:7">
      <c r="A14" s="8"/>
      <c r="B14" s="5"/>
      <c r="C14" s="5"/>
      <c r="D14" s="5"/>
      <c r="E14" s="5"/>
      <c r="F14" s="11"/>
      <c r="G14" s="10"/>
    </row>
    <row r="15" spans="1:7">
      <c r="A15" s="8"/>
      <c r="B15" s="5"/>
      <c r="C15" s="5"/>
      <c r="D15" s="5"/>
      <c r="E15" s="5"/>
      <c r="F15" s="11"/>
      <c r="G15" s="10"/>
    </row>
    <row r="16" spans="1:7">
      <c r="A16" s="8"/>
      <c r="B16" s="5"/>
      <c r="C16" s="5"/>
      <c r="D16" s="5"/>
      <c r="E16" s="5"/>
      <c r="F16" s="11"/>
      <c r="G16" s="10"/>
    </row>
    <row r="17" spans="1:7">
      <c r="A17" s="8"/>
      <c r="B17" s="5"/>
      <c r="C17" s="5"/>
      <c r="D17" s="5"/>
      <c r="E17" s="5"/>
      <c r="F17" s="11"/>
      <c r="G17" s="10"/>
    </row>
    <row r="18" spans="1:7">
      <c r="A18" s="8"/>
      <c r="B18" s="5"/>
      <c r="C18" s="5"/>
      <c r="D18" s="5"/>
      <c r="E18" s="5"/>
      <c r="F18" s="11"/>
      <c r="G18" s="10"/>
    </row>
    <row r="19" spans="1:7">
      <c r="A19" s="8"/>
      <c r="B19" s="5"/>
      <c r="C19" s="5"/>
      <c r="D19" s="5"/>
      <c r="E19" s="5"/>
      <c r="F19" s="11"/>
      <c r="G19" s="10"/>
    </row>
    <row r="20" spans="1:7">
      <c r="A20" s="8"/>
      <c r="B20" s="5"/>
      <c r="C20" s="5"/>
      <c r="D20" s="5"/>
      <c r="E20" s="5"/>
      <c r="F20" s="11"/>
      <c r="G20" s="10"/>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2"/>
  <sheetViews>
    <sheetView showGridLines="0" topLeftCell="G1" workbookViewId="0">
      <selection activeCell="I11" sqref="I11"/>
    </sheetView>
  </sheetViews>
  <sheetFormatPr defaultColWidth="9.140625" defaultRowHeight="14.45"/>
  <cols>
    <col min="1" max="8" width="33.28515625" customWidth="1"/>
    <col min="9" max="9" width="78.28515625" customWidth="1"/>
    <col min="10" max="10" width="87.7109375" customWidth="1"/>
    <col min="11" max="11" width="45.5703125" customWidth="1"/>
    <col min="12" max="20" width="33.28515625" customWidth="1"/>
  </cols>
  <sheetData>
    <row r="1" spans="1:20">
      <c r="A1" s="12" t="s">
        <v>15</v>
      </c>
      <c r="B1" s="12" t="s">
        <v>16</v>
      </c>
      <c r="C1" s="12" t="s">
        <v>17</v>
      </c>
      <c r="D1" s="12" t="s">
        <v>18</v>
      </c>
      <c r="E1" s="12" t="s">
        <v>19</v>
      </c>
      <c r="F1" s="13" t="s">
        <v>20</v>
      </c>
      <c r="G1" s="12" t="s">
        <v>21</v>
      </c>
      <c r="H1" s="12" t="s">
        <v>6</v>
      </c>
      <c r="I1" s="12" t="s">
        <v>8</v>
      </c>
      <c r="J1" s="12" t="s">
        <v>22</v>
      </c>
      <c r="K1" s="12" t="s">
        <v>23</v>
      </c>
      <c r="L1" s="12" t="s">
        <v>24</v>
      </c>
      <c r="M1" s="12" t="s">
        <v>25</v>
      </c>
      <c r="N1" s="12" t="s">
        <v>26</v>
      </c>
      <c r="O1" s="12" t="s">
        <v>27</v>
      </c>
      <c r="P1" s="12" t="s">
        <v>28</v>
      </c>
      <c r="Q1" s="12" t="s">
        <v>29</v>
      </c>
      <c r="R1" s="12" t="s">
        <v>30</v>
      </c>
      <c r="S1" s="12" t="s">
        <v>31</v>
      </c>
      <c r="T1" s="12" t="s">
        <v>32</v>
      </c>
    </row>
    <row r="2" spans="1:20" ht="41.45">
      <c r="A2" s="14" t="s">
        <v>33</v>
      </c>
      <c r="B2" s="14" t="s">
        <v>34</v>
      </c>
      <c r="C2" s="14" t="s">
        <v>35</v>
      </c>
      <c r="D2" s="14" t="s">
        <v>36</v>
      </c>
      <c r="E2" s="14" t="s">
        <v>37</v>
      </c>
      <c r="F2" s="14" t="s">
        <v>38</v>
      </c>
      <c r="G2" s="14" t="s">
        <v>39</v>
      </c>
      <c r="H2" s="14" t="s">
        <v>40</v>
      </c>
      <c r="I2" s="14" t="s">
        <v>41</v>
      </c>
      <c r="J2" s="15" t="s">
        <v>42</v>
      </c>
      <c r="K2" s="15" t="s">
        <v>43</v>
      </c>
      <c r="L2" s="16"/>
      <c r="M2" s="14" t="s">
        <v>44</v>
      </c>
      <c r="N2" s="14" t="s">
        <v>45</v>
      </c>
      <c r="O2" s="14" t="s">
        <v>46</v>
      </c>
      <c r="P2" s="14" t="s">
        <v>47</v>
      </c>
      <c r="Q2" s="14" t="s">
        <v>48</v>
      </c>
      <c r="R2" s="14" t="s">
        <v>49</v>
      </c>
      <c r="S2" s="14" t="s">
        <v>50</v>
      </c>
      <c r="T2" s="14" t="s">
        <v>51</v>
      </c>
    </row>
    <row r="3" spans="1:20" s="34" customFormat="1" ht="28.9">
      <c r="A3" s="32" t="s">
        <v>52</v>
      </c>
      <c r="B3" s="32" t="s">
        <v>53</v>
      </c>
      <c r="C3" s="32" t="s">
        <v>54</v>
      </c>
      <c r="D3" s="32" t="s">
        <v>53</v>
      </c>
      <c r="E3" s="32" t="s">
        <v>54</v>
      </c>
      <c r="F3" s="32" t="s">
        <v>55</v>
      </c>
      <c r="G3" s="32" t="s">
        <v>56</v>
      </c>
      <c r="H3" s="33" t="s">
        <v>57</v>
      </c>
      <c r="I3" s="32" t="s">
        <v>58</v>
      </c>
      <c r="J3" s="32" t="s">
        <v>59</v>
      </c>
      <c r="K3" s="32" t="s">
        <v>60</v>
      </c>
      <c r="L3" s="32"/>
      <c r="M3" s="33" t="s">
        <v>61</v>
      </c>
      <c r="N3" s="31" t="s">
        <v>62</v>
      </c>
      <c r="O3" s="31" t="s">
        <v>63</v>
      </c>
      <c r="P3" s="31" t="s">
        <v>64</v>
      </c>
      <c r="Q3" s="31" t="s">
        <v>65</v>
      </c>
      <c r="R3" s="32"/>
      <c r="S3" s="32"/>
      <c r="T3" s="32"/>
    </row>
    <row r="4" spans="1:20" s="34" customFormat="1" ht="57.6">
      <c r="A4" s="32" t="s">
        <v>52</v>
      </c>
      <c r="B4" s="32" t="s">
        <v>53</v>
      </c>
      <c r="C4" s="32" t="s">
        <v>54</v>
      </c>
      <c r="D4" s="32" t="s">
        <v>53</v>
      </c>
      <c r="E4" s="32" t="s">
        <v>54</v>
      </c>
      <c r="F4" s="32" t="s">
        <v>55</v>
      </c>
      <c r="G4" s="32" t="s">
        <v>56</v>
      </c>
      <c r="H4" s="33" t="s">
        <v>66</v>
      </c>
      <c r="I4" s="32" t="s">
        <v>67</v>
      </c>
      <c r="J4" s="35" t="s">
        <v>68</v>
      </c>
      <c r="K4" s="32" t="s">
        <v>69</v>
      </c>
      <c r="L4" s="32"/>
      <c r="M4" s="33" t="s">
        <v>61</v>
      </c>
      <c r="N4" s="31" t="s">
        <v>62</v>
      </c>
      <c r="O4" s="31" t="s">
        <v>63</v>
      </c>
      <c r="P4" s="31" t="s">
        <v>64</v>
      </c>
      <c r="Q4" s="31" t="s">
        <v>65</v>
      </c>
      <c r="R4" s="32"/>
      <c r="S4" s="32"/>
      <c r="T4" s="32"/>
    </row>
    <row r="5" spans="1:20" s="34" customFormat="1" ht="57.6">
      <c r="A5" s="32" t="s">
        <v>52</v>
      </c>
      <c r="B5" s="32" t="s">
        <v>53</v>
      </c>
      <c r="C5" s="32" t="s">
        <v>54</v>
      </c>
      <c r="D5" s="32" t="s">
        <v>53</v>
      </c>
      <c r="E5" s="32" t="s">
        <v>54</v>
      </c>
      <c r="F5" s="32" t="s">
        <v>55</v>
      </c>
      <c r="G5" s="32" t="s">
        <v>56</v>
      </c>
      <c r="H5" s="33" t="s">
        <v>70</v>
      </c>
      <c r="I5" s="32" t="s">
        <v>71</v>
      </c>
      <c r="J5" s="35" t="s">
        <v>72</v>
      </c>
      <c r="K5" s="32" t="s">
        <v>69</v>
      </c>
      <c r="L5" s="32"/>
      <c r="M5" s="33" t="s">
        <v>61</v>
      </c>
      <c r="N5" s="31" t="s">
        <v>62</v>
      </c>
      <c r="O5" s="31" t="s">
        <v>63</v>
      </c>
      <c r="P5" s="31" t="s">
        <v>64</v>
      </c>
      <c r="Q5" s="31" t="s">
        <v>65</v>
      </c>
      <c r="R5" s="32"/>
      <c r="S5" s="32"/>
      <c r="T5" s="32"/>
    </row>
    <row r="6" spans="1:20">
      <c r="A6" s="1"/>
      <c r="B6" s="1"/>
      <c r="C6" s="1"/>
      <c r="D6" s="1"/>
      <c r="E6" s="1"/>
      <c r="F6" s="1"/>
      <c r="G6" s="1"/>
      <c r="H6" s="1"/>
      <c r="I6" s="1"/>
      <c r="J6" s="1"/>
      <c r="K6" s="1"/>
      <c r="L6" s="1"/>
      <c r="M6" s="1"/>
      <c r="N6" s="1"/>
      <c r="O6" s="1"/>
      <c r="P6" s="1"/>
      <c r="Q6" s="1"/>
      <c r="R6" s="1"/>
      <c r="S6" s="1"/>
      <c r="T6" s="1"/>
    </row>
    <row r="7" spans="1:20">
      <c r="A7" s="2" t="s">
        <v>73</v>
      </c>
      <c r="B7" s="1"/>
      <c r="C7" s="1"/>
      <c r="D7" s="1"/>
      <c r="E7" s="1"/>
      <c r="F7" s="1"/>
      <c r="G7" s="1"/>
      <c r="H7" s="1"/>
      <c r="I7" s="1"/>
      <c r="J7" s="1"/>
      <c r="K7" s="1"/>
      <c r="L7" s="1"/>
      <c r="M7" s="1"/>
      <c r="N7" s="1"/>
      <c r="O7" s="1"/>
      <c r="P7" s="1"/>
      <c r="Q7" s="1"/>
      <c r="R7" s="1"/>
      <c r="S7" s="1"/>
      <c r="T7" s="1"/>
    </row>
    <row r="8" spans="1:20">
      <c r="A8" s="3" t="s">
        <v>74</v>
      </c>
      <c r="B8" s="1"/>
      <c r="C8" s="1"/>
      <c r="D8" s="4"/>
      <c r="E8" s="4"/>
      <c r="F8" s="4"/>
      <c r="G8" s="4"/>
      <c r="H8" s="1"/>
      <c r="I8" s="1"/>
      <c r="J8" s="1"/>
      <c r="K8" s="1"/>
      <c r="L8" s="1"/>
      <c r="M8" s="1"/>
      <c r="N8" s="1"/>
      <c r="O8" s="1"/>
      <c r="P8" s="1"/>
      <c r="Q8" s="1"/>
      <c r="R8" s="1"/>
      <c r="S8" s="1"/>
      <c r="T8" s="1"/>
    </row>
    <row r="9" spans="1:20">
      <c r="A9" s="3" t="s">
        <v>75</v>
      </c>
      <c r="B9" s="1"/>
      <c r="C9" s="1"/>
      <c r="D9" s="4"/>
      <c r="E9" s="4"/>
      <c r="F9" s="4"/>
      <c r="G9" s="4"/>
      <c r="H9" s="1"/>
      <c r="I9" s="1"/>
      <c r="J9" s="1"/>
      <c r="K9" s="1"/>
      <c r="L9" s="1"/>
      <c r="M9" s="1"/>
      <c r="N9" s="1"/>
      <c r="O9" s="1"/>
      <c r="P9" s="1"/>
      <c r="Q9" s="1"/>
      <c r="R9" s="1"/>
      <c r="S9" s="1"/>
      <c r="T9" s="1"/>
    </row>
    <row r="10" spans="1:20">
      <c r="A10" s="3" t="s">
        <v>76</v>
      </c>
      <c r="B10" s="1"/>
      <c r="C10" s="1"/>
      <c r="D10" s="1"/>
      <c r="E10" s="1"/>
      <c r="F10" s="1"/>
      <c r="G10" s="1"/>
      <c r="H10" s="1"/>
      <c r="I10" s="1"/>
      <c r="J10" s="1"/>
      <c r="K10" s="1"/>
      <c r="L10" s="1"/>
      <c r="M10" s="1"/>
      <c r="N10" s="1"/>
      <c r="O10" s="1"/>
      <c r="P10" s="1"/>
      <c r="Q10" s="1"/>
      <c r="R10" s="1"/>
      <c r="S10" s="1"/>
      <c r="T10" s="1"/>
    </row>
    <row r="11" spans="1:20">
      <c r="A11" s="3" t="s">
        <v>77</v>
      </c>
      <c r="B11" s="1"/>
      <c r="C11" s="1"/>
      <c r="D11" s="1"/>
      <c r="E11" s="1"/>
      <c r="F11" s="1"/>
      <c r="G11" s="1"/>
      <c r="H11" s="1"/>
      <c r="I11" s="1"/>
      <c r="J11" s="1"/>
      <c r="K11" s="1"/>
      <c r="L11" s="1"/>
      <c r="M11" s="1"/>
      <c r="N11" s="1"/>
      <c r="O11" s="1"/>
      <c r="P11" s="1"/>
      <c r="Q11" s="1"/>
      <c r="R11" s="1"/>
      <c r="S11" s="1"/>
      <c r="T11" s="1"/>
    </row>
    <row r="12" spans="1:20">
      <c r="A12" s="1"/>
      <c r="B12" s="1"/>
      <c r="C12" s="1"/>
      <c r="D12" s="1"/>
      <c r="E12" s="1"/>
      <c r="F12" s="1"/>
      <c r="G12" s="1"/>
      <c r="H12" s="1"/>
      <c r="I12" s="1"/>
      <c r="J12" s="1"/>
      <c r="K12" s="1"/>
      <c r="L12" s="1"/>
      <c r="M12" s="1"/>
      <c r="N12" s="1"/>
      <c r="O12" s="1"/>
      <c r="P12" s="1"/>
      <c r="Q12" s="1"/>
      <c r="R12" s="1"/>
      <c r="S12" s="1"/>
      <c r="T12" s="1"/>
    </row>
  </sheetData>
  <hyperlinks>
    <hyperlink ref="H3" location="gid=307514419" display="gid=307514419" xr:uid="{0DB9A7A6-B614-41D9-8932-0970FDE8FB75}"/>
    <hyperlink ref="M3" r:id="rId1" xr:uid="{AE7499B5-4EFF-4EE2-9DA4-B351D470EE4D}"/>
    <hyperlink ref="H4" location="gid=307514419" display="gid=307514419" xr:uid="{10AF8E4D-B025-437D-95A7-1ECE4D655D5B}"/>
    <hyperlink ref="H5" location="gid=307514419" display="gid=307514419" xr:uid="{981DA27E-915B-48C6-BE93-36DEE75D6580}"/>
    <hyperlink ref="M4" r:id="rId2" xr:uid="{108C5D6F-1D03-4A99-8EF8-C0A5F0A50302}"/>
    <hyperlink ref="M5" r:id="rId3" xr:uid="{E248FEB3-19AA-4662-B1E2-5CB233080CC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P38"/>
  <sheetViews>
    <sheetView showGridLines="0" tabSelected="1" workbookViewId="0">
      <selection activeCell="A5" sqref="A5"/>
    </sheetView>
  </sheetViews>
  <sheetFormatPr defaultColWidth="11.42578125" defaultRowHeight="14.45"/>
  <cols>
    <col min="1" max="4" width="29" customWidth="1"/>
    <col min="5" max="5" width="48.28515625" customWidth="1"/>
    <col min="6" max="6" width="63.140625" customWidth="1"/>
    <col min="7" max="8" width="29" customWidth="1"/>
    <col min="9" max="9" width="40.5703125" customWidth="1"/>
    <col min="10" max="13" width="29" customWidth="1"/>
  </cols>
  <sheetData>
    <row r="1" spans="1:13" ht="31.15">
      <c r="A1" s="17" t="s">
        <v>20</v>
      </c>
      <c r="B1" s="18" t="s">
        <v>21</v>
      </c>
      <c r="C1" s="18" t="s">
        <v>6</v>
      </c>
      <c r="D1" s="18" t="s">
        <v>7</v>
      </c>
      <c r="E1" s="18" t="s">
        <v>78</v>
      </c>
      <c r="F1" s="18" t="s">
        <v>79</v>
      </c>
      <c r="G1" s="18" t="s">
        <v>80</v>
      </c>
      <c r="H1" s="18" t="s">
        <v>81</v>
      </c>
      <c r="I1" s="18" t="s">
        <v>82</v>
      </c>
      <c r="J1" s="18" t="s">
        <v>83</v>
      </c>
      <c r="K1" s="18" t="s">
        <v>84</v>
      </c>
      <c r="L1" s="18" t="s">
        <v>85</v>
      </c>
      <c r="M1" s="18" t="s">
        <v>86</v>
      </c>
    </row>
    <row r="2" spans="1:13" ht="46.9">
      <c r="A2" s="19" t="s">
        <v>38</v>
      </c>
      <c r="B2" s="19" t="s">
        <v>39</v>
      </c>
      <c r="C2" s="19" t="s">
        <v>87</v>
      </c>
      <c r="D2" s="19" t="s">
        <v>88</v>
      </c>
      <c r="E2" s="19" t="s">
        <v>89</v>
      </c>
      <c r="F2" s="19" t="s">
        <v>90</v>
      </c>
      <c r="G2" s="19" t="s">
        <v>91</v>
      </c>
      <c r="H2" s="19" t="s">
        <v>92</v>
      </c>
      <c r="I2" s="19" t="s">
        <v>93</v>
      </c>
      <c r="J2" s="19" t="s">
        <v>94</v>
      </c>
      <c r="K2" s="19" t="s">
        <v>95</v>
      </c>
      <c r="L2" s="19" t="s">
        <v>96</v>
      </c>
      <c r="M2" s="19" t="s">
        <v>95</v>
      </c>
    </row>
    <row r="3" spans="1:13">
      <c r="A3" s="20" t="s">
        <v>55</v>
      </c>
      <c r="B3" s="20" t="s">
        <v>56</v>
      </c>
      <c r="C3" s="21" t="s">
        <v>57</v>
      </c>
      <c r="D3" s="22" t="s">
        <v>97</v>
      </c>
      <c r="E3" s="22" t="str">
        <f>UPPER(F3)</f>
        <v>FECHA DE FOTO CON EL QUE EL COMERCIO CERRÓ SU INFORMACIÓN DICHO DÍA</v>
      </c>
      <c r="F3" s="22" t="s">
        <v>98</v>
      </c>
      <c r="G3" s="20" t="s">
        <v>62</v>
      </c>
      <c r="H3" s="20" t="s">
        <v>99</v>
      </c>
      <c r="I3" s="23">
        <v>45841</v>
      </c>
      <c r="J3" s="20" t="s">
        <v>62</v>
      </c>
      <c r="K3" s="20" t="s">
        <v>100</v>
      </c>
      <c r="L3" s="20" t="s">
        <v>100</v>
      </c>
      <c r="M3" s="20" t="s">
        <v>62</v>
      </c>
    </row>
    <row r="4" spans="1:13">
      <c r="A4" s="20" t="s">
        <v>55</v>
      </c>
      <c r="B4" s="20" t="s">
        <v>56</v>
      </c>
      <c r="C4" s="21" t="s">
        <v>57</v>
      </c>
      <c r="D4" s="30" t="s">
        <v>101</v>
      </c>
      <c r="E4" s="22" t="str">
        <f t="shared" ref="E4:E8" si="0">UPPER(F4)</f>
        <v>CÓDIGO IDENTIFICADOR DEL NÚMERO DE DOCUMENTO DEL CLIENTE AFILIADO QUE IDENTIFICA DE MANERA ÚNICA AL COMERCIO. SE UTILIZA COMO CLAVE PRINCIPAL EN LOS PROCESOS DE COMPARACIÓN ENTRE EL ESTADO ANTERIOR Y ACTUAL.</v>
      </c>
      <c r="F4" s="22" t="s">
        <v>102</v>
      </c>
      <c r="G4" s="20" t="s">
        <v>100</v>
      </c>
      <c r="H4" s="20" t="s">
        <v>103</v>
      </c>
      <c r="I4" s="26">
        <v>654651321324798</v>
      </c>
      <c r="J4" s="20" t="s">
        <v>100</v>
      </c>
      <c r="K4" s="20" t="s">
        <v>62</v>
      </c>
      <c r="L4" s="20" t="s">
        <v>62</v>
      </c>
      <c r="M4" s="20" t="s">
        <v>62</v>
      </c>
    </row>
    <row r="5" spans="1:13">
      <c r="A5" s="20" t="s">
        <v>55</v>
      </c>
      <c r="B5" s="20" t="s">
        <v>56</v>
      </c>
      <c r="C5" s="21" t="s">
        <v>57</v>
      </c>
      <c r="D5" s="22" t="s">
        <v>104</v>
      </c>
      <c r="E5" s="22" t="str">
        <f t="shared" si="0"/>
        <v>FECHA DE FOTO DEL CIERRE DEL MES M-1</v>
      </c>
      <c r="F5" s="22" t="s">
        <v>105</v>
      </c>
      <c r="G5" s="20" t="s">
        <v>62</v>
      </c>
      <c r="H5" s="20" t="s">
        <v>99</v>
      </c>
      <c r="I5" s="23">
        <v>45841</v>
      </c>
      <c r="J5" s="20" t="s">
        <v>62</v>
      </c>
      <c r="K5" s="20" t="s">
        <v>100</v>
      </c>
      <c r="L5" s="20" t="s">
        <v>62</v>
      </c>
      <c r="M5" s="20" t="s">
        <v>62</v>
      </c>
    </row>
    <row r="6" spans="1:13">
      <c r="A6" s="20" t="s">
        <v>55</v>
      </c>
      <c r="B6" s="20" t="s">
        <v>56</v>
      </c>
      <c r="C6" s="21" t="s">
        <v>57</v>
      </c>
      <c r="D6" s="22" t="s">
        <v>106</v>
      </c>
      <c r="E6" s="22" t="str">
        <f t="shared" ref="E6" si="1">UPPER(F6)</f>
        <v>FECHA DE FOTO DEL CIERRE DEL MES M-2</v>
      </c>
      <c r="F6" s="22" t="s">
        <v>107</v>
      </c>
      <c r="G6" s="20" t="s">
        <v>62</v>
      </c>
      <c r="H6" s="20" t="s">
        <v>99</v>
      </c>
      <c r="I6" s="23">
        <v>45841</v>
      </c>
      <c r="J6" s="20" t="s">
        <v>62</v>
      </c>
      <c r="K6" s="20" t="s">
        <v>100</v>
      </c>
      <c r="L6" s="20" t="s">
        <v>62</v>
      </c>
      <c r="M6" s="20" t="s">
        <v>62</v>
      </c>
    </row>
    <row r="7" spans="1:13">
      <c r="A7" s="20" t="s">
        <v>55</v>
      </c>
      <c r="B7" s="20" t="s">
        <v>56</v>
      </c>
      <c r="C7" s="21" t="s">
        <v>57</v>
      </c>
      <c r="D7" s="22" t="s">
        <v>108</v>
      </c>
      <c r="E7" s="22" t="str">
        <f>UPPER(F7)</f>
        <v>INDICA LA CLASIFICACIÓN DE CUENTA ESPECIAL ASIGNADA AL CLIENTE COMO RESULTADO DEL PROCESO DE EVALUACIÓN ACTUAL. PERMITE COMPARAR CONTRA LA CUENTA ESPECIAL ANTERIOR PARA IDENTIFICAR VARIACIONES.</v>
      </c>
      <c r="F7" s="22" t="s">
        <v>109</v>
      </c>
      <c r="G7" s="20" t="s">
        <v>62</v>
      </c>
      <c r="H7" s="20" t="s">
        <v>103</v>
      </c>
      <c r="I7" s="26" t="s">
        <v>110</v>
      </c>
      <c r="J7" s="20" t="s">
        <v>62</v>
      </c>
      <c r="K7" s="20" t="s">
        <v>62</v>
      </c>
      <c r="L7" s="20" t="s">
        <v>62</v>
      </c>
      <c r="M7" s="20" t="s">
        <v>100</v>
      </c>
    </row>
    <row r="8" spans="1:13">
      <c r="A8" s="20" t="s">
        <v>55</v>
      </c>
      <c r="B8" s="20" t="s">
        <v>56</v>
      </c>
      <c r="C8" s="21" t="s">
        <v>57</v>
      </c>
      <c r="D8" s="22" t="s">
        <v>111</v>
      </c>
      <c r="E8" s="22" t="str">
        <f t="shared" si="0"/>
        <v>INDICA LA CLASIFICACIÓN DE CUENTA ESPECIAL ASIGNADA AL CLIENTE ANTES DE LA EVALUACIÓN EN EL PERIODO ACTUAL. REPRESENTA EL ESTADO PREVIO UTILIZADO COMO REFERENCIA PARA DETECTAR CAMBIOS</v>
      </c>
      <c r="F8" s="22" t="s">
        <v>112</v>
      </c>
      <c r="G8" s="20" t="s">
        <v>62</v>
      </c>
      <c r="H8" s="20" t="s">
        <v>103</v>
      </c>
      <c r="I8" s="26" t="s">
        <v>110</v>
      </c>
      <c r="J8" s="20" t="s">
        <v>62</v>
      </c>
      <c r="K8" s="20" t="s">
        <v>100</v>
      </c>
      <c r="L8" s="20" t="s">
        <v>62</v>
      </c>
      <c r="M8" s="20" t="s">
        <v>62</v>
      </c>
    </row>
    <row r="9" spans="1:13">
      <c r="A9" s="20" t="s">
        <v>55</v>
      </c>
      <c r="B9" s="20" t="s">
        <v>56</v>
      </c>
      <c r="C9" s="21" t="s">
        <v>57</v>
      </c>
      <c r="D9" s="22" t="s">
        <v>113</v>
      </c>
      <c r="E9" s="22" t="str">
        <f>UPPER(F9)</f>
        <v>SITUACIÓN ACTUAL DEL COMERCIO SEGÚN LA ÚLTIMA ACTUALIZACIÓN DISPONIBLE. ESTE VALOR REFLEJA EL ESTADO OPERATIVO VIGENTE AL MOMENTO DE EJECUCIÓN DEL PROCESO.</v>
      </c>
      <c r="F9" s="22" t="s">
        <v>114</v>
      </c>
      <c r="G9" s="20" t="s">
        <v>62</v>
      </c>
      <c r="H9" s="20" t="s">
        <v>103</v>
      </c>
      <c r="I9" s="26">
        <v>7</v>
      </c>
      <c r="J9" s="20" t="s">
        <v>62</v>
      </c>
      <c r="K9" s="20" t="s">
        <v>62</v>
      </c>
      <c r="L9" s="20" t="s">
        <v>62</v>
      </c>
      <c r="M9" s="20" t="s">
        <v>100</v>
      </c>
    </row>
    <row r="10" spans="1:13">
      <c r="A10" s="20" t="s">
        <v>55</v>
      </c>
      <c r="B10" s="20" t="s">
        <v>56</v>
      </c>
      <c r="C10" s="21" t="s">
        <v>57</v>
      </c>
      <c r="D10" s="22" t="s">
        <v>115</v>
      </c>
      <c r="E10" s="22" t="str">
        <f t="shared" ref="E10" si="2">UPPER(F10)</f>
        <v>SITUACIÓN DEL COMERCIO EN EL MES ANTERIOR SEGÚN LA TABLA DE ESTABLECIMIENTOS TRANSFORMADOS. ESTE VALOR REFLEJA EL ESTADO OPERATIVO DEL COMERCIO EN EL HISTÓRICO.</v>
      </c>
      <c r="F10" s="22" t="s">
        <v>116</v>
      </c>
      <c r="G10" s="20" t="s">
        <v>62</v>
      </c>
      <c r="H10" s="20" t="s">
        <v>103</v>
      </c>
      <c r="I10" s="26">
        <v>7</v>
      </c>
      <c r="J10" s="20" t="s">
        <v>62</v>
      </c>
      <c r="K10" s="20" t="s">
        <v>100</v>
      </c>
      <c r="L10" s="20" t="s">
        <v>62</v>
      </c>
      <c r="M10" s="20" t="s">
        <v>62</v>
      </c>
    </row>
    <row r="11" spans="1:13">
      <c r="A11" s="20" t="s">
        <v>55</v>
      </c>
      <c r="B11" s="20" t="s">
        <v>56</v>
      </c>
      <c r="C11" s="21" t="s">
        <v>57</v>
      </c>
      <c r="D11" s="22" t="s">
        <v>117</v>
      </c>
      <c r="E11" s="22" t="str">
        <f t="shared" ref="E11:E12" si="3">UPPER(F11)</f>
        <v>RESULTADO DE LA COMPARACIÓN ENTRE EL SEGMENTO Y LA SITUACIÓN DEL MES ANTERIOR VERSUS EL ESTADO ACTUAL. VALORES POSIBLES: NUEVO, INACTIVO, CAMBIO_SEGMENTO, CAMBIO_SEGMENTO_NO_VALIDO, SIN_CAMBIO.</v>
      </c>
      <c r="F11" s="22" t="s">
        <v>118</v>
      </c>
      <c r="G11" s="20" t="s">
        <v>62</v>
      </c>
      <c r="H11" s="20" t="s">
        <v>103</v>
      </c>
      <c r="I11" s="26" t="s">
        <v>119</v>
      </c>
      <c r="J11" s="20" t="s">
        <v>62</v>
      </c>
      <c r="K11" s="20" t="s">
        <v>62</v>
      </c>
      <c r="L11" s="20" t="s">
        <v>62</v>
      </c>
      <c r="M11" s="20" t="s">
        <v>100</v>
      </c>
    </row>
    <row r="12" spans="1:13">
      <c r="A12" s="20" t="s">
        <v>55</v>
      </c>
      <c r="B12" s="20" t="s">
        <v>56</v>
      </c>
      <c r="C12" s="21" t="s">
        <v>57</v>
      </c>
      <c r="D12" s="22" t="s">
        <v>120</v>
      </c>
      <c r="E12" s="22" t="str">
        <f t="shared" si="3"/>
        <v>ACCIÓN A EJECUTAR SEGÚN EL TIPO DE CAMBIO DETECTADO EN EL COMERCIO. VALORES POSIBLES: CARGAR, EXTRAER, MANTENER. DEFINE LA OPERACIÓN QUE DEBE REALIZARSE EN LA PLATAFORMA DE DESTINO.</v>
      </c>
      <c r="F12" s="22" t="s">
        <v>121</v>
      </c>
      <c r="G12" s="20" t="s">
        <v>62</v>
      </c>
      <c r="H12" s="20" t="s">
        <v>103</v>
      </c>
      <c r="I12" s="26" t="s">
        <v>122</v>
      </c>
      <c r="J12" s="20" t="s">
        <v>62</v>
      </c>
      <c r="K12" s="20" t="s">
        <v>62</v>
      </c>
      <c r="L12" s="20" t="s">
        <v>62</v>
      </c>
      <c r="M12" s="20" t="s">
        <v>100</v>
      </c>
    </row>
    <row r="13" spans="1:13">
      <c r="A13" s="20" t="s">
        <v>55</v>
      </c>
      <c r="B13" s="20" t="s">
        <v>56</v>
      </c>
      <c r="C13" s="21" t="s">
        <v>57</v>
      </c>
      <c r="D13" s="22" t="s">
        <v>123</v>
      </c>
      <c r="E13" s="22" t="str">
        <f>UPPER(F13)</f>
        <v>DATO DE AUDITORÍA: DESCRIPCIÓN DEL APLICATIVO ORIGEN DE LOS DATOS.</v>
      </c>
      <c r="F13" s="22" t="s">
        <v>124</v>
      </c>
      <c r="G13" s="20" t="s">
        <v>62</v>
      </c>
      <c r="H13" s="20" t="s">
        <v>103</v>
      </c>
      <c r="I13" s="24" t="s">
        <v>10</v>
      </c>
      <c r="J13" s="20" t="s">
        <v>62</v>
      </c>
      <c r="K13" s="20" t="s">
        <v>62</v>
      </c>
      <c r="L13" s="20" t="s">
        <v>62</v>
      </c>
      <c r="M13" s="20" t="s">
        <v>62</v>
      </c>
    </row>
    <row r="14" spans="1:13">
      <c r="A14" s="20" t="s">
        <v>55</v>
      </c>
      <c r="B14" s="20" t="s">
        <v>56</v>
      </c>
      <c r="C14" s="21" t="s">
        <v>57</v>
      </c>
      <c r="D14" s="22" t="s">
        <v>125</v>
      </c>
      <c r="E14" s="22" t="str">
        <f>UPPER(F14)</f>
        <v>FECHA Y HORA DE INSERCIÓN DEL REGISTRO EN EL MODELO</v>
      </c>
      <c r="F14" s="22" t="s">
        <v>126</v>
      </c>
      <c r="G14" s="20" t="s">
        <v>62</v>
      </c>
      <c r="H14" s="20" t="s">
        <v>127</v>
      </c>
      <c r="I14" s="24" t="s">
        <v>128</v>
      </c>
      <c r="J14" s="20" t="s">
        <v>62</v>
      </c>
      <c r="K14" s="20" t="s">
        <v>62</v>
      </c>
      <c r="L14" s="20" t="s">
        <v>62</v>
      </c>
      <c r="M14" s="20" t="s">
        <v>62</v>
      </c>
    </row>
    <row r="15" spans="1:13">
      <c r="A15" s="20" t="s">
        <v>55</v>
      </c>
      <c r="B15" s="20" t="s">
        <v>56</v>
      </c>
      <c r="C15" s="21" t="s">
        <v>57</v>
      </c>
      <c r="D15" s="22" t="s">
        <v>129</v>
      </c>
      <c r="E15" s="22" t="str">
        <f>UPPER(F15)</f>
        <v>USUARIO QUE CREA EL REGISTRO EN LA BD</v>
      </c>
      <c r="F15" s="22" t="s">
        <v>130</v>
      </c>
      <c r="G15" s="20" t="s">
        <v>62</v>
      </c>
      <c r="H15" s="20" t="s">
        <v>103</v>
      </c>
      <c r="I15" s="25" t="s">
        <v>131</v>
      </c>
      <c r="J15" s="20" t="s">
        <v>62</v>
      </c>
      <c r="K15" s="20" t="s">
        <v>62</v>
      </c>
      <c r="L15" s="20" t="s">
        <v>62</v>
      </c>
      <c r="M15" s="20" t="s">
        <v>62</v>
      </c>
    </row>
    <row r="19" spans="9:16">
      <c r="P19" s="27"/>
    </row>
    <row r="20" spans="9:16">
      <c r="P20" s="27"/>
    </row>
    <row r="21" spans="9:16">
      <c r="P21" s="27"/>
    </row>
    <row r="22" spans="9:16">
      <c r="P22" s="27"/>
    </row>
    <row r="23" spans="9:16">
      <c r="P23" s="27"/>
    </row>
    <row r="24" spans="9:16">
      <c r="P24" s="27"/>
    </row>
    <row r="25" spans="9:16">
      <c r="P25" s="27"/>
    </row>
    <row r="26" spans="9:16">
      <c r="P26" s="27"/>
    </row>
    <row r="31" spans="9:16">
      <c r="I31" s="28"/>
    </row>
    <row r="32" spans="9:16">
      <c r="I32" s="28"/>
    </row>
    <row r="33" spans="9:9">
      <c r="I33" s="28"/>
    </row>
    <row r="34" spans="9:9">
      <c r="I34" s="28"/>
    </row>
    <row r="35" spans="9:9">
      <c r="I35" s="28"/>
    </row>
    <row r="36" spans="9:9">
      <c r="I36" s="28"/>
    </row>
    <row r="37" spans="9:9">
      <c r="I37" s="28"/>
    </row>
    <row r="38" spans="9:9">
      <c r="I38" s="29"/>
    </row>
  </sheetData>
  <hyperlinks>
    <hyperlink ref="I15" r:id="rId1" xr:uid="{5055E7C2-704F-4DF8-B13D-BB52B011532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131E6-D0C1-4235-A62D-C7DE31D36062}">
  <sheetPr codeName="Hoja4"/>
  <dimension ref="A1:P33"/>
  <sheetViews>
    <sheetView showGridLines="0" topLeftCell="G1" workbookViewId="0">
      <selection activeCell="K7" sqref="K7"/>
    </sheetView>
  </sheetViews>
  <sheetFormatPr defaultColWidth="11.42578125" defaultRowHeight="14.45"/>
  <cols>
    <col min="1" max="4" width="29" customWidth="1"/>
    <col min="5" max="5" width="48.28515625" customWidth="1"/>
    <col min="6" max="6" width="63.140625" customWidth="1"/>
    <col min="7" max="8" width="29" customWidth="1"/>
    <col min="9" max="9" width="40.5703125" customWidth="1"/>
    <col min="10" max="13" width="29" customWidth="1"/>
  </cols>
  <sheetData>
    <row r="1" spans="1:16" ht="31.15">
      <c r="A1" s="17" t="s">
        <v>20</v>
      </c>
      <c r="B1" s="18" t="s">
        <v>21</v>
      </c>
      <c r="C1" s="18" t="s">
        <v>6</v>
      </c>
      <c r="D1" s="18" t="s">
        <v>7</v>
      </c>
      <c r="E1" s="18" t="s">
        <v>78</v>
      </c>
      <c r="F1" s="18" t="s">
        <v>79</v>
      </c>
      <c r="G1" s="18" t="s">
        <v>80</v>
      </c>
      <c r="H1" s="18" t="s">
        <v>81</v>
      </c>
      <c r="I1" s="18" t="s">
        <v>82</v>
      </c>
      <c r="J1" s="18" t="s">
        <v>83</v>
      </c>
      <c r="K1" s="18" t="s">
        <v>84</v>
      </c>
      <c r="L1" s="18" t="s">
        <v>85</v>
      </c>
      <c r="M1" s="18" t="s">
        <v>86</v>
      </c>
    </row>
    <row r="2" spans="1:16" ht="46.9">
      <c r="A2" s="19" t="s">
        <v>38</v>
      </c>
      <c r="B2" s="19" t="s">
        <v>39</v>
      </c>
      <c r="C2" s="19" t="s">
        <v>87</v>
      </c>
      <c r="D2" s="19" t="s">
        <v>88</v>
      </c>
      <c r="E2" s="19" t="s">
        <v>89</v>
      </c>
      <c r="F2" s="19" t="s">
        <v>90</v>
      </c>
      <c r="G2" s="19" t="s">
        <v>91</v>
      </c>
      <c r="H2" s="19" t="s">
        <v>92</v>
      </c>
      <c r="I2" s="19" t="s">
        <v>93</v>
      </c>
      <c r="J2" s="19" t="s">
        <v>94</v>
      </c>
      <c r="K2" s="19" t="s">
        <v>95</v>
      </c>
      <c r="L2" s="19" t="s">
        <v>96</v>
      </c>
      <c r="M2" s="19" t="s">
        <v>95</v>
      </c>
    </row>
    <row r="3" spans="1:16">
      <c r="A3" s="20" t="s">
        <v>55</v>
      </c>
      <c r="B3" s="20" t="s">
        <v>56</v>
      </c>
      <c r="C3" s="21" t="s">
        <v>66</v>
      </c>
      <c r="D3" s="30" t="s">
        <v>132</v>
      </c>
      <c r="E3" s="22" t="str">
        <f t="shared" ref="E3:E10" si="0">UPPER(F3)</f>
        <v>CÓDIGO IDENTIFICADOR DEL NÚMERO DE DOCUMENTO DEL CLIENTE AFILIADO QUE IDENTIFICA DE MANERA ÚNICA AL COMERCIO. SE UTILIZA COMO CLAVE PRINCIPAL EN LOS PROCESOS DE COMPARACIÓN ENTRE EL ESTADO ANTERIOR Y ACTUAL.</v>
      </c>
      <c r="F3" s="22" t="s">
        <v>102</v>
      </c>
      <c r="G3" s="20" t="s">
        <v>100</v>
      </c>
      <c r="H3" s="20" t="s">
        <v>103</v>
      </c>
      <c r="I3" s="26">
        <v>654651321324798</v>
      </c>
      <c r="J3" s="20" t="s">
        <v>100</v>
      </c>
      <c r="K3" s="20" t="s">
        <v>100</v>
      </c>
      <c r="L3" s="20" t="s">
        <v>62</v>
      </c>
      <c r="M3" s="20" t="s">
        <v>62</v>
      </c>
    </row>
    <row r="4" spans="1:16">
      <c r="A4" s="20" t="s">
        <v>55</v>
      </c>
      <c r="B4" s="20" t="s">
        <v>56</v>
      </c>
      <c r="C4" s="21" t="s">
        <v>66</v>
      </c>
      <c r="D4" s="22" t="s">
        <v>133</v>
      </c>
      <c r="E4" s="22" t="str">
        <f t="shared" si="0"/>
        <v>INDICA LA CLASIFICACIÓN DE CUENTA ESPECIAL ASIGNADA AL CLIENTE ANTES DE LA EVALUACIÓN EN EL PERIODO ACTUAL. REPRESENTA EL ESTADO PREVIO UTILIZADO COMO REFERENCIA PARA DETECTAR CAMBIOS</v>
      </c>
      <c r="F4" s="22" t="s">
        <v>112</v>
      </c>
      <c r="G4" s="20" t="s">
        <v>62</v>
      </c>
      <c r="H4" s="20" t="s">
        <v>103</v>
      </c>
      <c r="I4" s="26" t="s">
        <v>110</v>
      </c>
      <c r="J4" s="20" t="s">
        <v>62</v>
      </c>
      <c r="K4" s="20" t="s">
        <v>100</v>
      </c>
      <c r="L4" s="20" t="s">
        <v>62</v>
      </c>
      <c r="M4" s="20" t="s">
        <v>62</v>
      </c>
    </row>
    <row r="5" spans="1:16">
      <c r="A5" s="20" t="s">
        <v>55</v>
      </c>
      <c r="B5" s="20" t="s">
        <v>56</v>
      </c>
      <c r="C5" s="21" t="s">
        <v>66</v>
      </c>
      <c r="D5" s="22" t="s">
        <v>134</v>
      </c>
      <c r="E5" s="22" t="str">
        <f>UPPER(F5)</f>
        <v>SITUACIÓN DEL COMERCIO EN EL MES ANTERIOR SEGÚN LA TABLA DE ESTABLECIMIENTOS TRANSFORMADOS. ESTE VALOR REFLEJA EL ESTADO OPERATIVO DEL COMERCIO EN EL HISTÓRICO.</v>
      </c>
      <c r="F5" s="22" t="s">
        <v>116</v>
      </c>
      <c r="G5" s="20" t="s">
        <v>62</v>
      </c>
      <c r="H5" s="20" t="s">
        <v>103</v>
      </c>
      <c r="I5" s="26">
        <v>7</v>
      </c>
      <c r="J5" s="20" t="s">
        <v>62</v>
      </c>
      <c r="K5" s="20" t="s">
        <v>100</v>
      </c>
      <c r="L5" s="20" t="s">
        <v>62</v>
      </c>
      <c r="M5" s="20" t="s">
        <v>62</v>
      </c>
    </row>
    <row r="6" spans="1:16">
      <c r="A6" s="20" t="s">
        <v>55</v>
      </c>
      <c r="B6" s="20" t="s">
        <v>56</v>
      </c>
      <c r="C6" s="21" t="s">
        <v>66</v>
      </c>
      <c r="D6" s="22" t="s">
        <v>135</v>
      </c>
      <c r="E6" s="22" t="str">
        <f t="shared" si="0"/>
        <v>INDICA LA CLASIFICACIÓN DE CUENTA ESPECIAL ASIGNADA AL CLIENTE COMO RESULTADO DEL PROCESO DE EVALUACIÓN ACTUAL. PERMITE COMPARAR CONTRA LA CUENTA ESPECIAL ANTERIOR PARA IDENTIFICAR VARIACIONES.</v>
      </c>
      <c r="F6" s="22" t="s">
        <v>109</v>
      </c>
      <c r="G6" s="20" t="s">
        <v>62</v>
      </c>
      <c r="H6" s="20" t="s">
        <v>103</v>
      </c>
      <c r="I6" s="26" t="s">
        <v>110</v>
      </c>
      <c r="J6" s="20" t="s">
        <v>62</v>
      </c>
      <c r="K6" s="20" t="s">
        <v>100</v>
      </c>
      <c r="L6" s="20" t="s">
        <v>62</v>
      </c>
      <c r="M6" s="20" t="s">
        <v>62</v>
      </c>
    </row>
    <row r="7" spans="1:16">
      <c r="A7" s="20" t="s">
        <v>55</v>
      </c>
      <c r="B7" s="20" t="s">
        <v>56</v>
      </c>
      <c r="C7" s="21" t="s">
        <v>66</v>
      </c>
      <c r="D7" s="22" t="s">
        <v>136</v>
      </c>
      <c r="E7" s="22" t="str">
        <f t="shared" si="0"/>
        <v>SITUACIÓN ACTUAL DEL COMERCIO SEGÚN LA ÚLTIMA ACTUALIZACIÓN DISPONIBLE. ESTE VALOR REFLEJA EL ESTADO OPERATIVO VIGENTE AL MOMENTO DE EJECUCIÓN DEL PROCESO.</v>
      </c>
      <c r="F7" s="22" t="s">
        <v>114</v>
      </c>
      <c r="G7" s="20" t="s">
        <v>62</v>
      </c>
      <c r="H7" s="20" t="s">
        <v>103</v>
      </c>
      <c r="I7" s="26">
        <v>7</v>
      </c>
      <c r="J7" s="20" t="s">
        <v>62</v>
      </c>
      <c r="K7" s="20" t="s">
        <v>100</v>
      </c>
      <c r="L7" s="20" t="s">
        <v>62</v>
      </c>
      <c r="M7" s="20" t="s">
        <v>62</v>
      </c>
    </row>
    <row r="8" spans="1:16">
      <c r="A8" s="20" t="s">
        <v>55</v>
      </c>
      <c r="B8" s="20" t="s">
        <v>56</v>
      </c>
      <c r="C8" s="21" t="s">
        <v>66</v>
      </c>
      <c r="D8" s="22" t="s">
        <v>117</v>
      </c>
      <c r="E8" s="22" t="str">
        <f>UPPER(F8)</f>
        <v>RESULTADO DE LA COMPARACIÓN ENTRE EL SEGMENTO Y LA SITUACIÓN DEL MES ANTERIOR VERSUS EL ESTADO ACTUAL. VALORES POSIBLES: NUEVO, INACTIVO, CAMBIO_SEGMENTO, CAMBIO_SEGMENTO_NO_VALIDO, SIN_CAMBIO.</v>
      </c>
      <c r="F8" s="22" t="s">
        <v>118</v>
      </c>
      <c r="G8" s="20" t="s">
        <v>62</v>
      </c>
      <c r="H8" s="20" t="s">
        <v>103</v>
      </c>
      <c r="I8" s="26" t="s">
        <v>137</v>
      </c>
      <c r="J8" s="20" t="s">
        <v>62</v>
      </c>
      <c r="K8" s="20" t="s">
        <v>100</v>
      </c>
      <c r="L8" s="20" t="s">
        <v>62</v>
      </c>
      <c r="M8" s="20" t="s">
        <v>62</v>
      </c>
    </row>
    <row r="9" spans="1:16">
      <c r="A9" s="20" t="s">
        <v>55</v>
      </c>
      <c r="B9" s="20" t="s">
        <v>56</v>
      </c>
      <c r="C9" s="21" t="s">
        <v>66</v>
      </c>
      <c r="D9" s="22" t="s">
        <v>138</v>
      </c>
      <c r="E9" s="22" t="str">
        <f>UPPER(F9)</f>
        <v>RESULTADO DE LA COMPARACIÓN ENTRE EL SEGMENTO Y LA SITUACIÓN DEL MES ANTERIOR VERSUS EL ESTADO ACTUAL. VALORES POSIBLES: NUEVO, INACTIVO, CAMBIO_SEGMENTO, CAMBIO_SEGMENTO_NO_VALIDO, SIN_CAMBIO.</v>
      </c>
      <c r="F9" s="22" t="s">
        <v>118</v>
      </c>
      <c r="G9" s="20" t="s">
        <v>62</v>
      </c>
      <c r="H9" s="20" t="s">
        <v>99</v>
      </c>
      <c r="I9" s="26" t="s">
        <v>139</v>
      </c>
      <c r="J9" s="20" t="s">
        <v>62</v>
      </c>
      <c r="K9" s="20" t="s">
        <v>100</v>
      </c>
      <c r="L9" s="20" t="s">
        <v>62</v>
      </c>
      <c r="M9" s="20" t="s">
        <v>62</v>
      </c>
    </row>
    <row r="10" spans="1:16">
      <c r="A10" s="20" t="s">
        <v>55</v>
      </c>
      <c r="B10" s="20" t="s">
        <v>56</v>
      </c>
      <c r="C10" s="21" t="s">
        <v>66</v>
      </c>
      <c r="D10" s="22" t="s">
        <v>120</v>
      </c>
      <c r="E10" s="22" t="str">
        <f t="shared" si="0"/>
        <v>ACCIÓN A EJECUTAR SEGÚN EL TIPO DE CAMBIO DETECTADO EN EL COMERCIO. VALORES POSIBLES: CARGAR, EXTRAER, MANTENER. DEFINE LA OPERACIÓN QUE DEBE REALIZARSE EN LA PLATAFORMA DE DESTINO.</v>
      </c>
      <c r="F10" s="22" t="s">
        <v>121</v>
      </c>
      <c r="G10" s="20" t="s">
        <v>62</v>
      </c>
      <c r="H10" s="20" t="s">
        <v>103</v>
      </c>
      <c r="I10" s="26" t="s">
        <v>140</v>
      </c>
      <c r="J10" s="20" t="s">
        <v>62</v>
      </c>
      <c r="K10" s="20" t="s">
        <v>100</v>
      </c>
      <c r="L10" s="20" t="s">
        <v>62</v>
      </c>
      <c r="M10" s="20" t="s">
        <v>62</v>
      </c>
    </row>
    <row r="14" spans="1:16">
      <c r="P14" s="27"/>
    </row>
    <row r="15" spans="1:16">
      <c r="P15" s="27"/>
    </row>
    <row r="16" spans="1:16">
      <c r="P16" s="27"/>
    </row>
    <row r="17" spans="9:16">
      <c r="P17" s="27"/>
    </row>
    <row r="18" spans="9:16">
      <c r="P18" s="27"/>
    </row>
    <row r="19" spans="9:16">
      <c r="P19" s="27"/>
    </row>
    <row r="20" spans="9:16">
      <c r="P20" s="27"/>
    </row>
    <row r="21" spans="9:16">
      <c r="P21" s="27"/>
    </row>
    <row r="26" spans="9:16">
      <c r="I26" s="28"/>
    </row>
    <row r="27" spans="9:16">
      <c r="I27" s="28"/>
    </row>
    <row r="28" spans="9:16">
      <c r="I28" s="28"/>
    </row>
    <row r="29" spans="9:16">
      <c r="I29" s="28"/>
    </row>
    <row r="30" spans="9:16">
      <c r="I30" s="28"/>
    </row>
    <row r="31" spans="9:16">
      <c r="I31" s="28"/>
    </row>
    <row r="32" spans="9:16">
      <c r="I32" s="28"/>
    </row>
    <row r="33" spans="9:9">
      <c r="I33" s="2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DFBC8-66D6-400A-989E-746ED8268FD0}">
  <sheetPr codeName="Hoja5"/>
  <dimension ref="A1:P33"/>
  <sheetViews>
    <sheetView showGridLines="0" workbookViewId="0">
      <selection activeCell="C34" sqref="C34"/>
    </sheetView>
  </sheetViews>
  <sheetFormatPr defaultColWidth="11.42578125" defaultRowHeight="14.45"/>
  <cols>
    <col min="1" max="2" width="29" customWidth="1"/>
    <col min="3" max="3" width="31" customWidth="1"/>
    <col min="4" max="4" width="29" customWidth="1"/>
    <col min="5" max="5" width="48.28515625" customWidth="1"/>
    <col min="6" max="6" width="63.140625" customWidth="1"/>
    <col min="7" max="8" width="29" customWidth="1"/>
    <col min="9" max="9" width="40.5703125" customWidth="1"/>
    <col min="10" max="13" width="29" customWidth="1"/>
  </cols>
  <sheetData>
    <row r="1" spans="1:16" ht="31.15">
      <c r="A1" s="17" t="s">
        <v>20</v>
      </c>
      <c r="B1" s="18" t="s">
        <v>21</v>
      </c>
      <c r="C1" s="18" t="s">
        <v>6</v>
      </c>
      <c r="D1" s="18" t="s">
        <v>7</v>
      </c>
      <c r="E1" s="18" t="s">
        <v>78</v>
      </c>
      <c r="F1" s="18" t="s">
        <v>79</v>
      </c>
      <c r="G1" s="18" t="s">
        <v>80</v>
      </c>
      <c r="H1" s="18" t="s">
        <v>81</v>
      </c>
      <c r="I1" s="18" t="s">
        <v>82</v>
      </c>
      <c r="J1" s="18" t="s">
        <v>83</v>
      </c>
      <c r="K1" s="18" t="s">
        <v>84</v>
      </c>
      <c r="L1" s="18" t="s">
        <v>85</v>
      </c>
      <c r="M1" s="18" t="s">
        <v>86</v>
      </c>
    </row>
    <row r="2" spans="1:16" ht="46.9">
      <c r="A2" s="19" t="s">
        <v>38</v>
      </c>
      <c r="B2" s="19" t="s">
        <v>39</v>
      </c>
      <c r="C2" s="19" t="s">
        <v>87</v>
      </c>
      <c r="D2" s="19" t="s">
        <v>88</v>
      </c>
      <c r="E2" s="19" t="s">
        <v>89</v>
      </c>
      <c r="F2" s="19" t="s">
        <v>90</v>
      </c>
      <c r="G2" s="19" t="s">
        <v>91</v>
      </c>
      <c r="H2" s="19" t="s">
        <v>92</v>
      </c>
      <c r="I2" s="19" t="s">
        <v>93</v>
      </c>
      <c r="J2" s="19" t="s">
        <v>94</v>
      </c>
      <c r="K2" s="19" t="s">
        <v>95</v>
      </c>
      <c r="L2" s="19" t="s">
        <v>96</v>
      </c>
      <c r="M2" s="19" t="s">
        <v>95</v>
      </c>
    </row>
    <row r="3" spans="1:16">
      <c r="A3" s="20" t="s">
        <v>55</v>
      </c>
      <c r="B3" s="20" t="s">
        <v>56</v>
      </c>
      <c r="C3" s="21" t="s">
        <v>70</v>
      </c>
      <c r="D3" s="30" t="s">
        <v>132</v>
      </c>
      <c r="E3" s="22" t="str">
        <f t="shared" ref="E3:E10" si="0">UPPER(F3)</f>
        <v>CÓDIGO IDENTIFICADOR DEL NÚMERO DE DOCUMENTO DEL CLIENTE AFILIADO QUE IDENTIFICA DE MANERA ÚNICA AL COMERCIO. SE UTILIZA COMO CLAVE PRINCIPAL EN LOS PROCESOS DE COMPARACIÓN ENTRE EL ESTADO ANTERIOR Y ACTUAL.</v>
      </c>
      <c r="F3" s="22" t="s">
        <v>102</v>
      </c>
      <c r="G3" s="20" t="s">
        <v>100</v>
      </c>
      <c r="H3" s="20" t="s">
        <v>103</v>
      </c>
      <c r="I3" s="26">
        <v>654651321324798</v>
      </c>
      <c r="J3" s="20" t="s">
        <v>100</v>
      </c>
      <c r="K3" s="20" t="s">
        <v>100</v>
      </c>
      <c r="L3" s="20" t="s">
        <v>62</v>
      </c>
      <c r="M3" s="20" t="s">
        <v>62</v>
      </c>
    </row>
    <row r="4" spans="1:16">
      <c r="A4" s="20" t="s">
        <v>55</v>
      </c>
      <c r="B4" s="20" t="s">
        <v>56</v>
      </c>
      <c r="C4" s="21" t="s">
        <v>70</v>
      </c>
      <c r="D4" s="22" t="s">
        <v>133</v>
      </c>
      <c r="E4" s="22" t="str">
        <f t="shared" si="0"/>
        <v>INDICA LA CLASIFICACIÓN DE CUENTA ESPECIAL ASIGNADA AL CLIENTE ANTES DE LA EVALUACIÓN EN EL PERIODO ACTUAL. REPRESENTA EL ESTADO PREVIO UTILIZADO COMO REFERENCIA PARA DETECTAR CAMBIOS</v>
      </c>
      <c r="F4" s="22" t="s">
        <v>112</v>
      </c>
      <c r="G4" s="20" t="s">
        <v>62</v>
      </c>
      <c r="H4" s="20" t="s">
        <v>103</v>
      </c>
      <c r="I4" s="26" t="s">
        <v>110</v>
      </c>
      <c r="J4" s="20" t="s">
        <v>62</v>
      </c>
      <c r="K4" s="20" t="s">
        <v>100</v>
      </c>
      <c r="L4" s="20" t="s">
        <v>62</v>
      </c>
      <c r="M4" s="20" t="s">
        <v>62</v>
      </c>
    </row>
    <row r="5" spans="1:16">
      <c r="A5" s="20" t="s">
        <v>55</v>
      </c>
      <c r="B5" s="20" t="s">
        <v>56</v>
      </c>
      <c r="C5" s="21" t="s">
        <v>70</v>
      </c>
      <c r="D5" s="22" t="s">
        <v>134</v>
      </c>
      <c r="E5" s="22" t="str">
        <f>UPPER(F5)</f>
        <v>SITUACIÓN DEL COMERCIO EN EL MES ANTERIOR SEGÚN LA TABLA DE ESTABLECIMIENTOS TRANSFORMADOS. ESTE VALOR REFLEJA EL ESTADO OPERATIVO DEL COMERCIO EN EL HISTÓRICO.</v>
      </c>
      <c r="F5" s="22" t="s">
        <v>116</v>
      </c>
      <c r="G5" s="20" t="s">
        <v>62</v>
      </c>
      <c r="H5" s="20" t="s">
        <v>103</v>
      </c>
      <c r="I5" s="26">
        <v>7</v>
      </c>
      <c r="J5" s="20" t="s">
        <v>62</v>
      </c>
      <c r="K5" s="20" t="s">
        <v>100</v>
      </c>
      <c r="L5" s="20" t="s">
        <v>62</v>
      </c>
      <c r="M5" s="20" t="s">
        <v>62</v>
      </c>
    </row>
    <row r="6" spans="1:16">
      <c r="A6" s="20" t="s">
        <v>55</v>
      </c>
      <c r="B6" s="20" t="s">
        <v>56</v>
      </c>
      <c r="C6" s="21" t="s">
        <v>70</v>
      </c>
      <c r="D6" s="22" t="s">
        <v>135</v>
      </c>
      <c r="E6" s="22" t="str">
        <f t="shared" si="0"/>
        <v>INDICA LA CLASIFICACIÓN DE CUENTA ESPECIAL ASIGNADA AL CLIENTE COMO RESULTADO DEL PROCESO DE EVALUACIÓN ACTUAL. PERMITE COMPARAR CONTRA LA CUENTA ESPECIAL ANTERIOR PARA IDENTIFICAR VARIACIONES.</v>
      </c>
      <c r="F6" s="22" t="s">
        <v>109</v>
      </c>
      <c r="G6" s="20" t="s">
        <v>62</v>
      </c>
      <c r="H6" s="20" t="s">
        <v>103</v>
      </c>
      <c r="I6" s="26" t="s">
        <v>110</v>
      </c>
      <c r="J6" s="20" t="s">
        <v>62</v>
      </c>
      <c r="K6" s="20" t="s">
        <v>100</v>
      </c>
      <c r="L6" s="20" t="s">
        <v>62</v>
      </c>
      <c r="M6" s="20" t="s">
        <v>62</v>
      </c>
    </row>
    <row r="7" spans="1:16">
      <c r="A7" s="20" t="s">
        <v>55</v>
      </c>
      <c r="B7" s="20" t="s">
        <v>56</v>
      </c>
      <c r="C7" s="21" t="s">
        <v>70</v>
      </c>
      <c r="D7" s="22" t="s">
        <v>136</v>
      </c>
      <c r="E7" s="22" t="str">
        <f t="shared" si="0"/>
        <v>SITUACIÓN ACTUAL DEL COMERCIO SEGÚN LA ÚLTIMA ACTUALIZACIÓN DISPONIBLE. ESTE VALOR REFLEJA EL ESTADO OPERATIVO VIGENTE AL MOMENTO DE EJECUCIÓN DEL PROCESO.</v>
      </c>
      <c r="F7" s="22" t="s">
        <v>114</v>
      </c>
      <c r="G7" s="20" t="s">
        <v>62</v>
      </c>
      <c r="H7" s="20" t="s">
        <v>103</v>
      </c>
      <c r="I7" s="26">
        <v>7</v>
      </c>
      <c r="J7" s="20" t="s">
        <v>62</v>
      </c>
      <c r="K7" s="20" t="s">
        <v>100</v>
      </c>
      <c r="L7" s="20" t="s">
        <v>62</v>
      </c>
      <c r="M7" s="20" t="s">
        <v>62</v>
      </c>
    </row>
    <row r="8" spans="1:16">
      <c r="A8" s="20" t="s">
        <v>55</v>
      </c>
      <c r="B8" s="20" t="s">
        <v>56</v>
      </c>
      <c r="C8" s="21" t="s">
        <v>70</v>
      </c>
      <c r="D8" s="22" t="s">
        <v>117</v>
      </c>
      <c r="E8" s="22" t="str">
        <f>UPPER(F8)</f>
        <v>RESULTADO DE LA COMPARACIÓN ENTRE EL SEGMENTO Y LA SITUACIÓN DEL MES ANTERIOR VERSUS EL ESTADO ACTUAL. VALORES POSIBLES: NUEVO, INACTIVO, CAMBIO_SEGMENTO, CAMBIO_SEGMENTO_NO_VALIDO, SIN_CAMBIO.</v>
      </c>
      <c r="F8" s="22" t="s">
        <v>118</v>
      </c>
      <c r="G8" s="20" t="s">
        <v>62</v>
      </c>
      <c r="H8" s="20" t="s">
        <v>103</v>
      </c>
      <c r="I8" s="26" t="s">
        <v>137</v>
      </c>
      <c r="J8" s="20" t="s">
        <v>62</v>
      </c>
      <c r="K8" s="20" t="s">
        <v>100</v>
      </c>
      <c r="L8" s="20" t="s">
        <v>62</v>
      </c>
      <c r="M8" s="20" t="s">
        <v>62</v>
      </c>
    </row>
    <row r="9" spans="1:16">
      <c r="A9" s="20" t="s">
        <v>55</v>
      </c>
      <c r="B9" s="20" t="s">
        <v>56</v>
      </c>
      <c r="C9" s="21" t="s">
        <v>70</v>
      </c>
      <c r="D9" s="22" t="s">
        <v>138</v>
      </c>
      <c r="E9" s="22" t="str">
        <f>UPPER(F9)</f>
        <v>RESULTADO DE LA COMPARACIÓN ENTRE EL SEGMENTO Y LA SITUACIÓN DEL MES ANTERIOR VERSUS EL ESTADO ACTUAL. VALORES POSIBLES: NUEVO, INACTIVO, CAMBIO_SEGMENTO, CAMBIO_SEGMENTO_NO_VALIDO, SIN_CAMBIO.</v>
      </c>
      <c r="F9" s="22" t="s">
        <v>118</v>
      </c>
      <c r="G9" s="20" t="s">
        <v>62</v>
      </c>
      <c r="H9" s="20" t="s">
        <v>99</v>
      </c>
      <c r="I9" s="26" t="s">
        <v>139</v>
      </c>
      <c r="J9" s="20" t="s">
        <v>62</v>
      </c>
      <c r="K9" s="20" t="s">
        <v>100</v>
      </c>
      <c r="L9" s="20" t="s">
        <v>62</v>
      </c>
      <c r="M9" s="20" t="s">
        <v>62</v>
      </c>
    </row>
    <row r="10" spans="1:16">
      <c r="A10" s="20" t="s">
        <v>55</v>
      </c>
      <c r="B10" s="20" t="s">
        <v>56</v>
      </c>
      <c r="C10" s="21" t="s">
        <v>70</v>
      </c>
      <c r="D10" s="22" t="s">
        <v>120</v>
      </c>
      <c r="E10" s="22" t="str">
        <f t="shared" si="0"/>
        <v>ACCIÓN A EJECUTAR SEGÚN EL TIPO DE CAMBIO DETECTADO EN EL COMERCIO. VALORES POSIBLES: CARGAR, EXTRAER, MANTENER. DEFINE LA OPERACIÓN QUE DEBE REALIZARSE EN LA PLATAFORMA DE DESTINO.</v>
      </c>
      <c r="F10" s="22" t="s">
        <v>121</v>
      </c>
      <c r="G10" s="20" t="s">
        <v>62</v>
      </c>
      <c r="H10" s="20" t="s">
        <v>103</v>
      </c>
      <c r="I10" s="26" t="s">
        <v>140</v>
      </c>
      <c r="J10" s="20" t="s">
        <v>62</v>
      </c>
      <c r="K10" s="20" t="s">
        <v>100</v>
      </c>
      <c r="L10" s="20" t="s">
        <v>62</v>
      </c>
      <c r="M10" s="20" t="s">
        <v>62</v>
      </c>
    </row>
    <row r="14" spans="1:16">
      <c r="P14" s="27"/>
    </row>
    <row r="15" spans="1:16">
      <c r="P15" s="27"/>
    </row>
    <row r="16" spans="1:16">
      <c r="P16" s="27"/>
    </row>
    <row r="17" spans="9:16">
      <c r="P17" s="27"/>
    </row>
    <row r="18" spans="9:16">
      <c r="P18" s="27"/>
    </row>
    <row r="19" spans="9:16">
      <c r="P19" s="27"/>
    </row>
    <row r="20" spans="9:16">
      <c r="P20" s="27"/>
    </row>
    <row r="21" spans="9:16">
      <c r="P21" s="27"/>
    </row>
    <row r="26" spans="9:16">
      <c r="I26" s="28"/>
    </row>
    <row r="27" spans="9:16">
      <c r="I27" s="28"/>
    </row>
    <row r="28" spans="9:16">
      <c r="I28" s="28"/>
    </row>
    <row r="29" spans="9:16">
      <c r="I29" s="28"/>
    </row>
    <row r="30" spans="9:16">
      <c r="I30" s="28"/>
    </row>
    <row r="31" spans="9:16">
      <c r="I31" s="28"/>
    </row>
    <row r="32" spans="9:16">
      <c r="I32" s="28"/>
    </row>
    <row r="33" spans="9:9">
      <c r="I33" s="2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3E09404-738D-4AFD-8C17-C584E4D4DA8E}"/>
</file>

<file path=customXml/itemProps2.xml><?xml version="1.0" encoding="utf-8"?>
<ds:datastoreItem xmlns:ds="http://schemas.openxmlformats.org/officeDocument/2006/customXml" ds:itemID="{FCB7F921-B723-4C15-9B1B-F767409F206E}"/>
</file>

<file path=customXml/itemProps3.xml><?xml version="1.0" encoding="utf-8"?>
<ds:datastoreItem xmlns:ds="http://schemas.openxmlformats.org/officeDocument/2006/customXml" ds:itemID="{E85006A4-5124-4F73-8C0E-FFC53E12458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Carol Gomez</cp:lastModifiedBy>
  <cp:revision/>
  <dcterms:created xsi:type="dcterms:W3CDTF">2015-06-05T18:19:34Z</dcterms:created>
  <dcterms:modified xsi:type="dcterms:W3CDTF">2026-02-17T15:40:15Z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