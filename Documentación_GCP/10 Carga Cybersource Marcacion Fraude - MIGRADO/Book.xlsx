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/>
  <xr:revisionPtr revIDLastSave="118" documentId="11_559F2A146122B8BA9472FD8642B85A3B761FE87E" xr6:coauthVersionLast="47" xr6:coauthVersionMax="47" xr10:uidLastSave="{35F3E426-C293-4CE2-92D1-7B22D6FDBED2}"/>
  <bookViews>
    <workbookView xWindow="240" yWindow="105" windowWidth="14805" windowHeight="8010" activeTab="2" xr2:uid="{00000000-000D-0000-FFFF-FFFF00000000}"/>
  </bookViews>
  <sheets>
    <sheet name="BigLake" sheetId="1" r:id="rId1"/>
    <sheet name="Raw" sheetId="2" r:id="rId2"/>
    <sheet name="maste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3" l="1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D32" i="1"/>
  <c r="D31" i="1"/>
  <c r="D18" i="1"/>
  <c r="D5" i="1"/>
</calcChain>
</file>

<file path=xl/sharedStrings.xml><?xml version="1.0" encoding="utf-8"?>
<sst xmlns="http://schemas.openxmlformats.org/spreadsheetml/2006/main" count="783" uniqueCount="171">
  <si>
    <t>field name</t>
  </si>
  <si>
    <t>mode</t>
  </si>
  <si>
    <t>type</t>
  </si>
  <si>
    <t>description</t>
  </si>
  <si>
    <t>process_date</t>
  </si>
  <si>
    <t>REQUIRED</t>
  </si>
  <si>
    <t>DATE</t>
  </si>
  <si>
    <t>Fecha de foto/datos configurada en el ETL para la extracción de datos, corresponde a la foto del día anterior (D-1)</t>
  </si>
  <si>
    <t>nombre_de_registro</t>
  </si>
  <si>
    <t>NULLABLE</t>
  </si>
  <si>
    <t>INTEGER</t>
  </si>
  <si>
    <t>nombre_registro</t>
  </si>
  <si>
    <t>STRING</t>
  </si>
  <si>
    <t>Identificación o nombre asignado al registro de la marca de fraude.</t>
  </si>
  <si>
    <t>fecha_de_creaci_n</t>
  </si>
  <si>
    <t>fecha_creacion</t>
  </si>
  <si>
    <t>Fecha en que se creó el registro en el sistema.</t>
  </si>
  <si>
    <t>creado_por</t>
  </si>
  <si>
    <t>Usuario o sistema que generó el registro de marca.</t>
  </si>
  <si>
    <t>id_de_grupo</t>
  </si>
  <si>
    <t>id_grupo</t>
  </si>
  <si>
    <t>Identificador único del grupo asociado al registro (puede ser un grupo de análisis, región, etc.).</t>
  </si>
  <si>
    <t>id_del_comercio</t>
  </si>
  <si>
    <t>id_comercio</t>
  </si>
  <si>
    <t>Identificador único del comercio donde ocurrió la transacción.</t>
  </si>
  <si>
    <t>id_de_la_cuenta_del_cliente</t>
  </si>
  <si>
    <t>id_cuenta_cliente</t>
  </si>
  <si>
    <t>Identificador único asociado a la cuenta del cliente involucrado en la transacción.</t>
  </si>
  <si>
    <t>tel_fono_de_facturaci_n</t>
  </si>
  <si>
    <t>telefono_facturacion</t>
  </si>
  <si>
    <t>BYTES</t>
  </si>
  <si>
    <t>Número de teléfono proporcionado para la facturación.</t>
  </si>
  <si>
    <t>tel_fono_de_env_o</t>
  </si>
  <si>
    <t>telefono_envio</t>
  </si>
  <si>
    <t>Número de teléfono proporcionado para el envío.</t>
  </si>
  <si>
    <t>tipo_de_pago</t>
  </si>
  <si>
    <t>tipo_pago</t>
  </si>
  <si>
    <t>Método de pago utilizado en la transacción (e.g., tarjeta de crédito, débito, etc.).</t>
  </si>
  <si>
    <t>sufijo_de_cuenta</t>
  </si>
  <si>
    <t>sufijo_cuenta</t>
  </si>
  <si>
    <t>Últimos dígitos de la cuenta o tarjeta utilizada en la transacción.</t>
  </si>
  <si>
    <t>n_mero_de_bin_de_tarjeta_de_cr_dito</t>
  </si>
  <si>
    <t>bin_tarjeta_credito</t>
  </si>
  <si>
    <t>Los primeros seis dígitos de la tarjeta de crédito, que identifican el banco emisor.</t>
  </si>
  <si>
    <t>correo_electr_nico</t>
  </si>
  <si>
    <t>correo</t>
  </si>
  <si>
    <t>Dirección de correo electrónico asociada a la cuenta o transacción.</t>
  </si>
  <si>
    <t>dominio_de_correo_electr_nico</t>
  </si>
  <si>
    <t>dominio_correo</t>
  </si>
  <si>
    <t>Dominio del correo electrónico (e.g., gmail.com, yahoo.com).</t>
  </si>
  <si>
    <t>direcci_n_1</t>
  </si>
  <si>
    <t>direccion_1</t>
  </si>
  <si>
    <t>Primera línea de la dirección asociada al cliente o la transacción.</t>
  </si>
  <si>
    <t>direcci_n_2</t>
  </si>
  <si>
    <t>direccion_2</t>
  </si>
  <si>
    <t>Segunda línea de la dirección (opcional).</t>
  </si>
  <si>
    <t>ciudad</t>
  </si>
  <si>
    <t>Ciudad asociada a la dirección del cliente o transacción.</t>
  </si>
  <si>
    <t>estado_provincia_territorio</t>
  </si>
  <si>
    <t>provincia</t>
  </si>
  <si>
    <t>Provincia, estado o región de la dirección del cliente o transacción.</t>
  </si>
  <si>
    <t>c_digo_postal</t>
  </si>
  <si>
    <t>codigo_postal</t>
  </si>
  <si>
    <t>Código postal de la dirección del cliente o transacción.</t>
  </si>
  <si>
    <t>pa_s_regi_n</t>
  </si>
  <si>
    <t>pais_region</t>
  </si>
  <si>
    <t>País o región asociado a la dirección del cliente o transacción.</t>
  </si>
  <si>
    <t>direcci_n_ip</t>
  </si>
  <si>
    <t>direccion_ip</t>
  </si>
  <si>
    <t>Dirección IP del dispositivo utilizado para realizar la transacción.</t>
  </si>
  <si>
    <t>ip_de_red</t>
  </si>
  <si>
    <t>ip_red</t>
  </si>
  <si>
    <t>Segmento de red al que pertenece la dirección IP utilizada.</t>
  </si>
  <si>
    <t>pa_s_regi_n_de_bin_de_tarjeta_de_cr_dito</t>
  </si>
  <si>
    <t>pais_region_bin_tarjeta</t>
  </si>
  <si>
    <t>País o región asociado al BIN de la tarjeta utilizada.</t>
  </si>
  <si>
    <t>pa_s_regi_n_de_la_ip</t>
  </si>
  <si>
    <t>pais_region_ip</t>
  </si>
  <si>
    <t>País o región asociado a la dirección IP utilizada en la transacción.</t>
  </si>
  <si>
    <t>pa_s_regi_n_de_correo_electr_nico_del_cliente</t>
  </si>
  <si>
    <t>pais_region_correo</t>
  </si>
  <si>
    <t>País o región asociado al dominio del correo electrónico.</t>
  </si>
  <si>
    <t>huella_digital_del_dispositivo</t>
  </si>
  <si>
    <t>huella_digital_dispositivo</t>
  </si>
  <si>
    <t>Identificador único generado a partir de las características del dispositivo utilizado en la transacción.</t>
  </si>
  <si>
    <t>motivo_de_marca</t>
  </si>
  <si>
    <t>motivo_marca</t>
  </si>
  <si>
    <t>Razón específica por la cual se marcó la transacción como sospechosa o fraudulenta.</t>
  </si>
  <si>
    <t>notas_de_marca</t>
  </si>
  <si>
    <t>notas_marca</t>
  </si>
  <si>
    <t>Notas adicionales relacionadas con la marca de fraude.</t>
  </si>
  <si>
    <t>id_de_solicitud_de_marca</t>
  </si>
  <si>
    <t>id_solicitud_marca</t>
  </si>
  <si>
    <t>Identificador único de la solicitud asociada a la marca de fraude.</t>
  </si>
  <si>
    <t>cpf_cnpj</t>
  </si>
  <si>
    <t>Identificador fiscal del cliente (específico para Brasil, CPF para personas físicas y CNPJ para empresas).</t>
  </si>
  <si>
    <t>id_inteligente</t>
  </si>
  <si>
    <t>Identificador generado por sistemas de inteligencia de fraude, basado en patrones o análisis.</t>
  </si>
  <si>
    <t>fecha_de__ltimo_uso</t>
  </si>
  <si>
    <t>fecha_ultimo_uso</t>
  </si>
  <si>
    <t>Fecha de la última actividad o uso de la información marcada.</t>
  </si>
  <si>
    <t>record_source</t>
  </si>
  <si>
    <t>Dato de Auditoría: Descripción del aplicativo origen de los datos.</t>
  </si>
  <si>
    <t>load_date</t>
  </si>
  <si>
    <t>TIMESTAMP</t>
  </si>
  <si>
    <t>Fecha y hora de inserción del registro en el modelo</t>
  </si>
  <si>
    <t>creation_user</t>
  </si>
  <si>
    <t>Usuario que crea el registro en la BD</t>
  </si>
  <si>
    <t>field name_BigLake</t>
  </si>
  <si>
    <t>Equivalent</t>
  </si>
  <si>
    <t>field_temp</t>
  </si>
  <si>
    <t>type_temp</t>
  </si>
  <si>
    <t>field name_Raw</t>
  </si>
  <si>
    <t>date</t>
  </si>
  <si>
    <t>,cast(</t>
  </si>
  <si>
    <t xml:space="preserve"> as </t>
  </si>
  <si>
    <t xml:space="preserve">) as </t>
  </si>
  <si>
    <t>Nombre_de_registro</t>
  </si>
  <si>
    <t>string</t>
  </si>
  <si>
    <t>Fecha_de_creaci_n</t>
  </si>
  <si>
    <t>Creado_por</t>
  </si>
  <si>
    <t>ID_de_grupo</t>
  </si>
  <si>
    <t>ID_del_comercio</t>
  </si>
  <si>
    <t>ID_de_la_cuenta_del_cliente</t>
  </si>
  <si>
    <t>Tel_fono_de_facturaci_n</t>
  </si>
  <si>
    <t>bytes</t>
  </si>
  <si>
    <t>Tel_fono_de_env_o</t>
  </si>
  <si>
    <t>Tipo_de_pago</t>
  </si>
  <si>
    <t>Sufijo_de_cuenta</t>
  </si>
  <si>
    <t>N_mero_de_BIN_de_tarjeta_de_cr_dito</t>
  </si>
  <si>
    <t>Correo_electr_nico</t>
  </si>
  <si>
    <t>Dominio_de_correo_electr_nico</t>
  </si>
  <si>
    <t>Direcci_n_1</t>
  </si>
  <si>
    <t>Direcci_n_2</t>
  </si>
  <si>
    <t>Ciudad</t>
  </si>
  <si>
    <t>Estado_Provincia_Territorio</t>
  </si>
  <si>
    <t>C_digo_postal</t>
  </si>
  <si>
    <t>Pa_s_Regi_n</t>
  </si>
  <si>
    <t>Direcci_n_IP</t>
  </si>
  <si>
    <t>IP_de_red</t>
  </si>
  <si>
    <t>Pa_s_Regi_n_de_BIN_de_tarjeta_de_cr_dito</t>
  </si>
  <si>
    <t>Pa_s_Regi_n_de_la_IP</t>
  </si>
  <si>
    <t>Pa_s_Regi_n_de_correo_electr_nico_del_cliente</t>
  </si>
  <si>
    <t>Huella_digital_del_dispositivo</t>
  </si>
  <si>
    <t>Motivo_de_marca</t>
  </si>
  <si>
    <t>Notas_de_marca</t>
  </si>
  <si>
    <t>ID_de_solicitud_de_marca</t>
  </si>
  <si>
    <t>CPF_CNPJ</t>
  </si>
  <si>
    <t>ID_inteligente</t>
  </si>
  <si>
    <t>Fecha_de__ltimo_uso</t>
  </si>
  <si>
    <t>timestamp</t>
  </si>
  <si>
    <t>target_column</t>
  </si>
  <si>
    <t>source</t>
  </si>
  <si>
    <t>source_column</t>
  </si>
  <si>
    <t>searchnegativelistresults</t>
  </si>
  <si>
    <t>nom_registro_marca_fraude</t>
  </si>
  <si>
    <t>usuario_registro_marca</t>
  </si>
  <si>
    <t>ident_unico_grupo</t>
  </si>
  <si>
    <t>ident_unico_comercio</t>
  </si>
  <si>
    <t>ident_unico_cuenta_cliente</t>
  </si>
  <si>
    <t>metodo_pago</t>
  </si>
  <si>
    <t>ult_digitos_tarjeta</t>
  </si>
  <si>
    <t>bin</t>
  </si>
  <si>
    <t>primera_linea_correo</t>
  </si>
  <si>
    <t>segunda_linea_correo</t>
  </si>
  <si>
    <t>pais</t>
  </si>
  <si>
    <t>segmento_red</t>
  </si>
  <si>
    <t>pais_bin</t>
  </si>
  <si>
    <t>pais_ip</t>
  </si>
  <si>
    <t>pais_dominio_correo</t>
  </si>
  <si>
    <t>nota_marca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</si>
</sst>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6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opLeftCell="A4" workbookViewId="0">
      <selection activeCell="D3" sqref="D3:D33"/>
    </sheetView>
  </sheetViews>
  <sheetFormatPr defaultRowHeight="15"/>
  <cols>
    <col min="1" max="1" width="36.5703125" bestFit="1" customWidth="1"/>
    <col min="2" max="2" width="9.85546875" bestFit="1" customWidth="1"/>
    <col min="4" max="4" width="10.5703125" bestFit="1" customWidth="1"/>
    <col min="7" max="7" width="22.42578125" bestFit="1" customWidth="1"/>
    <col min="8" max="8" width="10" bestFit="1" customWidth="1"/>
    <col min="9" max="9" width="10.85546875" bestFit="1" customWidth="1"/>
    <col min="10" max="10" width="36.5703125" bestFit="1" customWidth="1"/>
  </cols>
  <sheetData>
    <row r="1" spans="1:10">
      <c r="A1" s="1" t="s">
        <v>0</v>
      </c>
      <c r="B1" t="s">
        <v>1</v>
      </c>
      <c r="C1" t="s">
        <v>2</v>
      </c>
      <c r="D1" t="s">
        <v>3</v>
      </c>
      <c r="G1" t="s">
        <v>0</v>
      </c>
      <c r="H1" t="s">
        <v>1</v>
      </c>
      <c r="I1" t="s">
        <v>2</v>
      </c>
      <c r="J1" s="1" t="s">
        <v>3</v>
      </c>
    </row>
    <row r="2" spans="1:10" ht="32.25">
      <c r="A2" s="1"/>
      <c r="G2" t="s">
        <v>4</v>
      </c>
      <c r="H2" t="s">
        <v>5</v>
      </c>
      <c r="I2" t="s">
        <v>6</v>
      </c>
      <c r="J2" s="2" t="s">
        <v>7</v>
      </c>
    </row>
    <row r="3" spans="1:10" ht="21.75">
      <c r="A3" s="1" t="s">
        <v>8</v>
      </c>
      <c r="B3" t="s">
        <v>9</v>
      </c>
      <c r="C3" t="s">
        <v>10</v>
      </c>
      <c r="D3" t="s">
        <v>11</v>
      </c>
      <c r="G3" t="s">
        <v>11</v>
      </c>
      <c r="I3" t="s">
        <v>12</v>
      </c>
      <c r="J3" s="2" t="s">
        <v>13</v>
      </c>
    </row>
    <row r="4" spans="1:10">
      <c r="A4" s="1" t="s">
        <v>14</v>
      </c>
      <c r="B4" t="s">
        <v>9</v>
      </c>
      <c r="C4" t="s">
        <v>12</v>
      </c>
      <c r="D4" t="s">
        <v>15</v>
      </c>
      <c r="G4" t="s">
        <v>15</v>
      </c>
      <c r="I4" t="s">
        <v>12</v>
      </c>
      <c r="J4" s="2" t="s">
        <v>16</v>
      </c>
    </row>
    <row r="5" spans="1:10">
      <c r="A5" s="1" t="s">
        <v>17</v>
      </c>
      <c r="B5" t="s">
        <v>9</v>
      </c>
      <c r="C5" t="s">
        <v>12</v>
      </c>
      <c r="D5" t="str">
        <f t="shared" ref="D4:D33" si="0">+VLOOKUP(A5,G:G,1,FALSE)</f>
        <v>creado_por</v>
      </c>
      <c r="G5" t="s">
        <v>17</v>
      </c>
      <c r="I5" t="s">
        <v>12</v>
      </c>
      <c r="J5" s="2" t="s">
        <v>18</v>
      </c>
    </row>
    <row r="6" spans="1:10" ht="21.75">
      <c r="A6" s="1" t="s">
        <v>19</v>
      </c>
      <c r="B6" t="s">
        <v>9</v>
      </c>
      <c r="C6" t="s">
        <v>12</v>
      </c>
      <c r="D6" t="s">
        <v>20</v>
      </c>
      <c r="G6" t="s">
        <v>20</v>
      </c>
      <c r="I6" t="s">
        <v>12</v>
      </c>
      <c r="J6" s="2" t="s">
        <v>21</v>
      </c>
    </row>
    <row r="7" spans="1:10" ht="21.75">
      <c r="A7" s="1" t="s">
        <v>22</v>
      </c>
      <c r="B7" t="s">
        <v>9</v>
      </c>
      <c r="C7" t="s">
        <v>12</v>
      </c>
      <c r="D7" t="s">
        <v>23</v>
      </c>
      <c r="G7" t="s">
        <v>23</v>
      </c>
      <c r="I7" t="s">
        <v>12</v>
      </c>
      <c r="J7" s="2" t="s">
        <v>24</v>
      </c>
    </row>
    <row r="8" spans="1:10" ht="21.75">
      <c r="A8" s="1" t="s">
        <v>25</v>
      </c>
      <c r="B8" t="s">
        <v>9</v>
      </c>
      <c r="C8" t="s">
        <v>10</v>
      </c>
      <c r="D8" t="s">
        <v>26</v>
      </c>
      <c r="G8" t="s">
        <v>26</v>
      </c>
      <c r="I8" t="s">
        <v>12</v>
      </c>
      <c r="J8" s="2" t="s">
        <v>27</v>
      </c>
    </row>
    <row r="9" spans="1:10">
      <c r="A9" s="1" t="s">
        <v>28</v>
      </c>
      <c r="B9" t="s">
        <v>9</v>
      </c>
      <c r="C9" t="s">
        <v>10</v>
      </c>
      <c r="D9" t="s">
        <v>29</v>
      </c>
      <c r="G9" t="s">
        <v>29</v>
      </c>
      <c r="I9" t="s">
        <v>30</v>
      </c>
      <c r="J9" s="2" t="s">
        <v>31</v>
      </c>
    </row>
    <row r="10" spans="1:10">
      <c r="A10" s="1" t="s">
        <v>32</v>
      </c>
      <c r="B10" t="s">
        <v>9</v>
      </c>
      <c r="C10" t="s">
        <v>10</v>
      </c>
      <c r="D10" t="s">
        <v>33</v>
      </c>
      <c r="G10" t="s">
        <v>33</v>
      </c>
      <c r="I10" t="s">
        <v>30</v>
      </c>
      <c r="J10" s="2" t="s">
        <v>34</v>
      </c>
    </row>
    <row r="11" spans="1:10" ht="21.75">
      <c r="A11" s="1" t="s">
        <v>35</v>
      </c>
      <c r="B11" t="s">
        <v>9</v>
      </c>
      <c r="C11" t="s">
        <v>12</v>
      </c>
      <c r="D11" t="s">
        <v>36</v>
      </c>
      <c r="G11" t="s">
        <v>36</v>
      </c>
      <c r="I11" t="s">
        <v>12</v>
      </c>
      <c r="J11" s="2" t="s">
        <v>37</v>
      </c>
    </row>
    <row r="12" spans="1:10" ht="21.75">
      <c r="A12" s="1" t="s">
        <v>38</v>
      </c>
      <c r="B12" t="s">
        <v>9</v>
      </c>
      <c r="C12" t="s">
        <v>12</v>
      </c>
      <c r="D12" t="s">
        <v>39</v>
      </c>
      <c r="G12" t="s">
        <v>39</v>
      </c>
      <c r="I12" t="s">
        <v>12</v>
      </c>
      <c r="J12" s="2" t="s">
        <v>40</v>
      </c>
    </row>
    <row r="13" spans="1:10" ht="21.75">
      <c r="A13" s="1" t="s">
        <v>41</v>
      </c>
      <c r="B13" t="s">
        <v>9</v>
      </c>
      <c r="C13" t="s">
        <v>10</v>
      </c>
      <c r="D13" t="s">
        <v>42</v>
      </c>
      <c r="G13" t="s">
        <v>42</v>
      </c>
      <c r="I13" t="s">
        <v>12</v>
      </c>
      <c r="J13" s="2" t="s">
        <v>43</v>
      </c>
    </row>
    <row r="14" spans="1:10" ht="21.75">
      <c r="A14" s="1" t="s">
        <v>44</v>
      </c>
      <c r="B14" t="s">
        <v>9</v>
      </c>
      <c r="C14" t="s">
        <v>12</v>
      </c>
      <c r="D14" t="s">
        <v>45</v>
      </c>
      <c r="G14" t="s">
        <v>45</v>
      </c>
      <c r="I14" t="s">
        <v>30</v>
      </c>
      <c r="J14" s="2" t="s">
        <v>46</v>
      </c>
    </row>
    <row r="15" spans="1:10" ht="21.75">
      <c r="A15" s="1" t="s">
        <v>47</v>
      </c>
      <c r="B15" t="s">
        <v>9</v>
      </c>
      <c r="C15" t="s">
        <v>10</v>
      </c>
      <c r="D15" t="s">
        <v>48</v>
      </c>
      <c r="G15" t="s">
        <v>48</v>
      </c>
      <c r="I15" t="s">
        <v>12</v>
      </c>
      <c r="J15" s="2" t="s">
        <v>49</v>
      </c>
    </row>
    <row r="16" spans="1:10" ht="21.75">
      <c r="A16" s="1" t="s">
        <v>50</v>
      </c>
      <c r="B16" t="s">
        <v>9</v>
      </c>
      <c r="C16" t="s">
        <v>10</v>
      </c>
      <c r="D16" t="s">
        <v>51</v>
      </c>
      <c r="G16" t="s">
        <v>51</v>
      </c>
      <c r="I16" t="s">
        <v>12</v>
      </c>
      <c r="J16" s="2" t="s">
        <v>52</v>
      </c>
    </row>
    <row r="17" spans="1:10">
      <c r="A17" s="1" t="s">
        <v>53</v>
      </c>
      <c r="B17" t="s">
        <v>9</v>
      </c>
      <c r="C17" t="s">
        <v>10</v>
      </c>
      <c r="D17" t="s">
        <v>54</v>
      </c>
      <c r="G17" t="s">
        <v>54</v>
      </c>
      <c r="I17" t="s">
        <v>12</v>
      </c>
      <c r="J17" s="2" t="s">
        <v>55</v>
      </c>
    </row>
    <row r="18" spans="1:10">
      <c r="A18" s="1" t="s">
        <v>56</v>
      </c>
      <c r="B18" t="s">
        <v>9</v>
      </c>
      <c r="C18" t="s">
        <v>10</v>
      </c>
      <c r="D18" t="str">
        <f t="shared" si="0"/>
        <v>ciudad</v>
      </c>
      <c r="G18" t="s">
        <v>56</v>
      </c>
      <c r="I18" t="s">
        <v>12</v>
      </c>
      <c r="J18" s="2" t="s">
        <v>57</v>
      </c>
    </row>
    <row r="19" spans="1:10" ht="21.75">
      <c r="A19" s="1" t="s">
        <v>58</v>
      </c>
      <c r="B19" t="s">
        <v>9</v>
      </c>
      <c r="C19" t="s">
        <v>10</v>
      </c>
      <c r="D19" t="s">
        <v>59</v>
      </c>
      <c r="G19" t="s">
        <v>59</v>
      </c>
      <c r="I19" t="s">
        <v>12</v>
      </c>
      <c r="J19" s="2" t="s">
        <v>60</v>
      </c>
    </row>
    <row r="20" spans="1:10">
      <c r="A20" s="1" t="s">
        <v>61</v>
      </c>
      <c r="B20" t="s">
        <v>9</v>
      </c>
      <c r="C20" t="s">
        <v>10</v>
      </c>
      <c r="D20" t="s">
        <v>62</v>
      </c>
      <c r="G20" t="s">
        <v>62</v>
      </c>
      <c r="I20" t="s">
        <v>12</v>
      </c>
      <c r="J20" s="2" t="s">
        <v>63</v>
      </c>
    </row>
    <row r="21" spans="1:10" ht="21.75">
      <c r="A21" s="1" t="s">
        <v>64</v>
      </c>
      <c r="B21" t="s">
        <v>9</v>
      </c>
      <c r="C21" t="s">
        <v>10</v>
      </c>
      <c r="D21" t="s">
        <v>65</v>
      </c>
      <c r="G21" t="s">
        <v>65</v>
      </c>
      <c r="I21" t="s">
        <v>12</v>
      </c>
      <c r="J21" s="2" t="s">
        <v>66</v>
      </c>
    </row>
    <row r="22" spans="1:10" ht="21.75">
      <c r="A22" s="1" t="s">
        <v>67</v>
      </c>
      <c r="B22" t="s">
        <v>9</v>
      </c>
      <c r="C22" t="s">
        <v>10</v>
      </c>
      <c r="D22" t="s">
        <v>68</v>
      </c>
      <c r="G22" t="s">
        <v>68</v>
      </c>
      <c r="I22" t="s">
        <v>30</v>
      </c>
      <c r="J22" s="2" t="s">
        <v>69</v>
      </c>
    </row>
    <row r="23" spans="1:10" ht="21.75">
      <c r="A23" s="1" t="s">
        <v>70</v>
      </c>
      <c r="B23" t="s">
        <v>9</v>
      </c>
      <c r="C23" t="s">
        <v>10</v>
      </c>
      <c r="D23" t="s">
        <v>71</v>
      </c>
      <c r="G23" t="s">
        <v>71</v>
      </c>
      <c r="I23" t="s">
        <v>12</v>
      </c>
      <c r="J23" s="2" t="s">
        <v>72</v>
      </c>
    </row>
    <row r="24" spans="1:10">
      <c r="A24" s="1" t="s">
        <v>73</v>
      </c>
      <c r="B24" t="s">
        <v>9</v>
      </c>
      <c r="C24" t="s">
        <v>10</v>
      </c>
      <c r="D24" t="s">
        <v>74</v>
      </c>
      <c r="G24" t="s">
        <v>74</v>
      </c>
      <c r="I24" t="s">
        <v>12</v>
      </c>
      <c r="J24" s="2" t="s">
        <v>75</v>
      </c>
    </row>
    <row r="25" spans="1:10" ht="21.75">
      <c r="A25" s="1" t="s">
        <v>76</v>
      </c>
      <c r="B25" t="s">
        <v>9</v>
      </c>
      <c r="C25" t="s">
        <v>10</v>
      </c>
      <c r="D25" t="s">
        <v>77</v>
      </c>
      <c r="G25" t="s">
        <v>77</v>
      </c>
      <c r="I25" t="s">
        <v>12</v>
      </c>
      <c r="J25" s="2" t="s">
        <v>78</v>
      </c>
    </row>
    <row r="26" spans="1:10" ht="29.25">
      <c r="A26" s="1" t="s">
        <v>79</v>
      </c>
      <c r="B26" t="s">
        <v>9</v>
      </c>
      <c r="C26" t="s">
        <v>10</v>
      </c>
      <c r="D26" t="s">
        <v>80</v>
      </c>
      <c r="G26" t="s">
        <v>80</v>
      </c>
      <c r="I26" t="s">
        <v>12</v>
      </c>
      <c r="J26" s="2" t="s">
        <v>81</v>
      </c>
    </row>
    <row r="27" spans="1:10" ht="21.75">
      <c r="A27" s="1" t="s">
        <v>82</v>
      </c>
      <c r="B27" t="s">
        <v>9</v>
      </c>
      <c r="C27" t="s">
        <v>12</v>
      </c>
      <c r="D27" t="s">
        <v>83</v>
      </c>
      <c r="G27" t="s">
        <v>83</v>
      </c>
      <c r="I27" t="s">
        <v>12</v>
      </c>
      <c r="J27" s="2" t="s">
        <v>84</v>
      </c>
    </row>
    <row r="28" spans="1:10" ht="21.75">
      <c r="A28" s="1" t="s">
        <v>85</v>
      </c>
      <c r="B28" t="s">
        <v>9</v>
      </c>
      <c r="C28" t="s">
        <v>12</v>
      </c>
      <c r="D28" t="s">
        <v>86</v>
      </c>
      <c r="G28" t="s">
        <v>86</v>
      </c>
      <c r="I28" t="s">
        <v>12</v>
      </c>
      <c r="J28" s="2" t="s">
        <v>87</v>
      </c>
    </row>
    <row r="29" spans="1:10">
      <c r="A29" s="1" t="s">
        <v>88</v>
      </c>
      <c r="B29" t="s">
        <v>9</v>
      </c>
      <c r="C29" t="s">
        <v>12</v>
      </c>
      <c r="D29" t="s">
        <v>89</v>
      </c>
      <c r="G29" t="s">
        <v>89</v>
      </c>
      <c r="I29" t="s">
        <v>12</v>
      </c>
      <c r="J29" s="2" t="s">
        <v>90</v>
      </c>
    </row>
    <row r="30" spans="1:10" ht="21.75">
      <c r="A30" s="1" t="s">
        <v>91</v>
      </c>
      <c r="B30" t="s">
        <v>9</v>
      </c>
      <c r="C30" t="s">
        <v>12</v>
      </c>
      <c r="D30" t="s">
        <v>92</v>
      </c>
      <c r="G30" t="s">
        <v>92</v>
      </c>
      <c r="I30" t="s">
        <v>12</v>
      </c>
      <c r="J30" s="2" t="s">
        <v>93</v>
      </c>
    </row>
    <row r="31" spans="1:10" ht="21.75">
      <c r="A31" s="1" t="s">
        <v>94</v>
      </c>
      <c r="B31" t="s">
        <v>9</v>
      </c>
      <c r="C31" t="s">
        <v>10</v>
      </c>
      <c r="D31" t="str">
        <f t="shared" si="0"/>
        <v>cpf_cnpj</v>
      </c>
      <c r="G31" t="s">
        <v>94</v>
      </c>
      <c r="I31" t="s">
        <v>12</v>
      </c>
      <c r="J31" s="2" t="s">
        <v>95</v>
      </c>
    </row>
    <row r="32" spans="1:10" ht="21.75">
      <c r="A32" s="1" t="s">
        <v>96</v>
      </c>
      <c r="B32" t="s">
        <v>9</v>
      </c>
      <c r="C32" t="s">
        <v>10</v>
      </c>
      <c r="D32" t="str">
        <f t="shared" si="0"/>
        <v>id_inteligente</v>
      </c>
      <c r="G32" t="s">
        <v>96</v>
      </c>
      <c r="I32" t="s">
        <v>12</v>
      </c>
      <c r="J32" s="2" t="s">
        <v>97</v>
      </c>
    </row>
    <row r="33" spans="1:10" ht="21.75">
      <c r="A33" s="1" t="s">
        <v>98</v>
      </c>
      <c r="B33" t="s">
        <v>9</v>
      </c>
      <c r="C33" t="s">
        <v>10</v>
      </c>
      <c r="D33" t="s">
        <v>99</v>
      </c>
      <c r="G33" t="s">
        <v>99</v>
      </c>
      <c r="I33" t="s">
        <v>12</v>
      </c>
      <c r="J33" s="2" t="s">
        <v>100</v>
      </c>
    </row>
    <row r="34" spans="1:10" ht="21.75">
      <c r="G34" t="s">
        <v>101</v>
      </c>
      <c r="I34" t="s">
        <v>12</v>
      </c>
      <c r="J34" s="2" t="s">
        <v>102</v>
      </c>
    </row>
    <row r="35" spans="1:10">
      <c r="G35" t="s">
        <v>103</v>
      </c>
      <c r="H35" t="s">
        <v>5</v>
      </c>
      <c r="I35" t="s">
        <v>104</v>
      </c>
      <c r="J35" s="2" t="s">
        <v>105</v>
      </c>
    </row>
    <row r="36" spans="1:10">
      <c r="G36" t="s">
        <v>106</v>
      </c>
      <c r="H36" t="s">
        <v>5</v>
      </c>
      <c r="I36" t="s">
        <v>12</v>
      </c>
      <c r="J36" s="2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7727C-2994-4779-9BE3-D053C8217A98}">
  <dimension ref="A1:O36"/>
  <sheetViews>
    <sheetView topLeftCell="B3" workbookViewId="0">
      <selection activeCell="N15" sqref="N15"/>
    </sheetView>
  </sheetViews>
  <sheetFormatPr defaultRowHeight="15"/>
  <cols>
    <col min="1" max="1" width="22.42578125" bestFit="1" customWidth="1"/>
    <col min="3" max="3" width="22.42578125" bestFit="1" customWidth="1"/>
    <col min="5" max="5" width="36.5703125" bestFit="1" customWidth="1"/>
    <col min="6" max="6" width="10.140625" bestFit="1" customWidth="1"/>
    <col min="8" max="8" width="22.42578125" bestFit="1" customWidth="1"/>
    <col min="9" max="9" width="10.140625" bestFit="1" customWidth="1"/>
    <col min="15" max="15" width="61.85546875" customWidth="1"/>
  </cols>
  <sheetData>
    <row r="1" spans="1:15">
      <c r="A1" s="3" t="s">
        <v>108</v>
      </c>
      <c r="B1" s="3" t="s">
        <v>2</v>
      </c>
      <c r="C1" s="3" t="s">
        <v>109</v>
      </c>
      <c r="D1" s="3"/>
      <c r="E1" s="3" t="s">
        <v>110</v>
      </c>
      <c r="F1" s="3" t="s">
        <v>111</v>
      </c>
      <c r="G1" s="3"/>
      <c r="H1" s="3" t="s">
        <v>112</v>
      </c>
      <c r="I1" s="3" t="s">
        <v>2</v>
      </c>
    </row>
    <row r="2" spans="1:15">
      <c r="H2" t="s">
        <v>4</v>
      </c>
      <c r="I2" t="s">
        <v>113</v>
      </c>
      <c r="K2" t="s">
        <v>114</v>
      </c>
      <c r="L2" t="s">
        <v>115</v>
      </c>
      <c r="M2" t="s">
        <v>116</v>
      </c>
      <c r="O2" t="str">
        <f>+_xlfn.CONCAT(K2,A2,L2,F2,M2,H2)</f>
        <v>,cast( as ) as process_date</v>
      </c>
    </row>
    <row r="3" spans="1:15">
      <c r="A3" t="s">
        <v>117</v>
      </c>
      <c r="B3" t="s">
        <v>10</v>
      </c>
      <c r="C3" t="s">
        <v>11</v>
      </c>
      <c r="E3" s="1" t="s">
        <v>8</v>
      </c>
      <c r="F3" t="s">
        <v>118</v>
      </c>
      <c r="H3" t="s">
        <v>11</v>
      </c>
      <c r="I3" t="s">
        <v>118</v>
      </c>
      <c r="K3" t="s">
        <v>114</v>
      </c>
      <c r="L3" t="s">
        <v>115</v>
      </c>
      <c r="M3" t="s">
        <v>116</v>
      </c>
      <c r="O3" t="str">
        <f t="shared" ref="O3:O36" si="0">+_xlfn.CONCAT(K3,A3,L3,F3,M3,H3)</f>
        <v>,cast(Nombre_de_registro as string) as nombre_registro</v>
      </c>
    </row>
    <row r="4" spans="1:15">
      <c r="A4" t="s">
        <v>119</v>
      </c>
      <c r="B4" t="s">
        <v>12</v>
      </c>
      <c r="C4" t="s">
        <v>15</v>
      </c>
      <c r="E4" s="1" t="s">
        <v>14</v>
      </c>
      <c r="F4" t="s">
        <v>118</v>
      </c>
      <c r="H4" t="s">
        <v>15</v>
      </c>
      <c r="I4" t="s">
        <v>118</v>
      </c>
      <c r="K4" t="s">
        <v>114</v>
      </c>
      <c r="L4" t="s">
        <v>115</v>
      </c>
      <c r="M4" t="s">
        <v>116</v>
      </c>
      <c r="O4" t="str">
        <f t="shared" si="0"/>
        <v>,cast(Fecha_de_creaci_n as string) as fecha_creacion</v>
      </c>
    </row>
    <row r="5" spans="1:15">
      <c r="A5" t="s">
        <v>120</v>
      </c>
      <c r="B5" t="s">
        <v>12</v>
      </c>
      <c r="C5" t="s">
        <v>17</v>
      </c>
      <c r="E5" s="1" t="s">
        <v>17</v>
      </c>
      <c r="F5" t="s">
        <v>118</v>
      </c>
      <c r="H5" t="s">
        <v>17</v>
      </c>
      <c r="I5" t="s">
        <v>118</v>
      </c>
      <c r="K5" t="s">
        <v>114</v>
      </c>
      <c r="L5" t="s">
        <v>115</v>
      </c>
      <c r="M5" t="s">
        <v>116</v>
      </c>
      <c r="O5" t="str">
        <f t="shared" si="0"/>
        <v>,cast(Creado_por as string) as creado_por</v>
      </c>
    </row>
    <row r="6" spans="1:15">
      <c r="A6" t="s">
        <v>121</v>
      </c>
      <c r="B6" t="s">
        <v>12</v>
      </c>
      <c r="C6" t="s">
        <v>20</v>
      </c>
      <c r="E6" s="1" t="s">
        <v>19</v>
      </c>
      <c r="F6" t="s">
        <v>118</v>
      </c>
      <c r="H6" t="s">
        <v>20</v>
      </c>
      <c r="I6" t="s">
        <v>118</v>
      </c>
      <c r="K6" t="s">
        <v>114</v>
      </c>
      <c r="L6" t="s">
        <v>115</v>
      </c>
      <c r="M6" t="s">
        <v>116</v>
      </c>
      <c r="O6" t="str">
        <f t="shared" si="0"/>
        <v>,cast(ID_de_grupo as string) as id_grupo</v>
      </c>
    </row>
    <row r="7" spans="1:15">
      <c r="A7" t="s">
        <v>122</v>
      </c>
      <c r="B7" t="s">
        <v>12</v>
      </c>
      <c r="C7" t="s">
        <v>23</v>
      </c>
      <c r="E7" s="1" t="s">
        <v>22</v>
      </c>
      <c r="F7" t="s">
        <v>118</v>
      </c>
      <c r="H7" t="s">
        <v>23</v>
      </c>
      <c r="I7" t="s">
        <v>118</v>
      </c>
      <c r="K7" t="s">
        <v>114</v>
      </c>
      <c r="L7" t="s">
        <v>115</v>
      </c>
      <c r="M7" t="s">
        <v>116</v>
      </c>
      <c r="O7" t="str">
        <f t="shared" si="0"/>
        <v>,cast(ID_del_comercio as string) as id_comercio</v>
      </c>
    </row>
    <row r="8" spans="1:15">
      <c r="A8" t="s">
        <v>123</v>
      </c>
      <c r="B8" t="s">
        <v>10</v>
      </c>
      <c r="C8" t="s">
        <v>26</v>
      </c>
      <c r="E8" s="1" t="s">
        <v>25</v>
      </c>
      <c r="F8" t="s">
        <v>118</v>
      </c>
      <c r="H8" t="s">
        <v>26</v>
      </c>
      <c r="I8" t="s">
        <v>118</v>
      </c>
      <c r="K8" t="s">
        <v>114</v>
      </c>
      <c r="L8" t="s">
        <v>115</v>
      </c>
      <c r="M8" t="s">
        <v>116</v>
      </c>
      <c r="O8" t="str">
        <f t="shared" si="0"/>
        <v>,cast(ID_de_la_cuenta_del_cliente as string) as id_cuenta_cliente</v>
      </c>
    </row>
    <row r="9" spans="1:15">
      <c r="A9" t="s">
        <v>124</v>
      </c>
      <c r="B9" t="s">
        <v>10</v>
      </c>
      <c r="C9" t="s">
        <v>29</v>
      </c>
      <c r="E9" s="1" t="s">
        <v>28</v>
      </c>
      <c r="F9" t="s">
        <v>118</v>
      </c>
      <c r="H9" t="s">
        <v>29</v>
      </c>
      <c r="I9" t="s">
        <v>125</v>
      </c>
      <c r="K9" t="s">
        <v>114</v>
      </c>
      <c r="L9" t="s">
        <v>115</v>
      </c>
      <c r="M9" t="s">
        <v>116</v>
      </c>
      <c r="O9" t="str">
        <f t="shared" si="0"/>
        <v>,cast(Tel_fono_de_facturaci_n as string) as telefono_facturacion</v>
      </c>
    </row>
    <row r="10" spans="1:15">
      <c r="A10" t="s">
        <v>126</v>
      </c>
      <c r="B10" t="s">
        <v>10</v>
      </c>
      <c r="C10" t="s">
        <v>33</v>
      </c>
      <c r="E10" s="1" t="s">
        <v>32</v>
      </c>
      <c r="F10" t="s">
        <v>118</v>
      </c>
      <c r="H10" t="s">
        <v>33</v>
      </c>
      <c r="I10" t="s">
        <v>125</v>
      </c>
      <c r="K10" t="s">
        <v>114</v>
      </c>
      <c r="L10" t="s">
        <v>115</v>
      </c>
      <c r="M10" t="s">
        <v>116</v>
      </c>
      <c r="O10" t="str">
        <f t="shared" si="0"/>
        <v>,cast(Tel_fono_de_env_o as string) as telefono_envio</v>
      </c>
    </row>
    <row r="11" spans="1:15">
      <c r="A11" t="s">
        <v>127</v>
      </c>
      <c r="B11" t="s">
        <v>12</v>
      </c>
      <c r="C11" t="s">
        <v>36</v>
      </c>
      <c r="E11" s="1" t="s">
        <v>35</v>
      </c>
      <c r="F11" t="s">
        <v>118</v>
      </c>
      <c r="H11" t="s">
        <v>36</v>
      </c>
      <c r="I11" t="s">
        <v>118</v>
      </c>
      <c r="K11" t="s">
        <v>114</v>
      </c>
      <c r="L11" t="s">
        <v>115</v>
      </c>
      <c r="M11" t="s">
        <v>116</v>
      </c>
      <c r="O11" t="str">
        <f t="shared" si="0"/>
        <v>,cast(Tipo_de_pago as string) as tipo_pago</v>
      </c>
    </row>
    <row r="12" spans="1:15">
      <c r="A12" t="s">
        <v>128</v>
      </c>
      <c r="B12" t="s">
        <v>12</v>
      </c>
      <c r="C12" t="s">
        <v>39</v>
      </c>
      <c r="E12" s="1" t="s">
        <v>38</v>
      </c>
      <c r="F12" t="s">
        <v>118</v>
      </c>
      <c r="H12" t="s">
        <v>39</v>
      </c>
      <c r="I12" t="s">
        <v>118</v>
      </c>
      <c r="K12" t="s">
        <v>114</v>
      </c>
      <c r="L12" t="s">
        <v>115</v>
      </c>
      <c r="M12" t="s">
        <v>116</v>
      </c>
      <c r="O12" t="str">
        <f t="shared" si="0"/>
        <v>,cast(Sufijo_de_cuenta as string) as sufijo_cuenta</v>
      </c>
    </row>
    <row r="13" spans="1:15">
      <c r="A13" t="s">
        <v>129</v>
      </c>
      <c r="B13" t="s">
        <v>10</v>
      </c>
      <c r="C13" t="s">
        <v>42</v>
      </c>
      <c r="E13" s="1" t="s">
        <v>41</v>
      </c>
      <c r="F13" t="s">
        <v>118</v>
      </c>
      <c r="H13" t="s">
        <v>42</v>
      </c>
      <c r="I13" t="s">
        <v>118</v>
      </c>
      <c r="K13" t="s">
        <v>114</v>
      </c>
      <c r="L13" t="s">
        <v>115</v>
      </c>
      <c r="M13" t="s">
        <v>116</v>
      </c>
      <c r="O13" t="str">
        <f t="shared" si="0"/>
        <v>,cast(N_mero_de_BIN_de_tarjeta_de_cr_dito as string) as bin_tarjeta_credito</v>
      </c>
    </row>
    <row r="14" spans="1:15">
      <c r="A14" t="s">
        <v>130</v>
      </c>
      <c r="B14" t="s">
        <v>12</v>
      </c>
      <c r="C14" t="s">
        <v>45</v>
      </c>
      <c r="E14" s="1" t="s">
        <v>44</v>
      </c>
      <c r="F14" t="s">
        <v>118</v>
      </c>
      <c r="H14" t="s">
        <v>45</v>
      </c>
      <c r="I14" t="s">
        <v>125</v>
      </c>
      <c r="K14" t="s">
        <v>114</v>
      </c>
      <c r="L14" t="s">
        <v>115</v>
      </c>
      <c r="M14" t="s">
        <v>116</v>
      </c>
      <c r="O14" t="str">
        <f t="shared" si="0"/>
        <v>,cast(Correo_electr_nico as string) as correo</v>
      </c>
    </row>
    <row r="15" spans="1:15">
      <c r="A15" t="s">
        <v>131</v>
      </c>
      <c r="B15" t="s">
        <v>10</v>
      </c>
      <c r="C15" t="s">
        <v>48</v>
      </c>
      <c r="E15" s="1" t="s">
        <v>47</v>
      </c>
      <c r="F15" t="s">
        <v>118</v>
      </c>
      <c r="H15" t="s">
        <v>48</v>
      </c>
      <c r="I15" t="s">
        <v>118</v>
      </c>
      <c r="K15" t="s">
        <v>114</v>
      </c>
      <c r="L15" t="s">
        <v>115</v>
      </c>
      <c r="M15" t="s">
        <v>116</v>
      </c>
      <c r="O15" t="str">
        <f t="shared" si="0"/>
        <v>,cast(Dominio_de_correo_electr_nico as string) as dominio_correo</v>
      </c>
    </row>
    <row r="16" spans="1:15">
      <c r="A16" t="s">
        <v>132</v>
      </c>
      <c r="B16" t="s">
        <v>10</v>
      </c>
      <c r="C16" t="s">
        <v>51</v>
      </c>
      <c r="E16" s="1" t="s">
        <v>50</v>
      </c>
      <c r="F16" t="s">
        <v>118</v>
      </c>
      <c r="H16" t="s">
        <v>51</v>
      </c>
      <c r="I16" t="s">
        <v>118</v>
      </c>
      <c r="K16" t="s">
        <v>114</v>
      </c>
      <c r="L16" t="s">
        <v>115</v>
      </c>
      <c r="M16" t="s">
        <v>116</v>
      </c>
      <c r="O16" t="str">
        <f t="shared" si="0"/>
        <v>,cast(Direcci_n_1 as string) as direccion_1</v>
      </c>
    </row>
    <row r="17" spans="1:15">
      <c r="A17" t="s">
        <v>133</v>
      </c>
      <c r="B17" t="s">
        <v>10</v>
      </c>
      <c r="C17" t="s">
        <v>54</v>
      </c>
      <c r="E17" s="1" t="s">
        <v>53</v>
      </c>
      <c r="F17" t="s">
        <v>118</v>
      </c>
      <c r="H17" t="s">
        <v>54</v>
      </c>
      <c r="I17" t="s">
        <v>118</v>
      </c>
      <c r="K17" t="s">
        <v>114</v>
      </c>
      <c r="L17" t="s">
        <v>115</v>
      </c>
      <c r="M17" t="s">
        <v>116</v>
      </c>
      <c r="O17" t="str">
        <f t="shared" si="0"/>
        <v>,cast(Direcci_n_2 as string) as direccion_2</v>
      </c>
    </row>
    <row r="18" spans="1:15">
      <c r="A18" t="s">
        <v>134</v>
      </c>
      <c r="B18" t="s">
        <v>10</v>
      </c>
      <c r="C18" t="s">
        <v>56</v>
      </c>
      <c r="E18" s="1" t="s">
        <v>56</v>
      </c>
      <c r="F18" t="s">
        <v>118</v>
      </c>
      <c r="H18" t="s">
        <v>56</v>
      </c>
      <c r="I18" t="s">
        <v>118</v>
      </c>
      <c r="K18" t="s">
        <v>114</v>
      </c>
      <c r="L18" t="s">
        <v>115</v>
      </c>
      <c r="M18" t="s">
        <v>116</v>
      </c>
      <c r="O18" t="str">
        <f t="shared" si="0"/>
        <v>,cast(Ciudad as string) as ciudad</v>
      </c>
    </row>
    <row r="19" spans="1:15">
      <c r="A19" t="s">
        <v>135</v>
      </c>
      <c r="B19" t="s">
        <v>10</v>
      </c>
      <c r="C19" t="s">
        <v>59</v>
      </c>
      <c r="E19" s="1" t="s">
        <v>58</v>
      </c>
      <c r="F19" t="s">
        <v>118</v>
      </c>
      <c r="H19" t="s">
        <v>59</v>
      </c>
      <c r="I19" t="s">
        <v>118</v>
      </c>
      <c r="K19" t="s">
        <v>114</v>
      </c>
      <c r="L19" t="s">
        <v>115</v>
      </c>
      <c r="M19" t="s">
        <v>116</v>
      </c>
      <c r="O19" t="str">
        <f t="shared" si="0"/>
        <v>,cast(Estado_Provincia_Territorio as string) as provincia</v>
      </c>
    </row>
    <row r="20" spans="1:15">
      <c r="A20" t="s">
        <v>136</v>
      </c>
      <c r="B20" t="s">
        <v>10</v>
      </c>
      <c r="C20" t="s">
        <v>62</v>
      </c>
      <c r="E20" s="1" t="s">
        <v>61</v>
      </c>
      <c r="F20" t="s">
        <v>118</v>
      </c>
      <c r="H20" t="s">
        <v>62</v>
      </c>
      <c r="I20" t="s">
        <v>118</v>
      </c>
      <c r="K20" t="s">
        <v>114</v>
      </c>
      <c r="L20" t="s">
        <v>115</v>
      </c>
      <c r="M20" t="s">
        <v>116</v>
      </c>
      <c r="O20" t="str">
        <f t="shared" si="0"/>
        <v>,cast(C_digo_postal as string) as codigo_postal</v>
      </c>
    </row>
    <row r="21" spans="1:15">
      <c r="A21" t="s">
        <v>137</v>
      </c>
      <c r="B21" t="s">
        <v>10</v>
      </c>
      <c r="C21" t="s">
        <v>65</v>
      </c>
      <c r="E21" s="1" t="s">
        <v>64</v>
      </c>
      <c r="F21" t="s">
        <v>118</v>
      </c>
      <c r="H21" t="s">
        <v>65</v>
      </c>
      <c r="I21" t="s">
        <v>118</v>
      </c>
      <c r="K21" t="s">
        <v>114</v>
      </c>
      <c r="L21" t="s">
        <v>115</v>
      </c>
      <c r="M21" t="s">
        <v>116</v>
      </c>
      <c r="O21" t="str">
        <f t="shared" si="0"/>
        <v>,cast(Pa_s_Regi_n as string) as pais_region</v>
      </c>
    </row>
    <row r="22" spans="1:15">
      <c r="A22" t="s">
        <v>138</v>
      </c>
      <c r="B22" t="s">
        <v>10</v>
      </c>
      <c r="C22" t="s">
        <v>68</v>
      </c>
      <c r="E22" s="1" t="s">
        <v>67</v>
      </c>
      <c r="F22" t="s">
        <v>118</v>
      </c>
      <c r="H22" t="s">
        <v>68</v>
      </c>
      <c r="I22" t="s">
        <v>125</v>
      </c>
      <c r="K22" t="s">
        <v>114</v>
      </c>
      <c r="L22" t="s">
        <v>115</v>
      </c>
      <c r="M22" t="s">
        <v>116</v>
      </c>
      <c r="O22" t="str">
        <f t="shared" si="0"/>
        <v>,cast(Direcci_n_IP as string) as direccion_ip</v>
      </c>
    </row>
    <row r="23" spans="1:15">
      <c r="A23" t="s">
        <v>139</v>
      </c>
      <c r="B23" t="s">
        <v>10</v>
      </c>
      <c r="C23" t="s">
        <v>71</v>
      </c>
      <c r="E23" s="1" t="s">
        <v>70</v>
      </c>
      <c r="F23" t="s">
        <v>118</v>
      </c>
      <c r="H23" t="s">
        <v>71</v>
      </c>
      <c r="I23" t="s">
        <v>118</v>
      </c>
      <c r="K23" t="s">
        <v>114</v>
      </c>
      <c r="L23" t="s">
        <v>115</v>
      </c>
      <c r="M23" t="s">
        <v>116</v>
      </c>
      <c r="O23" t="str">
        <f t="shared" si="0"/>
        <v>,cast(IP_de_red as string) as ip_red</v>
      </c>
    </row>
    <row r="24" spans="1:15">
      <c r="A24" t="s">
        <v>140</v>
      </c>
      <c r="B24" t="s">
        <v>10</v>
      </c>
      <c r="C24" t="s">
        <v>74</v>
      </c>
      <c r="E24" s="1" t="s">
        <v>73</v>
      </c>
      <c r="F24" t="s">
        <v>118</v>
      </c>
      <c r="H24" t="s">
        <v>74</v>
      </c>
      <c r="I24" t="s">
        <v>118</v>
      </c>
      <c r="K24" t="s">
        <v>114</v>
      </c>
      <c r="L24" t="s">
        <v>115</v>
      </c>
      <c r="M24" t="s">
        <v>116</v>
      </c>
      <c r="O24" t="str">
        <f t="shared" si="0"/>
        <v>,cast(Pa_s_Regi_n_de_BIN_de_tarjeta_de_cr_dito as string) as pais_region_bin_tarjeta</v>
      </c>
    </row>
    <row r="25" spans="1:15">
      <c r="A25" t="s">
        <v>141</v>
      </c>
      <c r="B25" t="s">
        <v>10</v>
      </c>
      <c r="C25" t="s">
        <v>77</v>
      </c>
      <c r="E25" s="1" t="s">
        <v>76</v>
      </c>
      <c r="F25" t="s">
        <v>118</v>
      </c>
      <c r="H25" t="s">
        <v>77</v>
      </c>
      <c r="I25" t="s">
        <v>118</v>
      </c>
      <c r="K25" t="s">
        <v>114</v>
      </c>
      <c r="L25" t="s">
        <v>115</v>
      </c>
      <c r="M25" t="s">
        <v>116</v>
      </c>
      <c r="O25" t="str">
        <f t="shared" si="0"/>
        <v>,cast(Pa_s_Regi_n_de_la_IP as string) as pais_region_ip</v>
      </c>
    </row>
    <row r="26" spans="1:15" ht="29.25">
      <c r="A26" t="s">
        <v>142</v>
      </c>
      <c r="B26" t="s">
        <v>10</v>
      </c>
      <c r="C26" t="s">
        <v>80</v>
      </c>
      <c r="E26" s="1" t="s">
        <v>79</v>
      </c>
      <c r="F26" t="s">
        <v>118</v>
      </c>
      <c r="H26" t="s">
        <v>80</v>
      </c>
      <c r="I26" t="s">
        <v>118</v>
      </c>
      <c r="K26" t="s">
        <v>114</v>
      </c>
      <c r="L26" t="s">
        <v>115</v>
      </c>
      <c r="M26" t="s">
        <v>116</v>
      </c>
      <c r="O26" t="str">
        <f t="shared" si="0"/>
        <v>,cast(Pa_s_Regi_n_de_correo_electr_nico_del_cliente as string) as pais_region_correo</v>
      </c>
    </row>
    <row r="27" spans="1:15">
      <c r="A27" t="s">
        <v>143</v>
      </c>
      <c r="B27" t="s">
        <v>12</v>
      </c>
      <c r="C27" t="s">
        <v>83</v>
      </c>
      <c r="E27" s="1" t="s">
        <v>82</v>
      </c>
      <c r="F27" t="s">
        <v>118</v>
      </c>
      <c r="H27" t="s">
        <v>83</v>
      </c>
      <c r="I27" t="s">
        <v>118</v>
      </c>
      <c r="K27" t="s">
        <v>114</v>
      </c>
      <c r="L27" t="s">
        <v>115</v>
      </c>
      <c r="M27" t="s">
        <v>116</v>
      </c>
      <c r="O27" t="str">
        <f t="shared" si="0"/>
        <v>,cast(Huella_digital_del_dispositivo as string) as huella_digital_dispositivo</v>
      </c>
    </row>
    <row r="28" spans="1:15">
      <c r="A28" t="s">
        <v>144</v>
      </c>
      <c r="B28" t="s">
        <v>12</v>
      </c>
      <c r="C28" t="s">
        <v>86</v>
      </c>
      <c r="E28" s="1" t="s">
        <v>85</v>
      </c>
      <c r="F28" t="s">
        <v>118</v>
      </c>
      <c r="H28" t="s">
        <v>86</v>
      </c>
      <c r="I28" t="s">
        <v>118</v>
      </c>
      <c r="K28" t="s">
        <v>114</v>
      </c>
      <c r="L28" t="s">
        <v>115</v>
      </c>
      <c r="M28" t="s">
        <v>116</v>
      </c>
      <c r="O28" t="str">
        <f t="shared" si="0"/>
        <v>,cast(Motivo_de_marca as string) as motivo_marca</v>
      </c>
    </row>
    <row r="29" spans="1:15">
      <c r="A29" t="s">
        <v>145</v>
      </c>
      <c r="B29" t="s">
        <v>12</v>
      </c>
      <c r="C29" t="s">
        <v>89</v>
      </c>
      <c r="E29" s="1" t="s">
        <v>88</v>
      </c>
      <c r="F29" t="s">
        <v>118</v>
      </c>
      <c r="H29" t="s">
        <v>89</v>
      </c>
      <c r="I29" t="s">
        <v>118</v>
      </c>
      <c r="K29" t="s">
        <v>114</v>
      </c>
      <c r="L29" t="s">
        <v>115</v>
      </c>
      <c r="M29" t="s">
        <v>116</v>
      </c>
      <c r="O29" t="str">
        <f t="shared" si="0"/>
        <v>,cast(Notas_de_marca as string) as notas_marca</v>
      </c>
    </row>
    <row r="30" spans="1:15">
      <c r="A30" t="s">
        <v>146</v>
      </c>
      <c r="B30" t="s">
        <v>12</v>
      </c>
      <c r="C30" t="s">
        <v>92</v>
      </c>
      <c r="E30" s="1" t="s">
        <v>91</v>
      </c>
      <c r="F30" t="s">
        <v>118</v>
      </c>
      <c r="H30" t="s">
        <v>92</v>
      </c>
      <c r="I30" t="s">
        <v>118</v>
      </c>
      <c r="K30" t="s">
        <v>114</v>
      </c>
      <c r="L30" t="s">
        <v>115</v>
      </c>
      <c r="M30" t="s">
        <v>116</v>
      </c>
      <c r="O30" t="str">
        <f t="shared" si="0"/>
        <v>,cast(ID_de_solicitud_de_marca as string) as id_solicitud_marca</v>
      </c>
    </row>
    <row r="31" spans="1:15">
      <c r="A31" t="s">
        <v>147</v>
      </c>
      <c r="B31" t="s">
        <v>10</v>
      </c>
      <c r="C31" t="s">
        <v>94</v>
      </c>
      <c r="E31" s="1" t="s">
        <v>94</v>
      </c>
      <c r="F31" t="s">
        <v>118</v>
      </c>
      <c r="H31" t="s">
        <v>94</v>
      </c>
      <c r="I31" t="s">
        <v>118</v>
      </c>
      <c r="K31" t="s">
        <v>114</v>
      </c>
      <c r="L31" t="s">
        <v>115</v>
      </c>
      <c r="M31" t="s">
        <v>116</v>
      </c>
      <c r="O31" t="str">
        <f t="shared" si="0"/>
        <v>,cast(CPF_CNPJ as string) as cpf_cnpj</v>
      </c>
    </row>
    <row r="32" spans="1:15">
      <c r="A32" t="s">
        <v>148</v>
      </c>
      <c r="B32" t="s">
        <v>10</v>
      </c>
      <c r="C32" t="s">
        <v>96</v>
      </c>
      <c r="E32" s="1" t="s">
        <v>96</v>
      </c>
      <c r="F32" t="s">
        <v>118</v>
      </c>
      <c r="H32" t="s">
        <v>96</v>
      </c>
      <c r="I32" t="s">
        <v>118</v>
      </c>
      <c r="K32" t="s">
        <v>114</v>
      </c>
      <c r="L32" t="s">
        <v>115</v>
      </c>
      <c r="M32" t="s">
        <v>116</v>
      </c>
      <c r="O32" t="str">
        <f t="shared" si="0"/>
        <v>,cast(ID_inteligente as string) as id_inteligente</v>
      </c>
    </row>
    <row r="33" spans="1:15">
      <c r="A33" t="s">
        <v>149</v>
      </c>
      <c r="B33" t="s">
        <v>10</v>
      </c>
      <c r="C33" t="s">
        <v>99</v>
      </c>
      <c r="E33" s="1" t="s">
        <v>98</v>
      </c>
      <c r="F33" t="s">
        <v>118</v>
      </c>
      <c r="H33" t="s">
        <v>99</v>
      </c>
      <c r="I33" t="s">
        <v>118</v>
      </c>
      <c r="K33" t="s">
        <v>114</v>
      </c>
      <c r="L33" t="s">
        <v>115</v>
      </c>
      <c r="M33" t="s">
        <v>116</v>
      </c>
      <c r="O33" t="str">
        <f t="shared" si="0"/>
        <v>,cast(Fecha_de__ltimo_uso as string) as fecha_ultimo_uso</v>
      </c>
    </row>
    <row r="34" spans="1:15">
      <c r="H34" t="s">
        <v>101</v>
      </c>
      <c r="I34" t="s">
        <v>118</v>
      </c>
      <c r="K34" t="s">
        <v>114</v>
      </c>
      <c r="L34" t="s">
        <v>115</v>
      </c>
      <c r="M34" t="s">
        <v>116</v>
      </c>
      <c r="O34" t="str">
        <f t="shared" si="0"/>
        <v>,cast( as ) as record_source</v>
      </c>
    </row>
    <row r="35" spans="1:15">
      <c r="H35" t="s">
        <v>103</v>
      </c>
      <c r="I35" t="s">
        <v>150</v>
      </c>
      <c r="K35" t="s">
        <v>114</v>
      </c>
      <c r="L35" t="s">
        <v>115</v>
      </c>
      <c r="M35" t="s">
        <v>116</v>
      </c>
      <c r="O35" t="str">
        <f t="shared" si="0"/>
        <v>,cast( as ) as load_date</v>
      </c>
    </row>
    <row r="36" spans="1:15">
      <c r="H36" t="s">
        <v>106</v>
      </c>
      <c r="I36" t="s">
        <v>118</v>
      </c>
      <c r="K36" t="s">
        <v>114</v>
      </c>
      <c r="L36" t="s">
        <v>115</v>
      </c>
      <c r="M36" t="s">
        <v>116</v>
      </c>
      <c r="O36" t="str">
        <f t="shared" si="0"/>
        <v>,cast( as ) as creation_user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BF8F5-8BAA-4FEC-A10B-BF82BC94B01B}">
  <dimension ref="A1:H36"/>
  <sheetViews>
    <sheetView workbookViewId="0">
      <selection activeCell="D36" sqref="D2:D36"/>
    </sheetView>
  </sheetViews>
  <sheetFormatPr defaultRowHeight="15"/>
  <cols>
    <col min="1" max="1" width="36.5703125" bestFit="1" customWidth="1"/>
    <col min="2" max="2" width="10.85546875" bestFit="1" customWidth="1"/>
    <col min="3" max="3" width="36.5703125" bestFit="1" customWidth="1"/>
    <col min="4" max="4" width="36.5703125" customWidth="1"/>
    <col min="6" max="6" width="24.85546875" bestFit="1" customWidth="1"/>
  </cols>
  <sheetData>
    <row r="1" spans="1:8">
      <c r="A1" s="4" t="s">
        <v>0</v>
      </c>
      <c r="B1" s="3" t="s">
        <v>2</v>
      </c>
      <c r="C1" s="4" t="s">
        <v>3</v>
      </c>
      <c r="D1" s="4"/>
      <c r="E1" s="3"/>
      <c r="F1" s="3" t="s">
        <v>151</v>
      </c>
      <c r="G1" s="3" t="s">
        <v>152</v>
      </c>
      <c r="H1" s="3" t="s">
        <v>153</v>
      </c>
    </row>
    <row r="2" spans="1:8" ht="32.25">
      <c r="A2" s="1" t="s">
        <v>4</v>
      </c>
      <c r="B2" t="s">
        <v>6</v>
      </c>
      <c r="C2" s="2" t="s">
        <v>7</v>
      </c>
      <c r="D2" s="5" t="str">
        <f>+VLOOKUP(A2,F:F,1,FALSE)</f>
        <v>process_date</v>
      </c>
      <c r="F2" t="s">
        <v>4</v>
      </c>
      <c r="G2" t="s">
        <v>154</v>
      </c>
      <c r="H2" t="s">
        <v>4</v>
      </c>
    </row>
    <row r="3" spans="1:8" ht="21.75">
      <c r="A3" s="1" t="s">
        <v>155</v>
      </c>
      <c r="B3" t="s">
        <v>12</v>
      </c>
      <c r="C3" s="2" t="s">
        <v>13</v>
      </c>
      <c r="D3" s="5" t="str">
        <f t="shared" ref="D3:D36" si="0">+VLOOKUP(A3,F:F,1,FALSE)</f>
        <v>nom_registro_marca_fraude</v>
      </c>
      <c r="F3" t="s">
        <v>155</v>
      </c>
      <c r="G3" t="s">
        <v>154</v>
      </c>
      <c r="H3" t="s">
        <v>11</v>
      </c>
    </row>
    <row r="4" spans="1:8">
      <c r="A4" s="1" t="s">
        <v>15</v>
      </c>
      <c r="B4" t="s">
        <v>104</v>
      </c>
      <c r="C4" s="2" t="s">
        <v>16</v>
      </c>
      <c r="D4" s="5" t="str">
        <f t="shared" si="0"/>
        <v>fecha_creacion</v>
      </c>
      <c r="F4" t="s">
        <v>15</v>
      </c>
      <c r="G4" t="s">
        <v>154</v>
      </c>
      <c r="H4" t="s">
        <v>15</v>
      </c>
    </row>
    <row r="5" spans="1:8">
      <c r="A5" s="1" t="s">
        <v>156</v>
      </c>
      <c r="B5" t="s">
        <v>12</v>
      </c>
      <c r="C5" s="2" t="s">
        <v>18</v>
      </c>
      <c r="D5" s="5" t="str">
        <f t="shared" si="0"/>
        <v>usuario_registro_marca</v>
      </c>
      <c r="F5" t="s">
        <v>156</v>
      </c>
      <c r="G5" t="s">
        <v>154</v>
      </c>
      <c r="H5" t="s">
        <v>17</v>
      </c>
    </row>
    <row r="6" spans="1:8" ht="21.75">
      <c r="A6" s="1" t="s">
        <v>157</v>
      </c>
      <c r="B6" t="s">
        <v>12</v>
      </c>
      <c r="C6" s="2" t="s">
        <v>21</v>
      </c>
      <c r="D6" s="5" t="str">
        <f t="shared" si="0"/>
        <v>ident_unico_grupo</v>
      </c>
      <c r="F6" t="s">
        <v>157</v>
      </c>
      <c r="G6" t="s">
        <v>154</v>
      </c>
      <c r="H6" t="s">
        <v>20</v>
      </c>
    </row>
    <row r="7" spans="1:8" ht="21.75">
      <c r="A7" s="1" t="s">
        <v>158</v>
      </c>
      <c r="B7" t="s">
        <v>12</v>
      </c>
      <c r="C7" s="2" t="s">
        <v>24</v>
      </c>
      <c r="D7" s="5" t="str">
        <f t="shared" si="0"/>
        <v>ident_unico_comercio</v>
      </c>
      <c r="F7" t="s">
        <v>158</v>
      </c>
      <c r="G7" t="s">
        <v>154</v>
      </c>
      <c r="H7" t="s">
        <v>23</v>
      </c>
    </row>
    <row r="8" spans="1:8" ht="21.75">
      <c r="A8" s="1" t="s">
        <v>159</v>
      </c>
      <c r="B8" t="s">
        <v>12</v>
      </c>
      <c r="C8" s="2" t="s">
        <v>27</v>
      </c>
      <c r="D8" s="5" t="str">
        <f t="shared" si="0"/>
        <v>ident_unico_cuenta_cliente</v>
      </c>
      <c r="F8" t="s">
        <v>159</v>
      </c>
      <c r="G8" t="s">
        <v>154</v>
      </c>
      <c r="H8" t="s">
        <v>26</v>
      </c>
    </row>
    <row r="9" spans="1:8">
      <c r="A9" s="1" t="s">
        <v>29</v>
      </c>
      <c r="B9" t="s">
        <v>30</v>
      </c>
      <c r="C9" s="2" t="s">
        <v>31</v>
      </c>
      <c r="D9" s="5" t="str">
        <f t="shared" si="0"/>
        <v>telefono_facturacion</v>
      </c>
      <c r="F9" t="s">
        <v>29</v>
      </c>
      <c r="G9" t="s">
        <v>154</v>
      </c>
      <c r="H9" t="s">
        <v>29</v>
      </c>
    </row>
    <row r="10" spans="1:8">
      <c r="A10" s="1" t="s">
        <v>33</v>
      </c>
      <c r="B10" t="s">
        <v>30</v>
      </c>
      <c r="C10" s="2" t="s">
        <v>34</v>
      </c>
      <c r="D10" s="5" t="str">
        <f t="shared" si="0"/>
        <v>telefono_envio</v>
      </c>
      <c r="F10" t="s">
        <v>33</v>
      </c>
      <c r="G10" t="s">
        <v>154</v>
      </c>
      <c r="H10" t="s">
        <v>33</v>
      </c>
    </row>
    <row r="11" spans="1:8" ht="21.75">
      <c r="A11" s="1" t="s">
        <v>160</v>
      </c>
      <c r="B11" t="s">
        <v>12</v>
      </c>
      <c r="C11" s="2" t="s">
        <v>37</v>
      </c>
      <c r="D11" s="5" t="str">
        <f t="shared" si="0"/>
        <v>metodo_pago</v>
      </c>
      <c r="F11" t="s">
        <v>160</v>
      </c>
      <c r="G11" t="s">
        <v>154</v>
      </c>
      <c r="H11" t="s">
        <v>36</v>
      </c>
    </row>
    <row r="12" spans="1:8" ht="21.75">
      <c r="A12" s="1" t="s">
        <v>161</v>
      </c>
      <c r="B12" t="s">
        <v>12</v>
      </c>
      <c r="C12" s="2" t="s">
        <v>40</v>
      </c>
      <c r="D12" s="5" t="str">
        <f t="shared" si="0"/>
        <v>ult_digitos_tarjeta</v>
      </c>
      <c r="F12" t="s">
        <v>161</v>
      </c>
      <c r="G12" t="s">
        <v>154</v>
      </c>
      <c r="H12" t="s">
        <v>39</v>
      </c>
    </row>
    <row r="13" spans="1:8" ht="21.75">
      <c r="A13" s="1" t="s">
        <v>162</v>
      </c>
      <c r="B13" t="s">
        <v>12</v>
      </c>
      <c r="C13" s="2" t="s">
        <v>43</v>
      </c>
      <c r="D13" s="5" t="str">
        <f t="shared" si="0"/>
        <v>bin</v>
      </c>
      <c r="F13" t="s">
        <v>162</v>
      </c>
      <c r="G13" t="s">
        <v>154</v>
      </c>
      <c r="H13" t="s">
        <v>42</v>
      </c>
    </row>
    <row r="14" spans="1:8" ht="21.75">
      <c r="A14" s="1" t="s">
        <v>45</v>
      </c>
      <c r="B14" t="s">
        <v>30</v>
      </c>
      <c r="C14" s="2" t="s">
        <v>46</v>
      </c>
      <c r="D14" s="5" t="str">
        <f t="shared" si="0"/>
        <v>correo</v>
      </c>
      <c r="F14" t="s">
        <v>45</v>
      </c>
      <c r="G14" t="s">
        <v>154</v>
      </c>
      <c r="H14" t="s">
        <v>45</v>
      </c>
    </row>
    <row r="15" spans="1:8" ht="21.75">
      <c r="A15" s="1" t="s">
        <v>48</v>
      </c>
      <c r="B15" t="s">
        <v>12</v>
      </c>
      <c r="C15" s="2" t="s">
        <v>49</v>
      </c>
      <c r="D15" s="5" t="str">
        <f t="shared" si="0"/>
        <v>dominio_correo</v>
      </c>
      <c r="F15" t="s">
        <v>48</v>
      </c>
      <c r="G15" t="s">
        <v>154</v>
      </c>
      <c r="H15" t="s">
        <v>48</v>
      </c>
    </row>
    <row r="16" spans="1:8" ht="21.75">
      <c r="A16" s="1" t="s">
        <v>163</v>
      </c>
      <c r="B16" t="s">
        <v>12</v>
      </c>
      <c r="C16" s="2" t="s">
        <v>52</v>
      </c>
      <c r="D16" s="5" t="str">
        <f t="shared" si="0"/>
        <v>primera_linea_correo</v>
      </c>
      <c r="F16" t="s">
        <v>163</v>
      </c>
      <c r="G16" t="s">
        <v>154</v>
      </c>
      <c r="H16" t="s">
        <v>51</v>
      </c>
    </row>
    <row r="17" spans="1:8">
      <c r="A17" s="1" t="s">
        <v>164</v>
      </c>
      <c r="B17" t="s">
        <v>12</v>
      </c>
      <c r="C17" s="2" t="s">
        <v>55</v>
      </c>
      <c r="D17" s="5" t="str">
        <f t="shared" si="0"/>
        <v>segunda_linea_correo</v>
      </c>
      <c r="F17" t="s">
        <v>164</v>
      </c>
      <c r="G17" t="s">
        <v>154</v>
      </c>
      <c r="H17" t="s">
        <v>54</v>
      </c>
    </row>
    <row r="18" spans="1:8">
      <c r="A18" s="1" t="s">
        <v>56</v>
      </c>
      <c r="B18" t="s">
        <v>12</v>
      </c>
      <c r="C18" s="2" t="s">
        <v>57</v>
      </c>
      <c r="D18" s="5" t="str">
        <f t="shared" si="0"/>
        <v>ciudad</v>
      </c>
      <c r="F18" t="s">
        <v>56</v>
      </c>
      <c r="G18" t="s">
        <v>154</v>
      </c>
      <c r="H18" t="s">
        <v>56</v>
      </c>
    </row>
    <row r="19" spans="1:8" ht="21.75">
      <c r="A19" s="1" t="s">
        <v>59</v>
      </c>
      <c r="B19" t="s">
        <v>12</v>
      </c>
      <c r="C19" s="2" t="s">
        <v>60</v>
      </c>
      <c r="D19" s="5" t="str">
        <f t="shared" si="0"/>
        <v>provincia</v>
      </c>
      <c r="F19" t="s">
        <v>59</v>
      </c>
      <c r="G19" t="s">
        <v>154</v>
      </c>
      <c r="H19" t="s">
        <v>59</v>
      </c>
    </row>
    <row r="20" spans="1:8">
      <c r="A20" s="1" t="s">
        <v>62</v>
      </c>
      <c r="B20" t="s">
        <v>12</v>
      </c>
      <c r="C20" s="2" t="s">
        <v>63</v>
      </c>
      <c r="D20" s="5" t="str">
        <f t="shared" si="0"/>
        <v>codigo_postal</v>
      </c>
      <c r="F20" t="s">
        <v>62</v>
      </c>
      <c r="G20" t="s">
        <v>154</v>
      </c>
      <c r="H20" t="s">
        <v>62</v>
      </c>
    </row>
    <row r="21" spans="1:8" ht="21.75">
      <c r="A21" s="1" t="s">
        <v>165</v>
      </c>
      <c r="B21" t="s">
        <v>12</v>
      </c>
      <c r="C21" s="2" t="s">
        <v>66</v>
      </c>
      <c r="D21" s="5" t="str">
        <f t="shared" si="0"/>
        <v>pais</v>
      </c>
      <c r="F21" t="s">
        <v>165</v>
      </c>
      <c r="G21" t="s">
        <v>154</v>
      </c>
      <c r="H21" t="s">
        <v>65</v>
      </c>
    </row>
    <row r="22" spans="1:8" ht="21.75">
      <c r="A22" s="1" t="s">
        <v>68</v>
      </c>
      <c r="B22" t="s">
        <v>30</v>
      </c>
      <c r="C22" s="2" t="s">
        <v>69</v>
      </c>
      <c r="D22" s="5" t="str">
        <f t="shared" si="0"/>
        <v>direccion_ip</v>
      </c>
      <c r="F22" t="s">
        <v>68</v>
      </c>
      <c r="G22" t="s">
        <v>154</v>
      </c>
      <c r="H22" t="s">
        <v>68</v>
      </c>
    </row>
    <row r="23" spans="1:8" ht="21.75">
      <c r="A23" s="1" t="s">
        <v>166</v>
      </c>
      <c r="B23" t="s">
        <v>12</v>
      </c>
      <c r="C23" s="2" t="s">
        <v>72</v>
      </c>
      <c r="D23" s="5" t="str">
        <f t="shared" si="0"/>
        <v>segmento_red</v>
      </c>
      <c r="F23" t="s">
        <v>166</v>
      </c>
      <c r="G23" t="s">
        <v>154</v>
      </c>
      <c r="H23" t="s">
        <v>71</v>
      </c>
    </row>
    <row r="24" spans="1:8">
      <c r="A24" s="1" t="s">
        <v>167</v>
      </c>
      <c r="B24" t="s">
        <v>12</v>
      </c>
      <c r="C24" s="2" t="s">
        <v>75</v>
      </c>
      <c r="D24" s="5" t="str">
        <f t="shared" si="0"/>
        <v>pais_bin</v>
      </c>
      <c r="F24" t="s">
        <v>167</v>
      </c>
      <c r="G24" t="s">
        <v>154</v>
      </c>
      <c r="H24" t="s">
        <v>74</v>
      </c>
    </row>
    <row r="25" spans="1:8" ht="21.75">
      <c r="A25" s="1" t="s">
        <v>168</v>
      </c>
      <c r="B25" t="s">
        <v>12</v>
      </c>
      <c r="C25" s="2" t="s">
        <v>78</v>
      </c>
      <c r="D25" s="5" t="str">
        <f t="shared" si="0"/>
        <v>pais_ip</v>
      </c>
      <c r="F25" t="s">
        <v>168</v>
      </c>
      <c r="G25" t="s">
        <v>154</v>
      </c>
      <c r="H25" t="s">
        <v>77</v>
      </c>
    </row>
    <row r="26" spans="1:8">
      <c r="A26" s="1" t="s">
        <v>169</v>
      </c>
      <c r="B26" t="s">
        <v>12</v>
      </c>
      <c r="C26" s="2" t="s">
        <v>81</v>
      </c>
      <c r="D26" s="5" t="str">
        <f t="shared" si="0"/>
        <v>pais_dominio_correo</v>
      </c>
      <c r="F26" t="s">
        <v>169</v>
      </c>
      <c r="G26" t="s">
        <v>154</v>
      </c>
      <c r="H26" t="s">
        <v>80</v>
      </c>
    </row>
    <row r="27" spans="1:8" ht="21.75">
      <c r="A27" s="1" t="s">
        <v>83</v>
      </c>
      <c r="B27" t="s">
        <v>12</v>
      </c>
      <c r="C27" s="2" t="s">
        <v>84</v>
      </c>
      <c r="D27" s="5" t="str">
        <f t="shared" si="0"/>
        <v>huella_digital_dispositivo</v>
      </c>
      <c r="F27" t="s">
        <v>83</v>
      </c>
      <c r="G27" t="s">
        <v>154</v>
      </c>
      <c r="H27" t="s">
        <v>83</v>
      </c>
    </row>
    <row r="28" spans="1:8" ht="21.75">
      <c r="A28" s="1" t="s">
        <v>86</v>
      </c>
      <c r="B28" t="s">
        <v>12</v>
      </c>
      <c r="C28" s="2" t="s">
        <v>87</v>
      </c>
      <c r="D28" s="5" t="str">
        <f t="shared" si="0"/>
        <v>motivo_marca</v>
      </c>
      <c r="F28" t="s">
        <v>86</v>
      </c>
      <c r="G28" t="s">
        <v>154</v>
      </c>
      <c r="H28" t="s">
        <v>86</v>
      </c>
    </row>
    <row r="29" spans="1:8">
      <c r="A29" s="1" t="s">
        <v>170</v>
      </c>
      <c r="B29" t="s">
        <v>12</v>
      </c>
      <c r="C29" s="2" t="s">
        <v>90</v>
      </c>
      <c r="D29" s="5" t="str">
        <f t="shared" si="0"/>
        <v>nota_marca</v>
      </c>
      <c r="F29" t="s">
        <v>170</v>
      </c>
      <c r="G29" t="s">
        <v>154</v>
      </c>
      <c r="H29" t="s">
        <v>89</v>
      </c>
    </row>
    <row r="30" spans="1:8" ht="21.75">
      <c r="A30" s="1" t="s">
        <v>92</v>
      </c>
      <c r="B30" t="s">
        <v>12</v>
      </c>
      <c r="C30" s="2" t="s">
        <v>93</v>
      </c>
      <c r="D30" s="5" t="str">
        <f t="shared" si="0"/>
        <v>id_solicitud_marca</v>
      </c>
      <c r="F30" t="s">
        <v>92</v>
      </c>
      <c r="G30" t="s">
        <v>154</v>
      </c>
      <c r="H30" t="s">
        <v>92</v>
      </c>
    </row>
    <row r="31" spans="1:8" ht="21.75">
      <c r="A31" s="1" t="s">
        <v>94</v>
      </c>
      <c r="B31" t="s">
        <v>12</v>
      </c>
      <c r="C31" s="2" t="s">
        <v>95</v>
      </c>
      <c r="D31" s="5" t="str">
        <f t="shared" si="0"/>
        <v>cpf_cnpj</v>
      </c>
      <c r="F31" t="s">
        <v>94</v>
      </c>
      <c r="G31" t="s">
        <v>154</v>
      </c>
      <c r="H31" t="s">
        <v>94</v>
      </c>
    </row>
    <row r="32" spans="1:8" ht="21.75">
      <c r="A32" s="1" t="s">
        <v>96</v>
      </c>
      <c r="B32" t="s">
        <v>12</v>
      </c>
      <c r="C32" s="2" t="s">
        <v>97</v>
      </c>
      <c r="D32" s="5" t="str">
        <f t="shared" si="0"/>
        <v>id_inteligente</v>
      </c>
      <c r="F32" t="s">
        <v>96</v>
      </c>
      <c r="G32" t="s">
        <v>154</v>
      </c>
      <c r="H32" t="s">
        <v>96</v>
      </c>
    </row>
    <row r="33" spans="1:8" ht="21.75">
      <c r="A33" t="s">
        <v>99</v>
      </c>
      <c r="B33" t="s">
        <v>12</v>
      </c>
      <c r="C33" s="2" t="s">
        <v>100</v>
      </c>
      <c r="D33" s="5" t="str">
        <f t="shared" si="0"/>
        <v>fecha_ultimo_uso</v>
      </c>
      <c r="F33" t="s">
        <v>99</v>
      </c>
      <c r="G33" t="s">
        <v>154</v>
      </c>
      <c r="H33" t="s">
        <v>99</v>
      </c>
    </row>
    <row r="34" spans="1:8" ht="21.75">
      <c r="A34" t="s">
        <v>101</v>
      </c>
      <c r="B34" t="s">
        <v>12</v>
      </c>
      <c r="C34" s="2" t="s">
        <v>102</v>
      </c>
      <c r="D34" s="5" t="str">
        <f t="shared" si="0"/>
        <v>record_source</v>
      </c>
      <c r="F34" t="s">
        <v>101</v>
      </c>
    </row>
    <row r="35" spans="1:8">
      <c r="A35" t="s">
        <v>103</v>
      </c>
      <c r="B35" t="s">
        <v>104</v>
      </c>
      <c r="C35" s="2" t="s">
        <v>105</v>
      </c>
      <c r="D35" s="5" t="str">
        <f t="shared" si="0"/>
        <v>load_date</v>
      </c>
      <c r="F35" t="s">
        <v>103</v>
      </c>
    </row>
    <row r="36" spans="1:8">
      <c r="A36" t="s">
        <v>106</v>
      </c>
      <c r="B36" t="s">
        <v>12</v>
      </c>
      <c r="C36" s="2" t="s">
        <v>107</v>
      </c>
      <c r="D36" s="5" t="str">
        <f t="shared" si="0"/>
        <v>creation_user</v>
      </c>
      <c r="F36" t="s">
        <v>106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5" ma:contentTypeDescription="Create a new document." ma:contentTypeScope="" ma:versionID="a0cdade6e01d78fc77af248b5480c602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b889f8cfbc3f4fd6c5d86232a3960b51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6058E8-804D-460B-850C-EB4EEA8FC6F8}"/>
</file>

<file path=customXml/itemProps2.xml><?xml version="1.0" encoding="utf-8"?>
<ds:datastoreItem xmlns:ds="http://schemas.openxmlformats.org/officeDocument/2006/customXml" ds:itemID="{6C20EB0B-D56A-4BEB-88DF-822AEDE84EF7}"/>
</file>

<file path=customXml/itemProps3.xml><?xml version="1.0" encoding="utf-8"?>
<ds:datastoreItem xmlns:ds="http://schemas.openxmlformats.org/officeDocument/2006/customXml" ds:itemID="{5F590F83-F10D-42C1-9F6E-2A2C1D9866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Ruli Bennett</cp:lastModifiedBy>
  <cp:revision/>
  <dcterms:created xsi:type="dcterms:W3CDTF">2025-04-08T20:19:57Z</dcterms:created>
  <dcterms:modified xsi:type="dcterms:W3CDTF">2025-04-08T22:01:05Z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