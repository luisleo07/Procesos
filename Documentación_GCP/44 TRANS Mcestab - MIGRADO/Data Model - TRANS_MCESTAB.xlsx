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4 TRANS Mcestab/"/>
    </mc:Choice>
  </mc:AlternateContent>
  <xr:revisionPtr revIDLastSave="40" documentId="11_0D4FAA08ED8339831012F3A39C465430E15DDB95" xr6:coauthVersionLast="47" xr6:coauthVersionMax="47" xr10:uidLastSave="{B426198F-CBB2-42FE-80BD-00B3CF017A94}"/>
  <bookViews>
    <workbookView xWindow="22932" yWindow="-1044" windowWidth="23256" windowHeight="12456" xr2:uid="{00000000-000D-0000-FFFF-FFFF00000000}"/>
  </bookViews>
  <sheets>
    <sheet name="PFYCC_GI_TRANS_MCESTAB" sheetId="1" r:id="rId1"/>
  </sheets>
  <definedNames>
    <definedName name="_xlnm._FilterDatabase" localSheetId="0" hidden="1">PFYCC_GI_TRANS_MCESTAB!$A$1:$M$89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<sst xmlns="http://schemas.openxmlformats.org/spreadsheetml/2006/main" count="948" uniqueCount="239">
  <si>
    <t>Project</t>
  </si>
  <si>
    <t>Dataset</t>
  </si>
  <si>
    <t>Table</t>
  </si>
  <si>
    <t>Column</t>
  </si>
  <si>
    <t>Data Element name</t>
  </si>
  <si>
    <t>Business Definition</t>
  </si>
  <si>
    <t>Sensitive</t>
  </si>
  <si>
    <t>Data Type</t>
  </si>
  <si>
    <t>Valid values</t>
  </si>
  <si>
    <t>Primary Key 
(Y/N)</t>
  </si>
  <si>
    <t>NULL 
(Y/N)</t>
  </si>
  <si>
    <t>Partition
(Y/N)</t>
  </si>
  <si>
    <t>Cluster
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</si>
  <si>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</si>
  <si>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</si>
  <si>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</si>
  <si>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</si>
  <si>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</si>
  <si>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</si>
  <si>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Yes / No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</si>
  <si>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</si>
  <si>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</si>
  <si>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</si>
  <si>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</si>
  <si>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elemento es parte de la partición de la tabla</t>
  </si>
  <si>
    <t>OperRiesg</t>
  </si>
  <si>
    <t>PFYCC_GI_TRANS_MCESTAB</t>
  </si>
  <si>
    <t>codigo</t>
  </si>
  <si>
    <t>Identificador único del registro del establecimiento.</t>
  </si>
  <si>
    <t>No</t>
  </si>
  <si>
    <t>varchar</t>
  </si>
  <si>
    <t>Y</t>
  </si>
  <si>
    <t>N</t>
  </si>
  <si>
    <t>situac</t>
  </si>
  <si>
    <t>Código que representa la situación o estado del establecimiento.</t>
  </si>
  <si>
    <t>tip_ruc</t>
  </si>
  <si>
    <t>Tipo de RUC del establecimiento (ej. RUC20 para empresas).</t>
  </si>
  <si>
    <t>RUC20</t>
  </si>
  <si>
    <t>nroruc</t>
  </si>
  <si>
    <t>Número de RUC del establecimiento.</t>
  </si>
  <si>
    <t>Yes</t>
  </si>
  <si>
    <t>cta_esp</t>
  </si>
  <si>
    <t>Indicador de cuenta especial.</t>
  </si>
  <si>
    <t>segmento</t>
  </si>
  <si>
    <t>Segmento comercial al que pertenece el establecimiento.</t>
  </si>
  <si>
    <t>Negocio</t>
  </si>
  <si>
    <t>facili_pago</t>
  </si>
  <si>
    <t>Categoría de facilitador de pago.</t>
  </si>
  <si>
    <t>PMP</t>
  </si>
  <si>
    <t>nomcom</t>
  </si>
  <si>
    <t>Nombre comercial del establecimiento.</t>
  </si>
  <si>
    <t>AROS LA ROTONDA</t>
  </si>
  <si>
    <t>razsoc</t>
  </si>
  <si>
    <t>Razón social registrada del establecimiento.</t>
  </si>
  <si>
    <t>AREZZO CORP E.I.R.L</t>
  </si>
  <si>
    <t>PGS</t>
  </si>
  <si>
    <t>Indicador de si el establecimiento tiene pago seguro (PGS).</t>
  </si>
  <si>
    <t>Fec_afi_PGS</t>
  </si>
  <si>
    <t>Fecha de afiliación al sistema PGS.</t>
  </si>
  <si>
    <t>Izipay_Ya</t>
  </si>
  <si>
    <t>Indicador binario de integración con IZIPAY YA.</t>
  </si>
  <si>
    <t>moneda</t>
  </si>
  <si>
    <t>Moneda en la que opera el establecimiento.</t>
  </si>
  <si>
    <t>SOLES</t>
  </si>
  <si>
    <t>mcc</t>
  </si>
  <si>
    <t>Código de categoría del comercio (Merchant Category Code).</t>
  </si>
  <si>
    <t>giro</t>
  </si>
  <si>
    <t>Descripción del giro del establecimiento.</t>
  </si>
  <si>
    <t>Llantas; aros</t>
  </si>
  <si>
    <t>HR_VISA_MC</t>
  </si>
  <si>
    <t>Indicador de riesgo alto por VISA o Mastercard.</t>
  </si>
  <si>
    <t>HR_SBS</t>
  </si>
  <si>
    <t>Indicador de riesgo alto según criterios SBS.</t>
  </si>
  <si>
    <t>cod_amex</t>
  </si>
  <si>
    <t>Código identificador del comercio con AMEX.</t>
  </si>
  <si>
    <t>s_amex</t>
  </si>
  <si>
    <t>Estado de afiliación con AMEX.</t>
  </si>
  <si>
    <t>s_diners</t>
  </si>
  <si>
    <t>Estado de afiliación con Diners Club.</t>
  </si>
  <si>
    <t>s_visa</t>
  </si>
  <si>
    <t>Estado de afiliación con VISA.</t>
  </si>
  <si>
    <t>c_visa</t>
  </si>
  <si>
    <t>Comisión aplicada para VISA.</t>
  </si>
  <si>
    <t>3.95</t>
  </si>
  <si>
    <t>c_mastercard</t>
  </si>
  <si>
    <t>Comisión aplicada para Mastercard.</t>
  </si>
  <si>
    <t>c_amex</t>
  </si>
  <si>
    <t>Comisión aplicada para AMEX.</t>
  </si>
  <si>
    <t>3.99</t>
  </si>
  <si>
    <t>c_diners</t>
  </si>
  <si>
    <t>Comisión aplicada para Diners Club.</t>
  </si>
  <si>
    <t>contra</t>
  </si>
  <si>
    <t>Tipo de contrato o modalidad del establecimiento.</t>
  </si>
  <si>
    <t>DEALER</t>
  </si>
  <si>
    <t>compañia</t>
  </si>
  <si>
    <t>Compañía o entidad comercializadora del establecimiento.</t>
  </si>
  <si>
    <t>IZIPAY-ADQ</t>
  </si>
  <si>
    <t>dire</t>
  </si>
  <si>
    <t>Dirección del establecimiento.</t>
  </si>
  <si>
    <t>AV LA MOLINA 1187 INT 167</t>
  </si>
  <si>
    <t>dpto</t>
  </si>
  <si>
    <t>Departamento donde se ubica el establecimiento.</t>
  </si>
  <si>
    <t>LIMA</t>
  </si>
  <si>
    <t>prov</t>
  </si>
  <si>
    <t>Provincia donde se ubica el establecimiento.</t>
  </si>
  <si>
    <t>dist</t>
  </si>
  <si>
    <t>Distrito donde se ubica el establecimiento.</t>
  </si>
  <si>
    <t>LA MOLINA</t>
  </si>
  <si>
    <t>cpos</t>
  </si>
  <si>
    <t>Código postal del establecimiento.</t>
  </si>
  <si>
    <t>L12</t>
  </si>
  <si>
    <t>ubigeo</t>
  </si>
  <si>
    <t>Código de ubicación geográfica del establecimiento.</t>
  </si>
  <si>
    <t>telefo</t>
  </si>
  <si>
    <t>Teléfono del establecimiento.</t>
  </si>
  <si>
    <t>fax</t>
  </si>
  <si>
    <t>Número de fax del establecimiento.</t>
  </si>
  <si>
    <t>clasef</t>
  </si>
  <si>
    <t>Código de clasificación del establecimiento.</t>
  </si>
  <si>
    <t>fecape</t>
  </si>
  <si>
    <t>Fecha de apertura del establecimiento.</t>
  </si>
  <si>
    <t>fecmod</t>
  </si>
  <si>
    <t>Fecha de última modificación de los datos del establecimiento.</t>
  </si>
  <si>
    <t>fecblq</t>
  </si>
  <si>
    <t>Fecha en la que el establecimiento fue bloqueado.</t>
  </si>
  <si>
    <t>motblq</t>
  </si>
  <si>
    <t>Motivo de bloqueo del establecimiento.</t>
  </si>
  <si>
    <t>SEG</t>
  </si>
  <si>
    <t>observ</t>
  </si>
  <si>
    <t>Observaciones adicionales sobre el establecimiento.</t>
  </si>
  <si>
    <t>FPALMA - FRAUDE</t>
  </si>
  <si>
    <t>blq_frau</t>
  </si>
  <si>
    <t>Indicador de bloqueo por fraude.</t>
  </si>
  <si>
    <t>0, 1</t>
  </si>
  <si>
    <t>fraude_riesgos</t>
  </si>
  <si>
    <t>Indicador de fraude por parte del área de riesgos.</t>
  </si>
  <si>
    <t>fraude_cumplimiento</t>
  </si>
  <si>
    <t>Indicador de fraude por parte del área de cumplimiento.</t>
  </si>
  <si>
    <t>nombco</t>
  </si>
  <si>
    <t>Nombre del banco con el que trabaja el establecimiento.</t>
  </si>
  <si>
    <t>BCP</t>
  </si>
  <si>
    <t>tercer</t>
  </si>
  <si>
    <t>Indicador de si el establecimiento pertenece a un tercero.</t>
  </si>
  <si>
    <t>T</t>
  </si>
  <si>
    <t>tipcta</t>
  </si>
  <si>
    <t>Tipo de cuenta bancaria registrada.</t>
  </si>
  <si>
    <t>AH</t>
  </si>
  <si>
    <t>nrocta</t>
  </si>
  <si>
    <t>Número de cuenta bancaria asociada al establecimiento.</t>
  </si>
  <si>
    <t>mailcom</t>
  </si>
  <si>
    <t>Correo electrónico del comercio.</t>
  </si>
  <si>
    <t>-</t>
  </si>
  <si>
    <t>reprleg</t>
  </si>
  <si>
    <t>Nombre del representante legal del establecimiento.</t>
  </si>
  <si>
    <t>PONCE HERRERA HUMBERTO ANDRES</t>
  </si>
  <si>
    <t>mailrleg</t>
  </si>
  <si>
    <t>Correo del representante legal.</t>
  </si>
  <si>
    <t>HPONCE@AREZZOCORP.COM</t>
  </si>
  <si>
    <t>mailggen</t>
  </si>
  <si>
    <t>Correo genérico del establecimiento.</t>
  </si>
  <si>
    <t>digman</t>
  </si>
  <si>
    <t>Código interno de gestión manual.</t>
  </si>
  <si>
    <t>N, Y</t>
  </si>
  <si>
    <t>DigManual</t>
  </si>
  <si>
    <t>Indicador de gestión manual.</t>
  </si>
  <si>
    <t>DNI</t>
  </si>
  <si>
    <t>Documento de identidad del titular o contacto.</t>
  </si>
  <si>
    <t>TipCom</t>
  </si>
  <si>
    <t>Tipo de comercio.</t>
  </si>
  <si>
    <t>POS</t>
  </si>
  <si>
    <t>virtual</t>
  </si>
  <si>
    <t>Indicador de si es comercio virtual.</t>
  </si>
  <si>
    <t>Fisico</t>
  </si>
  <si>
    <t>respcta_nomb</t>
  </si>
  <si>
    <t>Nombre del responsable de la cuenta bancaria.</t>
  </si>
  <si>
    <t>CHUNGA PERICHE RAUL ENRIQUE</t>
  </si>
  <si>
    <t>Dealer</t>
  </si>
  <si>
    <t>Nombre del distribuidor o canal comercial.</t>
  </si>
  <si>
    <t>ZUMA GESTIÓN SAC LIMA</t>
  </si>
  <si>
    <t>Dealer_gen</t>
  </si>
  <si>
    <t>Nombre del distribuidor general.</t>
  </si>
  <si>
    <t>Dealer_Eje</t>
  </si>
  <si>
    <t>Nombre del distribuidor ejecutivo.</t>
  </si>
  <si>
    <t>BENITES MONTOYA ORLANDO</t>
  </si>
  <si>
    <t>FaciServ</t>
  </si>
  <si>
    <t>Facilitador de servicios.</t>
  </si>
  <si>
    <t>FaciPagos</t>
  </si>
  <si>
    <t>Facilitador de pagos.</t>
  </si>
  <si>
    <t>cont_fac_elec</t>
  </si>
  <si>
    <t>Contacto para facturación electrónica.</t>
  </si>
  <si>
    <t>cont8_fac_elec</t>
  </si>
  <si>
    <t>Contacto alterno para facturación electrónica.</t>
  </si>
  <si>
    <t>mail_fact_elec</t>
  </si>
  <si>
    <t>Correo de facturación electrónica.</t>
  </si>
  <si>
    <t>Pay_Faci_ID</t>
  </si>
  <si>
    <t>ID del facilitador de pago.</t>
  </si>
  <si>
    <t>Tip_Doc_T</t>
  </si>
  <si>
    <t>Tipo de documento del titular.</t>
  </si>
  <si>
    <t>Nro_Doc_T</t>
  </si>
  <si>
    <t>Número de documento del titular.</t>
  </si>
  <si>
    <t>Titular_T</t>
  </si>
  <si>
    <t>Nombre del titular registrado.</t>
  </si>
  <si>
    <t>Tipo_Faci</t>
  </si>
  <si>
    <t>Tipo de facilitador.</t>
  </si>
  <si>
    <t>Pag_web</t>
  </si>
  <si>
    <t>Página web para pagos del comercio.</t>
  </si>
  <si>
    <t>Tel_ofi</t>
  </si>
  <si>
    <t>Teléfono de la oficina del comercio.</t>
  </si>
  <si>
    <t>Fax_ofi</t>
  </si>
  <si>
    <t>Fax de la oficina del comercio.</t>
  </si>
  <si>
    <t>EmailOpera</t>
  </si>
  <si>
    <t>Correo electrónico operativo.</t>
  </si>
  <si>
    <t>EmailRepProc</t>
  </si>
  <si>
    <t>Correo del representante de procesos.</t>
  </si>
  <si>
    <t>CARTERA_FM</t>
  </si>
  <si>
    <t>Identificador de cartera del comercio.</t>
  </si>
  <si>
    <t>NEG</t>
  </si>
  <si>
    <t>NOMBRE_PRODUCTO</t>
  </si>
  <si>
    <t>Nombre comercial del producto.</t>
  </si>
  <si>
    <t>NULL</t>
  </si>
  <si>
    <t>COMPANIA</t>
  </si>
  <si>
    <t>Nombre de la compañía asociada al producto.</t>
  </si>
  <si>
    <t>DIVISION_PRODUCTO</t>
  </si>
  <si>
    <t>División a la que pertenece el producto.</t>
  </si>
  <si>
    <t>Por Definir</t>
  </si>
  <si>
    <t>TIPO_PRODUCTO</t>
  </si>
  <si>
    <t>Clasificación del tipo de producto.</t>
  </si>
  <si>
    <t>PRODUCTO</t>
  </si>
  <si>
    <t>Código o descripción del producto.</t>
  </si>
  <si>
    <t>Direcc_Cont_8</t>
  </si>
  <si>
    <t>Dirección del contacto alterno 8.</t>
  </si>
  <si>
    <t>DocIde_Cont_8</t>
  </si>
  <si>
    <t>Documento de identidad del contacto alterno 8.</t>
  </si>
  <si>
    <t>ApePat_Cont_8</t>
  </si>
  <si>
    <t>Apellido paterno del contacto alterno 8.</t>
  </si>
  <si>
    <t>Nombre_Cont_8</t>
  </si>
  <si>
    <t>Nombre del contacto alterno 8.</t>
  </si>
  <si>
    <t>ARISALE</t>
  </si>
  <si>
    <t>Indicador o código interno de gestión 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</si>
</sst>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9"/>
      <color theme="9"/>
      <name val="&quot;Roboto Mono&quot;"/>
    </font>
    <font>
      <sz val="9"/>
      <color rgb="FF70AD47"/>
      <name val="&quot;Roboto Mono&quot;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wrapText="1"/>
    </xf>
    <xf numFmtId="0" fontId="7" fillId="4" borderId="0" xfId="0" applyFont="1" applyFill="1"/>
    <xf numFmtId="0" fontId="8" fillId="4" borderId="0" xfId="0" applyFont="1" applyFill="1"/>
    <xf numFmtId="0" fontId="0" fillId="0" borderId="2" xfId="0" applyBorder="1"/>
    <xf numFmtId="0" fontId="0" fillId="0" borderId="0" xfId="0" applyAlignment="1">
      <alignment horizontal="left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9" fillId="0" borderId="4" xfId="0" applyFont="1" applyBorder="1" applyAlignment="1">
      <alignment horizontal="center" wrapText="1"/>
    </xf>
    <xf numFmtId="0" fontId="9" fillId="0" borderId="6" xfId="0" applyFont="1" applyBorder="1" applyAlignment="1">
      <alignment horizontal="left" wrapText="1"/>
    </xf>
    <xf numFmtId="0" fontId="0" fillId="0" borderId="1" xfId="0" applyBorder="1"/>
    <xf numFmtId="0" fontId="6" fillId="0" borderId="2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5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11" fontId="6" fillId="0" borderId="2" xfId="0" applyNumberFormat="1" applyFont="1" applyBorder="1"/>
    <xf numFmtId="0" fontId="6" fillId="0" borderId="2" xfId="0" quotePrefix="1" applyFont="1" applyBorder="1"/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showGridLines="0" tabSelected="1" topLeftCell="C66" workbookViewId="0">
      <selection activeCell="D90" sqref="D90"/>
    </sheetView>
  </sheetViews>
  <sheetFormatPr baseColWidth="10" defaultColWidth="14.42578125" defaultRowHeight="15"/>
  <cols>
    <col min="1" max="1" width="31.28515625" customWidth="1"/>
    <col min="2" max="2" width="18.5703125" customWidth="1"/>
    <col min="3" max="3" width="28.28515625" customWidth="1"/>
    <col min="4" max="4" width="24.140625" customWidth="1"/>
    <col min="5" max="5" width="48.28515625" customWidth="1"/>
    <col min="6" max="6" width="51.28515625" customWidth="1"/>
    <col min="7" max="7" width="9.140625" customWidth="1"/>
    <col min="8" max="8" width="10.7109375" customWidth="1"/>
    <col min="9" max="9" width="40.42578125" style="11" customWidth="1"/>
    <col min="10" max="10" width="22.140625" customWidth="1"/>
    <col min="11" max="11" width="20.85546875" customWidth="1"/>
    <col min="12" max="12" width="22.140625" customWidth="1"/>
    <col min="13" max="13" width="20.85546875" customWidth="1"/>
    <col min="14" max="14" width="17" customWidth="1"/>
    <col min="15" max="18" width="47.7109375" customWidth="1"/>
  </cols>
  <sheetData>
    <row r="1" spans="1:20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</row>
    <row r="2" spans="1:20" ht="6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22" t="s">
        <v>18</v>
      </c>
      <c r="G2" s="22" t="s">
        <v>19</v>
      </c>
      <c r="H2" s="22" t="s">
        <v>20</v>
      </c>
      <c r="I2" s="22" t="s">
        <v>21</v>
      </c>
      <c r="J2" s="4" t="s">
        <v>22</v>
      </c>
      <c r="K2" s="4" t="s">
        <v>23</v>
      </c>
      <c r="L2" s="4" t="s">
        <v>24</v>
      </c>
      <c r="M2" s="4" t="s">
        <v>23</v>
      </c>
      <c r="N2" s="3"/>
      <c r="O2" s="3"/>
      <c r="P2" s="3"/>
      <c r="Q2" s="3"/>
      <c r="R2" s="3"/>
      <c r="S2" s="3"/>
      <c r="T2" s="3"/>
    </row>
    <row r="3" spans="1:20" ht="15.75">
      <c r="A3" s="5"/>
      <c r="B3" s="6" t="s">
        <v>25</v>
      </c>
      <c r="C3" s="12" t="s">
        <v>26</v>
      </c>
      <c r="D3" s="13" t="s">
        <v>27</v>
      </c>
      <c r="E3" s="19" t="str">
        <f>UPPER(D3)</f>
        <v>CODIGO</v>
      </c>
      <c r="F3" s="18" t="s">
        <v>28</v>
      </c>
      <c r="G3" s="18" t="s">
        <v>29</v>
      </c>
      <c r="H3" s="26" t="s">
        <v>30</v>
      </c>
      <c r="I3" s="23">
        <v>1022740</v>
      </c>
      <c r="J3" s="21" t="s">
        <v>31</v>
      </c>
      <c r="K3" s="7" t="s">
        <v>32</v>
      </c>
      <c r="L3" s="7" t="s">
        <v>31</v>
      </c>
      <c r="M3" s="7" t="s">
        <v>32</v>
      </c>
      <c r="N3" s="3"/>
      <c r="O3" s="3"/>
      <c r="P3" s="3"/>
      <c r="Q3" s="3"/>
      <c r="R3" s="3"/>
      <c r="S3" s="3"/>
    </row>
    <row r="4" spans="1:20" ht="30">
      <c r="A4" s="5"/>
      <c r="B4" s="6" t="s">
        <v>25</v>
      </c>
      <c r="C4" s="12" t="s">
        <v>26</v>
      </c>
      <c r="D4" s="13" t="s">
        <v>33</v>
      </c>
      <c r="E4" s="19" t="str">
        <f t="shared" ref="E4:E67" si="0">UPPER(D4)</f>
        <v>SITUAC</v>
      </c>
      <c r="F4" s="18" t="s">
        <v>34</v>
      </c>
      <c r="G4" s="18" t="s">
        <v>29</v>
      </c>
      <c r="H4" s="26" t="s">
        <v>30</v>
      </c>
      <c r="I4" s="23">
        <v>8</v>
      </c>
      <c r="J4" s="21" t="s">
        <v>32</v>
      </c>
      <c r="K4" s="7" t="s">
        <v>31</v>
      </c>
      <c r="L4" s="7" t="s">
        <v>32</v>
      </c>
      <c r="M4" s="7" t="s">
        <v>32</v>
      </c>
      <c r="N4" s="3"/>
      <c r="O4" s="3"/>
      <c r="P4" s="3"/>
      <c r="Q4" s="3"/>
      <c r="R4" s="3"/>
      <c r="S4" s="3"/>
    </row>
    <row r="5" spans="1:20" ht="30">
      <c r="A5" s="5"/>
      <c r="B5" s="6" t="s">
        <v>25</v>
      </c>
      <c r="C5" s="12" t="s">
        <v>26</v>
      </c>
      <c r="D5" s="13" t="s">
        <v>35</v>
      </c>
      <c r="E5" s="19" t="str">
        <f t="shared" si="0"/>
        <v>TIP_RUC</v>
      </c>
      <c r="F5" s="18" t="s">
        <v>36</v>
      </c>
      <c r="G5" s="18" t="s">
        <v>29</v>
      </c>
      <c r="H5" s="26" t="s">
        <v>30</v>
      </c>
      <c r="I5" s="23" t="s">
        <v>37</v>
      </c>
      <c r="J5" s="21" t="s">
        <v>32</v>
      </c>
      <c r="K5" s="7" t="s">
        <v>31</v>
      </c>
      <c r="L5" s="7" t="s">
        <v>32</v>
      </c>
      <c r="M5" s="7" t="s">
        <v>32</v>
      </c>
      <c r="N5" s="3"/>
      <c r="O5" s="8"/>
      <c r="P5" s="3"/>
      <c r="Q5" s="3"/>
      <c r="R5" s="3"/>
      <c r="S5" s="3"/>
    </row>
    <row r="6" spans="1:20" ht="15.75">
      <c r="A6" s="5"/>
      <c r="B6" s="6" t="s">
        <v>25</v>
      </c>
      <c r="C6" s="12" t="s">
        <v>26</v>
      </c>
      <c r="D6" s="13" t="s">
        <v>38</v>
      </c>
      <c r="E6" s="19" t="str">
        <f t="shared" si="0"/>
        <v>NRORUC</v>
      </c>
      <c r="F6" s="18" t="s">
        <v>39</v>
      </c>
      <c r="G6" s="18" t="s">
        <v>40</v>
      </c>
      <c r="H6" s="26" t="s">
        <v>30</v>
      </c>
      <c r="I6" s="23">
        <v>20557573055</v>
      </c>
      <c r="J6" s="21" t="s">
        <v>32</v>
      </c>
      <c r="K6" s="7" t="s">
        <v>31</v>
      </c>
      <c r="L6" s="7" t="s">
        <v>32</v>
      </c>
      <c r="M6" s="7" t="s">
        <v>32</v>
      </c>
      <c r="N6" s="3"/>
      <c r="O6" s="8"/>
      <c r="P6" s="3"/>
      <c r="Q6" s="3"/>
      <c r="R6" s="3"/>
      <c r="S6" s="3"/>
    </row>
    <row r="7" spans="1:20" ht="15.75">
      <c r="A7" s="5"/>
      <c r="B7" s="6" t="s">
        <v>25</v>
      </c>
      <c r="C7" s="12" t="s">
        <v>26</v>
      </c>
      <c r="D7" s="13" t="s">
        <v>41</v>
      </c>
      <c r="E7" s="19" t="str">
        <f t="shared" si="0"/>
        <v>CTA_ESP</v>
      </c>
      <c r="F7" s="18" t="s">
        <v>42</v>
      </c>
      <c r="G7" s="18" t="s">
        <v>29</v>
      </c>
      <c r="H7" s="26" t="s">
        <v>30</v>
      </c>
      <c r="I7" s="23" t="s">
        <v>32</v>
      </c>
      <c r="J7" s="21" t="s">
        <v>32</v>
      </c>
      <c r="K7" s="7" t="s">
        <v>31</v>
      </c>
      <c r="L7" s="7" t="s">
        <v>32</v>
      </c>
      <c r="M7" s="7" t="s">
        <v>32</v>
      </c>
      <c r="N7" s="3"/>
      <c r="O7" s="9"/>
      <c r="P7" s="3"/>
      <c r="Q7" s="3"/>
      <c r="R7" s="3"/>
      <c r="S7" s="3"/>
    </row>
    <row r="8" spans="1:20" ht="15.75" customHeight="1">
      <c r="A8" s="10"/>
      <c r="B8" s="6" t="s">
        <v>25</v>
      </c>
      <c r="C8" s="12" t="s">
        <v>26</v>
      </c>
      <c r="D8" s="13" t="s">
        <v>43</v>
      </c>
      <c r="E8" s="19" t="str">
        <f t="shared" si="0"/>
        <v>SEGMENTO</v>
      </c>
      <c r="F8" s="18" t="s">
        <v>44</v>
      </c>
      <c r="G8" s="18" t="s">
        <v>29</v>
      </c>
      <c r="H8" s="27" t="s">
        <v>30</v>
      </c>
      <c r="I8" s="23" t="s">
        <v>45</v>
      </c>
      <c r="J8" s="21" t="s">
        <v>32</v>
      </c>
      <c r="K8" s="7" t="s">
        <v>31</v>
      </c>
      <c r="L8" s="7" t="s">
        <v>32</v>
      </c>
      <c r="M8" s="7" t="s">
        <v>32</v>
      </c>
    </row>
    <row r="9" spans="1:20" ht="15.75" customHeight="1">
      <c r="A9" s="10"/>
      <c r="B9" s="6" t="s">
        <v>25</v>
      </c>
      <c r="C9" s="12" t="s">
        <v>26</v>
      </c>
      <c r="D9" s="13" t="s">
        <v>46</v>
      </c>
      <c r="E9" s="19" t="str">
        <f t="shared" si="0"/>
        <v>FACILI_PAGO</v>
      </c>
      <c r="F9" s="18" t="s">
        <v>47</v>
      </c>
      <c r="G9" s="18" t="s">
        <v>29</v>
      </c>
      <c r="H9" s="27" t="s">
        <v>30</v>
      </c>
      <c r="I9" s="23" t="s">
        <v>48</v>
      </c>
      <c r="J9" s="21" t="s">
        <v>32</v>
      </c>
      <c r="K9" s="7" t="s">
        <v>31</v>
      </c>
      <c r="L9" s="7" t="s">
        <v>32</v>
      </c>
      <c r="M9" s="7" t="s">
        <v>32</v>
      </c>
    </row>
    <row r="10" spans="1:20" ht="15.75" customHeight="1">
      <c r="A10" s="10"/>
      <c r="B10" s="6" t="s">
        <v>25</v>
      </c>
      <c r="C10" s="12" t="s">
        <v>26</v>
      </c>
      <c r="D10" s="13" t="s">
        <v>49</v>
      </c>
      <c r="E10" s="19" t="str">
        <f t="shared" si="0"/>
        <v>NOMCOM</v>
      </c>
      <c r="F10" s="18" t="s">
        <v>50</v>
      </c>
      <c r="G10" s="18" t="s">
        <v>29</v>
      </c>
      <c r="H10" s="27" t="s">
        <v>30</v>
      </c>
      <c r="I10" s="23" t="s">
        <v>51</v>
      </c>
      <c r="J10" s="21" t="s">
        <v>32</v>
      </c>
      <c r="K10" s="7" t="s">
        <v>31</v>
      </c>
      <c r="L10" s="7" t="s">
        <v>32</v>
      </c>
      <c r="M10" s="7" t="s">
        <v>32</v>
      </c>
    </row>
    <row r="11" spans="1:20" ht="15.75" customHeight="1">
      <c r="A11" s="10"/>
      <c r="B11" s="6" t="s">
        <v>25</v>
      </c>
      <c r="C11" s="12" t="s">
        <v>26</v>
      </c>
      <c r="D11" s="13" t="s">
        <v>52</v>
      </c>
      <c r="E11" s="19" t="str">
        <f t="shared" si="0"/>
        <v>RAZSOC</v>
      </c>
      <c r="F11" s="18" t="s">
        <v>53</v>
      </c>
      <c r="G11" s="18" t="s">
        <v>29</v>
      </c>
      <c r="H11" s="27" t="s">
        <v>30</v>
      </c>
      <c r="I11" s="23" t="s">
        <v>54</v>
      </c>
      <c r="J11" s="21" t="s">
        <v>32</v>
      </c>
      <c r="K11" s="7" t="s">
        <v>31</v>
      </c>
      <c r="L11" s="7" t="s">
        <v>32</v>
      </c>
      <c r="M11" s="7" t="s">
        <v>32</v>
      </c>
    </row>
    <row r="12" spans="1:20" ht="15.75" customHeight="1">
      <c r="A12" s="10"/>
      <c r="B12" s="6" t="s">
        <v>25</v>
      </c>
      <c r="C12" s="12" t="s">
        <v>26</v>
      </c>
      <c r="D12" s="13" t="s">
        <v>55</v>
      </c>
      <c r="E12" s="19" t="str">
        <f t="shared" si="0"/>
        <v>PGS</v>
      </c>
      <c r="F12" s="18" t="s">
        <v>56</v>
      </c>
      <c r="G12" s="18" t="s">
        <v>29</v>
      </c>
      <c r="H12" s="27" t="s">
        <v>30</v>
      </c>
      <c r="I12" s="23" t="s">
        <v>32</v>
      </c>
      <c r="J12" s="21" t="s">
        <v>32</v>
      </c>
      <c r="K12" s="7" t="s">
        <v>31</v>
      </c>
      <c r="L12" s="7" t="s">
        <v>32</v>
      </c>
      <c r="M12" s="7" t="s">
        <v>32</v>
      </c>
    </row>
    <row r="13" spans="1:20" ht="15.75" customHeight="1">
      <c r="A13" s="10"/>
      <c r="B13" s="6" t="s">
        <v>25</v>
      </c>
      <c r="C13" s="12" t="s">
        <v>26</v>
      </c>
      <c r="D13" s="13" t="s">
        <v>57</v>
      </c>
      <c r="E13" s="19" t="str">
        <f t="shared" si="0"/>
        <v>FEC_AFI_PGS</v>
      </c>
      <c r="F13" s="18" t="s">
        <v>58</v>
      </c>
      <c r="G13" s="18" t="s">
        <v>29</v>
      </c>
      <c r="H13" s="27" t="s">
        <v>30</v>
      </c>
      <c r="I13" s="23"/>
      <c r="J13" s="21" t="s">
        <v>32</v>
      </c>
      <c r="K13" s="7" t="s">
        <v>31</v>
      </c>
      <c r="L13" s="7" t="s">
        <v>32</v>
      </c>
      <c r="M13" s="7" t="s">
        <v>32</v>
      </c>
    </row>
    <row r="14" spans="1:20" ht="15.75" customHeight="1">
      <c r="A14" s="10"/>
      <c r="B14" s="6" t="s">
        <v>25</v>
      </c>
      <c r="C14" s="12" t="s">
        <v>26</v>
      </c>
      <c r="D14" s="13" t="s">
        <v>59</v>
      </c>
      <c r="E14" s="19" t="str">
        <f t="shared" si="0"/>
        <v>IZIPAY_YA</v>
      </c>
      <c r="F14" s="18" t="s">
        <v>60</v>
      </c>
      <c r="G14" s="18" t="s">
        <v>29</v>
      </c>
      <c r="H14" s="27" t="s">
        <v>30</v>
      </c>
      <c r="I14" s="23">
        <v>0</v>
      </c>
      <c r="J14" s="21" t="s">
        <v>32</v>
      </c>
      <c r="K14" s="7" t="s">
        <v>31</v>
      </c>
      <c r="L14" s="7" t="s">
        <v>32</v>
      </c>
      <c r="M14" s="7" t="s">
        <v>32</v>
      </c>
    </row>
    <row r="15" spans="1:20" ht="15.75" customHeight="1">
      <c r="A15" s="10"/>
      <c r="B15" s="6" t="s">
        <v>25</v>
      </c>
      <c r="C15" s="12" t="s">
        <v>26</v>
      </c>
      <c r="D15" s="13" t="s">
        <v>61</v>
      </c>
      <c r="E15" s="19" t="str">
        <f t="shared" si="0"/>
        <v>MONEDA</v>
      </c>
      <c r="F15" s="18" t="s">
        <v>62</v>
      </c>
      <c r="G15" s="18" t="s">
        <v>29</v>
      </c>
      <c r="H15" s="27" t="s">
        <v>30</v>
      </c>
      <c r="I15" s="23" t="s">
        <v>63</v>
      </c>
      <c r="J15" s="21" t="s">
        <v>32</v>
      </c>
      <c r="K15" s="7" t="s">
        <v>31</v>
      </c>
      <c r="L15" s="7" t="s">
        <v>32</v>
      </c>
      <c r="M15" s="7" t="s">
        <v>32</v>
      </c>
    </row>
    <row r="16" spans="1:20" ht="15.75" customHeight="1">
      <c r="A16" s="10"/>
      <c r="B16" s="6" t="s">
        <v>25</v>
      </c>
      <c r="C16" s="12" t="s">
        <v>26</v>
      </c>
      <c r="D16" s="13" t="s">
        <v>64</v>
      </c>
      <c r="E16" s="19" t="str">
        <f t="shared" si="0"/>
        <v>MCC</v>
      </c>
      <c r="F16" s="18" t="s">
        <v>65</v>
      </c>
      <c r="G16" s="18" t="s">
        <v>29</v>
      </c>
      <c r="H16" s="27" t="s">
        <v>30</v>
      </c>
      <c r="I16" s="23">
        <v>5532</v>
      </c>
      <c r="J16" s="21" t="s">
        <v>32</v>
      </c>
      <c r="K16" s="7" t="s">
        <v>31</v>
      </c>
      <c r="L16" s="7" t="s">
        <v>32</v>
      </c>
      <c r="M16" s="7" t="s">
        <v>32</v>
      </c>
    </row>
    <row r="17" spans="1:13" ht="15.75" customHeight="1">
      <c r="A17" s="10"/>
      <c r="B17" s="6" t="s">
        <v>25</v>
      </c>
      <c r="C17" s="12" t="s">
        <v>26</v>
      </c>
      <c r="D17" s="13" t="s">
        <v>66</v>
      </c>
      <c r="E17" s="19" t="str">
        <f t="shared" si="0"/>
        <v>GIRO</v>
      </c>
      <c r="F17" s="18" t="s">
        <v>67</v>
      </c>
      <c r="G17" s="18" t="s">
        <v>29</v>
      </c>
      <c r="H17" s="27" t="s">
        <v>30</v>
      </c>
      <c r="I17" s="23" t="s">
        <v>68</v>
      </c>
      <c r="J17" s="21" t="s">
        <v>32</v>
      </c>
      <c r="K17" s="7" t="s">
        <v>31</v>
      </c>
      <c r="L17" s="7" t="s">
        <v>32</v>
      </c>
      <c r="M17" s="7" t="s">
        <v>32</v>
      </c>
    </row>
    <row r="18" spans="1:13" ht="15.75" customHeight="1">
      <c r="A18" s="10"/>
      <c r="B18" s="6" t="s">
        <v>25</v>
      </c>
      <c r="C18" s="12" t="s">
        <v>26</v>
      </c>
      <c r="D18" s="13" t="s">
        <v>69</v>
      </c>
      <c r="E18" s="19" t="str">
        <f t="shared" si="0"/>
        <v>HR_VISA_MC</v>
      </c>
      <c r="F18" s="18" t="s">
        <v>70</v>
      </c>
      <c r="G18" s="18" t="s">
        <v>29</v>
      </c>
      <c r="H18" s="27" t="s">
        <v>30</v>
      </c>
      <c r="I18" s="23">
        <v>0</v>
      </c>
      <c r="J18" s="21" t="s">
        <v>32</v>
      </c>
      <c r="K18" s="7" t="s">
        <v>31</v>
      </c>
      <c r="L18" s="7" t="s">
        <v>32</v>
      </c>
      <c r="M18" s="7" t="s">
        <v>32</v>
      </c>
    </row>
    <row r="19" spans="1:13" ht="15.75" customHeight="1">
      <c r="A19" s="10"/>
      <c r="B19" s="6" t="s">
        <v>25</v>
      </c>
      <c r="C19" s="12" t="s">
        <v>26</v>
      </c>
      <c r="D19" s="13" t="s">
        <v>71</v>
      </c>
      <c r="E19" s="19" t="str">
        <f t="shared" si="0"/>
        <v>HR_SBS</v>
      </c>
      <c r="F19" s="18" t="s">
        <v>72</v>
      </c>
      <c r="G19" s="18" t="s">
        <v>29</v>
      </c>
      <c r="H19" s="27" t="s">
        <v>30</v>
      </c>
      <c r="I19" s="23">
        <v>0</v>
      </c>
      <c r="J19" s="21" t="s">
        <v>32</v>
      </c>
      <c r="K19" s="7" t="s">
        <v>31</v>
      </c>
      <c r="L19" s="7" t="s">
        <v>32</v>
      </c>
      <c r="M19" s="7" t="s">
        <v>32</v>
      </c>
    </row>
    <row r="20" spans="1:13" ht="15.75" customHeight="1">
      <c r="A20" s="10"/>
      <c r="B20" s="6" t="s">
        <v>25</v>
      </c>
      <c r="C20" s="12" t="s">
        <v>26</v>
      </c>
      <c r="D20" s="13" t="s">
        <v>73</v>
      </c>
      <c r="E20" s="19" t="str">
        <f t="shared" si="0"/>
        <v>COD_AMEX</v>
      </c>
      <c r="F20" s="18" t="s">
        <v>74</v>
      </c>
      <c r="G20" s="18" t="s">
        <v>29</v>
      </c>
      <c r="H20" s="27" t="s">
        <v>30</v>
      </c>
      <c r="I20" s="23">
        <v>9959161829</v>
      </c>
      <c r="J20" s="21" t="s">
        <v>32</v>
      </c>
      <c r="K20" s="7" t="s">
        <v>31</v>
      </c>
      <c r="L20" s="7" t="s">
        <v>32</v>
      </c>
      <c r="M20" s="7" t="s">
        <v>32</v>
      </c>
    </row>
    <row r="21" spans="1:13" ht="15.75" customHeight="1">
      <c r="A21" s="10"/>
      <c r="B21" s="6" t="s">
        <v>25</v>
      </c>
      <c r="C21" s="12" t="s">
        <v>26</v>
      </c>
      <c r="D21" s="13" t="s">
        <v>75</v>
      </c>
      <c r="E21" s="19" t="str">
        <f t="shared" si="0"/>
        <v>S_AMEX</v>
      </c>
      <c r="F21" s="18" t="s">
        <v>76</v>
      </c>
      <c r="G21" s="18" t="s">
        <v>29</v>
      </c>
      <c r="H21" s="27" t="s">
        <v>30</v>
      </c>
      <c r="I21" s="23">
        <v>1</v>
      </c>
      <c r="J21" s="21" t="s">
        <v>32</v>
      </c>
      <c r="K21" s="7" t="s">
        <v>31</v>
      </c>
      <c r="L21" s="7" t="s">
        <v>32</v>
      </c>
      <c r="M21" s="7" t="s">
        <v>32</v>
      </c>
    </row>
    <row r="22" spans="1:13" ht="15.75" customHeight="1">
      <c r="A22" s="10"/>
      <c r="B22" s="6" t="s">
        <v>25</v>
      </c>
      <c r="C22" s="12" t="s">
        <v>26</v>
      </c>
      <c r="D22" s="13" t="s">
        <v>77</v>
      </c>
      <c r="E22" s="19" t="str">
        <f t="shared" si="0"/>
        <v>S_DINERS</v>
      </c>
      <c r="F22" s="18" t="s">
        <v>78</v>
      </c>
      <c r="G22" s="18" t="s">
        <v>29</v>
      </c>
      <c r="H22" s="27" t="s">
        <v>30</v>
      </c>
      <c r="I22" s="23">
        <v>1</v>
      </c>
      <c r="J22" s="21" t="s">
        <v>32</v>
      </c>
      <c r="K22" s="7" t="s">
        <v>31</v>
      </c>
      <c r="L22" s="7" t="s">
        <v>32</v>
      </c>
      <c r="M22" s="7" t="s">
        <v>32</v>
      </c>
    </row>
    <row r="23" spans="1:13" ht="15.75" customHeight="1">
      <c r="A23" s="10"/>
      <c r="B23" s="6" t="s">
        <v>25</v>
      </c>
      <c r="C23" s="12" t="s">
        <v>26</v>
      </c>
      <c r="D23" s="13" t="s">
        <v>79</v>
      </c>
      <c r="E23" s="19" t="str">
        <f t="shared" si="0"/>
        <v>S_VISA</v>
      </c>
      <c r="F23" s="18" t="s">
        <v>80</v>
      </c>
      <c r="G23" s="18" t="s">
        <v>29</v>
      </c>
      <c r="H23" s="27" t="s">
        <v>30</v>
      </c>
      <c r="I23" s="23">
        <v>1</v>
      </c>
      <c r="J23" s="21" t="s">
        <v>32</v>
      </c>
      <c r="K23" s="7" t="s">
        <v>31</v>
      </c>
      <c r="L23" s="7" t="s">
        <v>32</v>
      </c>
      <c r="M23" s="7" t="s">
        <v>32</v>
      </c>
    </row>
    <row r="24" spans="1:13" ht="15.75" customHeight="1">
      <c r="A24" s="10"/>
      <c r="B24" s="6" t="s">
        <v>25</v>
      </c>
      <c r="C24" s="12" t="s">
        <v>26</v>
      </c>
      <c r="D24" s="13" t="s">
        <v>81</v>
      </c>
      <c r="E24" s="19" t="str">
        <f t="shared" si="0"/>
        <v>C_VISA</v>
      </c>
      <c r="F24" s="18" t="s">
        <v>82</v>
      </c>
      <c r="G24" s="18" t="s">
        <v>29</v>
      </c>
      <c r="H24" s="27" t="s">
        <v>30</v>
      </c>
      <c r="I24" s="23" t="s">
        <v>83</v>
      </c>
      <c r="J24" s="21" t="s">
        <v>32</v>
      </c>
      <c r="K24" s="7" t="s">
        <v>31</v>
      </c>
      <c r="L24" s="7" t="s">
        <v>32</v>
      </c>
      <c r="M24" s="7" t="s">
        <v>32</v>
      </c>
    </row>
    <row r="25" spans="1:13" ht="15.75" customHeight="1">
      <c r="A25" s="10"/>
      <c r="B25" s="6" t="s">
        <v>25</v>
      </c>
      <c r="C25" s="12" t="s">
        <v>26</v>
      </c>
      <c r="D25" s="13" t="s">
        <v>84</v>
      </c>
      <c r="E25" s="19" t="str">
        <f t="shared" si="0"/>
        <v>C_MASTERCARD</v>
      </c>
      <c r="F25" s="18" t="s">
        <v>85</v>
      </c>
      <c r="G25" s="18" t="s">
        <v>29</v>
      </c>
      <c r="H25" s="27" t="s">
        <v>30</v>
      </c>
      <c r="I25" s="23">
        <v>4</v>
      </c>
      <c r="J25" s="21" t="s">
        <v>32</v>
      </c>
      <c r="K25" s="7" t="s">
        <v>31</v>
      </c>
      <c r="L25" s="7" t="s">
        <v>32</v>
      </c>
      <c r="M25" s="7" t="s">
        <v>32</v>
      </c>
    </row>
    <row r="26" spans="1:13" ht="15.75" customHeight="1">
      <c r="A26" s="10"/>
      <c r="B26" s="6" t="s">
        <v>25</v>
      </c>
      <c r="C26" s="12" t="s">
        <v>26</v>
      </c>
      <c r="D26" s="13" t="s">
        <v>86</v>
      </c>
      <c r="E26" s="19" t="str">
        <f t="shared" si="0"/>
        <v>C_AMEX</v>
      </c>
      <c r="F26" s="18" t="s">
        <v>87</v>
      </c>
      <c r="G26" s="18" t="s">
        <v>29</v>
      </c>
      <c r="H26" s="27" t="s">
        <v>30</v>
      </c>
      <c r="I26" s="23" t="s">
        <v>88</v>
      </c>
      <c r="J26" s="21" t="s">
        <v>32</v>
      </c>
      <c r="K26" s="7" t="s">
        <v>31</v>
      </c>
      <c r="L26" s="7" t="s">
        <v>32</v>
      </c>
      <c r="M26" s="7" t="s">
        <v>32</v>
      </c>
    </row>
    <row r="27" spans="1:13" ht="15.75" customHeight="1">
      <c r="A27" s="10"/>
      <c r="B27" s="6" t="s">
        <v>25</v>
      </c>
      <c r="C27" s="12" t="s">
        <v>26</v>
      </c>
      <c r="D27" s="13" t="s">
        <v>89</v>
      </c>
      <c r="E27" s="19" t="str">
        <f t="shared" si="0"/>
        <v>C_DINERS</v>
      </c>
      <c r="F27" s="18" t="s">
        <v>90</v>
      </c>
      <c r="G27" s="18" t="s">
        <v>29</v>
      </c>
      <c r="H27" s="27" t="s">
        <v>30</v>
      </c>
      <c r="I27" s="23">
        <v>4</v>
      </c>
      <c r="J27" s="21" t="s">
        <v>32</v>
      </c>
      <c r="K27" s="7" t="s">
        <v>31</v>
      </c>
      <c r="L27" s="7" t="s">
        <v>32</v>
      </c>
      <c r="M27" s="7" t="s">
        <v>32</v>
      </c>
    </row>
    <row r="28" spans="1:13" ht="15.75" customHeight="1">
      <c r="A28" s="10"/>
      <c r="B28" s="6" t="s">
        <v>25</v>
      </c>
      <c r="C28" s="12" t="s">
        <v>26</v>
      </c>
      <c r="D28" s="13" t="s">
        <v>91</v>
      </c>
      <c r="E28" s="19" t="str">
        <f t="shared" si="0"/>
        <v>CONTRA</v>
      </c>
      <c r="F28" s="18" t="s">
        <v>92</v>
      </c>
      <c r="G28" s="18" t="s">
        <v>29</v>
      </c>
      <c r="H28" s="27" t="s">
        <v>30</v>
      </c>
      <c r="I28" s="23" t="s">
        <v>93</v>
      </c>
      <c r="J28" s="21" t="s">
        <v>32</v>
      </c>
      <c r="K28" s="7" t="s">
        <v>31</v>
      </c>
      <c r="L28" s="7" t="s">
        <v>32</v>
      </c>
      <c r="M28" s="7" t="s">
        <v>32</v>
      </c>
    </row>
    <row r="29" spans="1:13" ht="15.75" customHeight="1">
      <c r="A29" s="10"/>
      <c r="B29" s="6" t="s">
        <v>25</v>
      </c>
      <c r="C29" s="12" t="s">
        <v>26</v>
      </c>
      <c r="D29" s="13" t="s">
        <v>94</v>
      </c>
      <c r="E29" s="19" t="str">
        <f t="shared" si="0"/>
        <v>COMPAÑIA</v>
      </c>
      <c r="F29" s="18" t="s">
        <v>95</v>
      </c>
      <c r="G29" s="18" t="s">
        <v>29</v>
      </c>
      <c r="H29" s="27" t="s">
        <v>30</v>
      </c>
      <c r="I29" s="23" t="s">
        <v>96</v>
      </c>
      <c r="J29" s="21" t="s">
        <v>32</v>
      </c>
      <c r="K29" s="7" t="s">
        <v>31</v>
      </c>
      <c r="L29" s="7" t="s">
        <v>32</v>
      </c>
      <c r="M29" s="7" t="s">
        <v>32</v>
      </c>
    </row>
    <row r="30" spans="1:13" ht="15.75" customHeight="1">
      <c r="A30" s="10"/>
      <c r="B30" s="6" t="s">
        <v>25</v>
      </c>
      <c r="C30" s="12" t="s">
        <v>26</v>
      </c>
      <c r="D30" s="13" t="s">
        <v>97</v>
      </c>
      <c r="E30" s="19" t="str">
        <f t="shared" si="0"/>
        <v>DIRE</v>
      </c>
      <c r="F30" s="18" t="s">
        <v>98</v>
      </c>
      <c r="G30" s="18" t="s">
        <v>29</v>
      </c>
      <c r="H30" s="27" t="s">
        <v>30</v>
      </c>
      <c r="I30" s="23" t="s">
        <v>99</v>
      </c>
      <c r="J30" s="21" t="s">
        <v>32</v>
      </c>
      <c r="K30" s="7" t="s">
        <v>31</v>
      </c>
      <c r="L30" s="7" t="s">
        <v>32</v>
      </c>
      <c r="M30" s="7" t="s">
        <v>32</v>
      </c>
    </row>
    <row r="31" spans="1:13" ht="15.75" customHeight="1">
      <c r="A31" s="10"/>
      <c r="B31" s="6" t="s">
        <v>25</v>
      </c>
      <c r="C31" s="12" t="s">
        <v>26</v>
      </c>
      <c r="D31" s="13" t="s">
        <v>100</v>
      </c>
      <c r="E31" s="19" t="str">
        <f t="shared" si="0"/>
        <v>DPTO</v>
      </c>
      <c r="F31" s="18" t="s">
        <v>101</v>
      </c>
      <c r="G31" s="18" t="s">
        <v>29</v>
      </c>
      <c r="H31" s="27" t="s">
        <v>30</v>
      </c>
      <c r="I31" s="23" t="s">
        <v>102</v>
      </c>
      <c r="J31" s="21" t="s">
        <v>32</v>
      </c>
      <c r="K31" s="7" t="s">
        <v>31</v>
      </c>
      <c r="L31" s="7" t="s">
        <v>32</v>
      </c>
      <c r="M31" s="7" t="s">
        <v>32</v>
      </c>
    </row>
    <row r="32" spans="1:13" ht="15.75" customHeight="1">
      <c r="A32" s="10"/>
      <c r="B32" s="6" t="s">
        <v>25</v>
      </c>
      <c r="C32" s="12" t="s">
        <v>26</v>
      </c>
      <c r="D32" s="13" t="s">
        <v>103</v>
      </c>
      <c r="E32" s="19" t="str">
        <f t="shared" si="0"/>
        <v>PROV</v>
      </c>
      <c r="F32" s="18" t="s">
        <v>104</v>
      </c>
      <c r="G32" s="18" t="s">
        <v>29</v>
      </c>
      <c r="H32" s="27" t="s">
        <v>30</v>
      </c>
      <c r="I32" s="23" t="s">
        <v>102</v>
      </c>
      <c r="J32" s="21" t="s">
        <v>32</v>
      </c>
      <c r="K32" s="7" t="s">
        <v>31</v>
      </c>
      <c r="L32" s="7" t="s">
        <v>32</v>
      </c>
      <c r="M32" s="7" t="s">
        <v>32</v>
      </c>
    </row>
    <row r="33" spans="1:13" ht="15.75" customHeight="1">
      <c r="A33" s="10"/>
      <c r="B33" s="6" t="s">
        <v>25</v>
      </c>
      <c r="C33" s="12" t="s">
        <v>26</v>
      </c>
      <c r="D33" s="13" t="s">
        <v>105</v>
      </c>
      <c r="E33" s="19" t="str">
        <f t="shared" si="0"/>
        <v>DIST</v>
      </c>
      <c r="F33" s="18" t="s">
        <v>106</v>
      </c>
      <c r="G33" s="18" t="s">
        <v>29</v>
      </c>
      <c r="H33" s="27" t="s">
        <v>30</v>
      </c>
      <c r="I33" s="23" t="s">
        <v>107</v>
      </c>
      <c r="J33" s="21" t="s">
        <v>32</v>
      </c>
      <c r="K33" s="7" t="s">
        <v>31</v>
      </c>
      <c r="L33" s="7" t="s">
        <v>32</v>
      </c>
      <c r="M33" s="7" t="s">
        <v>32</v>
      </c>
    </row>
    <row r="34" spans="1:13" ht="15.75" customHeight="1">
      <c r="A34" s="10"/>
      <c r="B34" s="6" t="s">
        <v>25</v>
      </c>
      <c r="C34" s="12" t="s">
        <v>26</v>
      </c>
      <c r="D34" s="13" t="s">
        <v>108</v>
      </c>
      <c r="E34" s="19" t="str">
        <f t="shared" si="0"/>
        <v>CPOS</v>
      </c>
      <c r="F34" s="18" t="s">
        <v>109</v>
      </c>
      <c r="G34" s="18" t="s">
        <v>29</v>
      </c>
      <c r="H34" s="27" t="s">
        <v>30</v>
      </c>
      <c r="I34" s="23" t="s">
        <v>110</v>
      </c>
      <c r="J34" s="21" t="s">
        <v>32</v>
      </c>
      <c r="K34" s="7" t="s">
        <v>31</v>
      </c>
      <c r="L34" s="7" t="s">
        <v>32</v>
      </c>
      <c r="M34" s="7" t="s">
        <v>32</v>
      </c>
    </row>
    <row r="35" spans="1:13" ht="15.75" customHeight="1">
      <c r="A35" s="10"/>
      <c r="B35" s="6" t="s">
        <v>25</v>
      </c>
      <c r="C35" s="12" t="s">
        <v>26</v>
      </c>
      <c r="D35" s="13" t="s">
        <v>111</v>
      </c>
      <c r="E35" s="19" t="str">
        <f t="shared" si="0"/>
        <v>UBIGEO</v>
      </c>
      <c r="F35" s="18" t="s">
        <v>112</v>
      </c>
      <c r="G35" s="18" t="s">
        <v>29</v>
      </c>
      <c r="H35" s="27" t="s">
        <v>30</v>
      </c>
      <c r="I35" s="23">
        <v>150114</v>
      </c>
      <c r="J35" s="21" t="s">
        <v>32</v>
      </c>
      <c r="K35" s="7" t="s">
        <v>31</v>
      </c>
      <c r="L35" s="7" t="s">
        <v>32</v>
      </c>
      <c r="M35" s="7" t="s">
        <v>32</v>
      </c>
    </row>
    <row r="36" spans="1:13" ht="15.75" customHeight="1">
      <c r="A36" s="10"/>
      <c r="B36" s="6" t="s">
        <v>25</v>
      </c>
      <c r="C36" s="12" t="s">
        <v>26</v>
      </c>
      <c r="D36" s="13" t="s">
        <v>113</v>
      </c>
      <c r="E36" s="19" t="str">
        <f t="shared" si="0"/>
        <v>TELEFO</v>
      </c>
      <c r="F36" s="18" t="s">
        <v>114</v>
      </c>
      <c r="G36" s="18" t="s">
        <v>29</v>
      </c>
      <c r="H36" s="27" t="s">
        <v>30</v>
      </c>
      <c r="I36" s="23">
        <v>3647140</v>
      </c>
      <c r="J36" s="21" t="s">
        <v>32</v>
      </c>
      <c r="K36" s="7" t="s">
        <v>31</v>
      </c>
      <c r="L36" s="7" t="s">
        <v>32</v>
      </c>
      <c r="M36" s="7" t="s">
        <v>32</v>
      </c>
    </row>
    <row r="37" spans="1:13" ht="15.75" customHeight="1">
      <c r="A37" s="10"/>
      <c r="B37" s="6" t="s">
        <v>25</v>
      </c>
      <c r="C37" s="12" t="s">
        <v>26</v>
      </c>
      <c r="D37" s="13" t="s">
        <v>115</v>
      </c>
      <c r="E37" s="19" t="str">
        <f t="shared" si="0"/>
        <v>FAX</v>
      </c>
      <c r="F37" s="18" t="s">
        <v>116</v>
      </c>
      <c r="G37" s="18" t="s">
        <v>29</v>
      </c>
      <c r="H37" s="27" t="s">
        <v>30</v>
      </c>
      <c r="I37" s="23">
        <v>998158119</v>
      </c>
      <c r="J37" s="21" t="s">
        <v>32</v>
      </c>
      <c r="K37" s="7" t="s">
        <v>31</v>
      </c>
      <c r="L37" s="7" t="s">
        <v>32</v>
      </c>
      <c r="M37" s="7" t="s">
        <v>32</v>
      </c>
    </row>
    <row r="38" spans="1:13" ht="15.75" customHeight="1">
      <c r="A38" s="10"/>
      <c r="B38" s="6" t="s">
        <v>25</v>
      </c>
      <c r="C38" s="12" t="s">
        <v>26</v>
      </c>
      <c r="D38" s="13" t="s">
        <v>117</v>
      </c>
      <c r="E38" s="19" t="str">
        <f t="shared" si="0"/>
        <v>CLASEF</v>
      </c>
      <c r="F38" s="18" t="s">
        <v>118</v>
      </c>
      <c r="G38" s="18" t="s">
        <v>29</v>
      </c>
      <c r="H38" s="27" t="s">
        <v>30</v>
      </c>
      <c r="I38" s="23">
        <v>4</v>
      </c>
      <c r="J38" s="21" t="s">
        <v>32</v>
      </c>
      <c r="K38" s="7" t="s">
        <v>31</v>
      </c>
      <c r="L38" s="7" t="s">
        <v>32</v>
      </c>
      <c r="M38" s="7" t="s">
        <v>32</v>
      </c>
    </row>
    <row r="39" spans="1:13" ht="15.75" customHeight="1">
      <c r="A39" s="10"/>
      <c r="B39" s="6" t="s">
        <v>25</v>
      </c>
      <c r="C39" s="12" t="s">
        <v>26</v>
      </c>
      <c r="D39" s="13" t="s">
        <v>119</v>
      </c>
      <c r="E39" s="19" t="str">
        <f t="shared" si="0"/>
        <v>FECAPE</v>
      </c>
      <c r="F39" s="18" t="s">
        <v>120</v>
      </c>
      <c r="G39" s="18" t="s">
        <v>29</v>
      </c>
      <c r="H39" s="27" t="s">
        <v>30</v>
      </c>
      <c r="I39" s="23">
        <v>20190423</v>
      </c>
      <c r="J39" s="21" t="s">
        <v>32</v>
      </c>
      <c r="K39" s="7" t="s">
        <v>31</v>
      </c>
      <c r="L39" s="7" t="s">
        <v>32</v>
      </c>
      <c r="M39" s="7" t="s">
        <v>32</v>
      </c>
    </row>
    <row r="40" spans="1:13" ht="15.75" customHeight="1">
      <c r="A40" s="10"/>
      <c r="B40" s="6" t="s">
        <v>25</v>
      </c>
      <c r="C40" s="12" t="s">
        <v>26</v>
      </c>
      <c r="D40" s="13" t="s">
        <v>121</v>
      </c>
      <c r="E40" s="19" t="str">
        <f t="shared" si="0"/>
        <v>FECMOD</v>
      </c>
      <c r="F40" s="18" t="s">
        <v>122</v>
      </c>
      <c r="G40" s="18" t="s">
        <v>29</v>
      </c>
      <c r="H40" s="27" t="s">
        <v>30</v>
      </c>
      <c r="I40" s="23">
        <v>20240223</v>
      </c>
      <c r="J40" s="21" t="s">
        <v>32</v>
      </c>
      <c r="K40" s="7" t="s">
        <v>31</v>
      </c>
      <c r="L40" s="7" t="s">
        <v>32</v>
      </c>
      <c r="M40" s="7" t="s">
        <v>32</v>
      </c>
    </row>
    <row r="41" spans="1:13" ht="15.75" customHeight="1">
      <c r="A41" s="10"/>
      <c r="B41" s="6" t="s">
        <v>25</v>
      </c>
      <c r="C41" s="12" t="s">
        <v>26</v>
      </c>
      <c r="D41" s="13" t="s">
        <v>123</v>
      </c>
      <c r="E41" s="19" t="str">
        <f t="shared" si="0"/>
        <v>FECBLQ</v>
      </c>
      <c r="F41" s="18" t="s">
        <v>124</v>
      </c>
      <c r="G41" s="18" t="s">
        <v>29</v>
      </c>
      <c r="H41" s="27" t="s">
        <v>30</v>
      </c>
      <c r="I41" s="23">
        <v>20100913</v>
      </c>
      <c r="J41" s="21" t="s">
        <v>32</v>
      </c>
      <c r="K41" s="7" t="s">
        <v>31</v>
      </c>
      <c r="L41" s="7" t="s">
        <v>32</v>
      </c>
      <c r="M41" s="7" t="s">
        <v>32</v>
      </c>
    </row>
    <row r="42" spans="1:13" ht="15.75" customHeight="1">
      <c r="A42" s="10"/>
      <c r="B42" s="6" t="s">
        <v>25</v>
      </c>
      <c r="C42" s="12" t="s">
        <v>26</v>
      </c>
      <c r="D42" s="13" t="s">
        <v>125</v>
      </c>
      <c r="E42" s="19" t="str">
        <f t="shared" si="0"/>
        <v>MOTBLQ</v>
      </c>
      <c r="F42" s="18" t="s">
        <v>126</v>
      </c>
      <c r="G42" s="18" t="s">
        <v>29</v>
      </c>
      <c r="H42" s="27" t="s">
        <v>30</v>
      </c>
      <c r="I42" s="23" t="s">
        <v>127</v>
      </c>
      <c r="J42" s="21" t="s">
        <v>32</v>
      </c>
      <c r="K42" s="7" t="s">
        <v>31</v>
      </c>
      <c r="L42" s="7" t="s">
        <v>32</v>
      </c>
      <c r="M42" s="7" t="s">
        <v>32</v>
      </c>
    </row>
    <row r="43" spans="1:13" ht="15.75" customHeight="1">
      <c r="A43" s="10"/>
      <c r="B43" s="6" t="s">
        <v>25</v>
      </c>
      <c r="C43" s="12" t="s">
        <v>26</v>
      </c>
      <c r="D43" s="13" t="s">
        <v>128</v>
      </c>
      <c r="E43" s="19" t="str">
        <f t="shared" si="0"/>
        <v>OBSERV</v>
      </c>
      <c r="F43" s="18" t="s">
        <v>129</v>
      </c>
      <c r="G43" s="18" t="s">
        <v>29</v>
      </c>
      <c r="H43" s="27" t="s">
        <v>30</v>
      </c>
      <c r="I43" s="23" t="s">
        <v>130</v>
      </c>
      <c r="J43" s="21" t="s">
        <v>32</v>
      </c>
      <c r="K43" s="7" t="s">
        <v>31</v>
      </c>
      <c r="L43" s="7" t="s">
        <v>32</v>
      </c>
      <c r="M43" s="7" t="s">
        <v>32</v>
      </c>
    </row>
    <row r="44" spans="1:13" ht="15.75" customHeight="1">
      <c r="A44" s="10"/>
      <c r="B44" s="6" t="s">
        <v>25</v>
      </c>
      <c r="C44" s="12" t="s">
        <v>26</v>
      </c>
      <c r="D44" s="13" t="s">
        <v>131</v>
      </c>
      <c r="E44" s="19" t="str">
        <f t="shared" si="0"/>
        <v>BLQ_FRAU</v>
      </c>
      <c r="F44" s="18" t="s">
        <v>132</v>
      </c>
      <c r="G44" s="18" t="s">
        <v>29</v>
      </c>
      <c r="H44" s="27" t="s">
        <v>30</v>
      </c>
      <c r="I44" s="23" t="s">
        <v>133</v>
      </c>
      <c r="J44" s="21" t="s">
        <v>32</v>
      </c>
      <c r="K44" s="7" t="s">
        <v>31</v>
      </c>
      <c r="L44" s="7" t="s">
        <v>32</v>
      </c>
      <c r="M44" s="7" t="s">
        <v>32</v>
      </c>
    </row>
    <row r="45" spans="1:13" ht="15.75" customHeight="1">
      <c r="A45" s="10"/>
      <c r="B45" s="6" t="s">
        <v>25</v>
      </c>
      <c r="C45" s="12" t="s">
        <v>26</v>
      </c>
      <c r="D45" s="13" t="s">
        <v>134</v>
      </c>
      <c r="E45" s="19" t="str">
        <f t="shared" si="0"/>
        <v>FRAUDE_RIESGOS</v>
      </c>
      <c r="F45" s="18" t="s">
        <v>135</v>
      </c>
      <c r="G45" s="18" t="s">
        <v>29</v>
      </c>
      <c r="H45" s="27" t="s">
        <v>30</v>
      </c>
      <c r="I45" s="23">
        <v>0</v>
      </c>
      <c r="J45" s="21" t="s">
        <v>32</v>
      </c>
      <c r="K45" s="7" t="s">
        <v>31</v>
      </c>
      <c r="L45" s="7" t="s">
        <v>32</v>
      </c>
      <c r="M45" s="7" t="s">
        <v>32</v>
      </c>
    </row>
    <row r="46" spans="1:13" ht="15.75" customHeight="1">
      <c r="A46" s="10"/>
      <c r="B46" s="6" t="s">
        <v>25</v>
      </c>
      <c r="C46" s="12" t="s">
        <v>26</v>
      </c>
      <c r="D46" s="13" t="s">
        <v>136</v>
      </c>
      <c r="E46" s="19" t="str">
        <f t="shared" si="0"/>
        <v>FRAUDE_CUMPLIMIENTO</v>
      </c>
      <c r="F46" s="18" t="s">
        <v>137</v>
      </c>
      <c r="G46" s="18" t="s">
        <v>29</v>
      </c>
      <c r="H46" s="27" t="s">
        <v>30</v>
      </c>
      <c r="I46" s="23">
        <v>0</v>
      </c>
      <c r="J46" s="21" t="s">
        <v>32</v>
      </c>
      <c r="K46" s="7" t="s">
        <v>31</v>
      </c>
      <c r="L46" s="7" t="s">
        <v>32</v>
      </c>
      <c r="M46" s="7" t="s">
        <v>32</v>
      </c>
    </row>
    <row r="47" spans="1:13" ht="15.75" customHeight="1">
      <c r="A47" s="10"/>
      <c r="B47" s="6" t="s">
        <v>25</v>
      </c>
      <c r="C47" s="12" t="s">
        <v>26</v>
      </c>
      <c r="D47" s="13" t="s">
        <v>138</v>
      </c>
      <c r="E47" s="19" t="str">
        <f t="shared" si="0"/>
        <v>NOMBCO</v>
      </c>
      <c r="F47" s="18" t="s">
        <v>139</v>
      </c>
      <c r="G47" s="18" t="s">
        <v>29</v>
      </c>
      <c r="H47" s="27" t="s">
        <v>30</v>
      </c>
      <c r="I47" s="23" t="s">
        <v>140</v>
      </c>
      <c r="J47" s="21" t="s">
        <v>32</v>
      </c>
      <c r="K47" s="7" t="s">
        <v>31</v>
      </c>
      <c r="L47" s="7" t="s">
        <v>32</v>
      </c>
      <c r="M47" s="7" t="s">
        <v>32</v>
      </c>
    </row>
    <row r="48" spans="1:13" ht="15.75" customHeight="1">
      <c r="A48" s="10"/>
      <c r="B48" s="6" t="s">
        <v>25</v>
      </c>
      <c r="C48" s="12" t="s">
        <v>26</v>
      </c>
      <c r="D48" s="13" t="s">
        <v>141</v>
      </c>
      <c r="E48" s="19" t="str">
        <f t="shared" si="0"/>
        <v>TERCER</v>
      </c>
      <c r="F48" s="18" t="s">
        <v>142</v>
      </c>
      <c r="G48" s="18" t="s">
        <v>29</v>
      </c>
      <c r="H48" s="27" t="s">
        <v>30</v>
      </c>
      <c r="I48" s="23" t="s">
        <v>143</v>
      </c>
      <c r="J48" s="21" t="s">
        <v>32</v>
      </c>
      <c r="K48" s="7" t="s">
        <v>31</v>
      </c>
      <c r="L48" s="7" t="s">
        <v>32</v>
      </c>
      <c r="M48" s="7" t="s">
        <v>32</v>
      </c>
    </row>
    <row r="49" spans="1:13" ht="15.75" customHeight="1">
      <c r="A49" s="10"/>
      <c r="B49" s="6" t="s">
        <v>25</v>
      </c>
      <c r="C49" s="12" t="s">
        <v>26</v>
      </c>
      <c r="D49" s="13" t="s">
        <v>144</v>
      </c>
      <c r="E49" s="19" t="str">
        <f t="shared" si="0"/>
        <v>TIPCTA</v>
      </c>
      <c r="F49" s="18" t="s">
        <v>145</v>
      </c>
      <c r="G49" s="18" t="s">
        <v>29</v>
      </c>
      <c r="H49" s="27" t="s">
        <v>30</v>
      </c>
      <c r="I49" s="23" t="s">
        <v>146</v>
      </c>
      <c r="J49" s="21" t="s">
        <v>32</v>
      </c>
      <c r="K49" s="7" t="s">
        <v>31</v>
      </c>
      <c r="L49" s="7" t="s">
        <v>32</v>
      </c>
      <c r="M49" s="7" t="s">
        <v>32</v>
      </c>
    </row>
    <row r="50" spans="1:13" ht="15.75" customHeight="1">
      <c r="A50" s="10"/>
      <c r="B50" s="6" t="s">
        <v>25</v>
      </c>
      <c r="C50" s="12" t="s">
        <v>26</v>
      </c>
      <c r="D50" s="13" t="s">
        <v>147</v>
      </c>
      <c r="E50" s="19" t="str">
        <f t="shared" si="0"/>
        <v>NROCTA</v>
      </c>
      <c r="F50" s="18" t="s">
        <v>148</v>
      </c>
      <c r="G50" s="18" t="s">
        <v>40</v>
      </c>
      <c r="H50" s="27" t="s">
        <v>30</v>
      </c>
      <c r="I50" s="24">
        <v>1.1013287020038E+17</v>
      </c>
      <c r="J50" s="21" t="s">
        <v>32</v>
      </c>
      <c r="K50" s="7" t="s">
        <v>31</v>
      </c>
      <c r="L50" s="7" t="s">
        <v>32</v>
      </c>
      <c r="M50" s="7" t="s">
        <v>32</v>
      </c>
    </row>
    <row r="51" spans="1:13" ht="15.75" customHeight="1">
      <c r="A51" s="10"/>
      <c r="B51" s="6" t="s">
        <v>25</v>
      </c>
      <c r="C51" s="12" t="s">
        <v>26</v>
      </c>
      <c r="D51" s="13" t="s">
        <v>149</v>
      </c>
      <c r="E51" s="19" t="str">
        <f t="shared" si="0"/>
        <v>MAILCOM</v>
      </c>
      <c r="F51" s="18" t="s">
        <v>150</v>
      </c>
      <c r="G51" s="18" t="s">
        <v>40</v>
      </c>
      <c r="H51" s="27" t="s">
        <v>30</v>
      </c>
      <c r="I51" s="25" t="s">
        <v>151</v>
      </c>
      <c r="J51" s="21" t="s">
        <v>32</v>
      </c>
      <c r="K51" s="7" t="s">
        <v>31</v>
      </c>
      <c r="L51" s="7" t="s">
        <v>32</v>
      </c>
      <c r="M51" s="7" t="s">
        <v>32</v>
      </c>
    </row>
    <row r="52" spans="1:13" ht="15.75" customHeight="1">
      <c r="A52" s="10"/>
      <c r="B52" s="6" t="s">
        <v>25</v>
      </c>
      <c r="C52" s="12" t="s">
        <v>26</v>
      </c>
      <c r="D52" s="13" t="s">
        <v>152</v>
      </c>
      <c r="E52" s="19" t="str">
        <f t="shared" si="0"/>
        <v>REPRLEG</v>
      </c>
      <c r="F52" s="18" t="s">
        <v>153</v>
      </c>
      <c r="G52" s="18" t="s">
        <v>40</v>
      </c>
      <c r="H52" s="27" t="s">
        <v>30</v>
      </c>
      <c r="I52" s="23" t="s">
        <v>154</v>
      </c>
      <c r="J52" s="21" t="s">
        <v>32</v>
      </c>
      <c r="K52" s="7" t="s">
        <v>31</v>
      </c>
      <c r="L52" s="7" t="s">
        <v>32</v>
      </c>
      <c r="M52" s="7" t="s">
        <v>32</v>
      </c>
    </row>
    <row r="53" spans="1:13" ht="15.75" customHeight="1">
      <c r="A53" s="10"/>
      <c r="B53" s="6" t="s">
        <v>25</v>
      </c>
      <c r="C53" s="12" t="s">
        <v>26</v>
      </c>
      <c r="D53" s="13" t="s">
        <v>155</v>
      </c>
      <c r="E53" s="19" t="str">
        <f t="shared" si="0"/>
        <v>MAILRLEG</v>
      </c>
      <c r="F53" s="18" t="s">
        <v>156</v>
      </c>
      <c r="G53" s="18" t="s">
        <v>40</v>
      </c>
      <c r="H53" s="27" t="s">
        <v>30</v>
      </c>
      <c r="I53" s="23" t="s">
        <v>157</v>
      </c>
      <c r="J53" s="21" t="s">
        <v>32</v>
      </c>
      <c r="K53" s="7" t="s">
        <v>31</v>
      </c>
      <c r="L53" s="7" t="s">
        <v>32</v>
      </c>
      <c r="M53" s="7" t="s">
        <v>32</v>
      </c>
    </row>
    <row r="54" spans="1:13" ht="15.75" customHeight="1">
      <c r="A54" s="10"/>
      <c r="B54" s="6" t="s">
        <v>25</v>
      </c>
      <c r="C54" s="12" t="s">
        <v>26</v>
      </c>
      <c r="D54" s="13" t="s">
        <v>158</v>
      </c>
      <c r="E54" s="19" t="str">
        <f t="shared" si="0"/>
        <v>MAILGGEN</v>
      </c>
      <c r="F54" s="18" t="s">
        <v>159</v>
      </c>
      <c r="G54" s="18" t="s">
        <v>40</v>
      </c>
      <c r="H54" s="27" t="s">
        <v>30</v>
      </c>
      <c r="I54" s="25" t="s">
        <v>151</v>
      </c>
      <c r="J54" s="21" t="s">
        <v>32</v>
      </c>
      <c r="K54" s="7" t="s">
        <v>31</v>
      </c>
      <c r="L54" s="7" t="s">
        <v>32</v>
      </c>
      <c r="M54" s="7" t="s">
        <v>32</v>
      </c>
    </row>
    <row r="55" spans="1:13" ht="15.75" customHeight="1">
      <c r="A55" s="10"/>
      <c r="B55" s="6" t="s">
        <v>25</v>
      </c>
      <c r="C55" s="12" t="s">
        <v>26</v>
      </c>
      <c r="D55" s="13" t="s">
        <v>160</v>
      </c>
      <c r="E55" s="19" t="str">
        <f t="shared" si="0"/>
        <v>DIGMAN</v>
      </c>
      <c r="F55" s="18" t="s">
        <v>161</v>
      </c>
      <c r="G55" s="18" t="s">
        <v>29</v>
      </c>
      <c r="H55" s="27" t="s">
        <v>30</v>
      </c>
      <c r="I55" s="23" t="s">
        <v>162</v>
      </c>
      <c r="J55" s="21" t="s">
        <v>32</v>
      </c>
      <c r="K55" s="7" t="s">
        <v>31</v>
      </c>
      <c r="L55" s="7" t="s">
        <v>32</v>
      </c>
      <c r="M55" s="7" t="s">
        <v>32</v>
      </c>
    </row>
    <row r="56" spans="1:13" ht="15.75" customHeight="1">
      <c r="A56" s="10"/>
      <c r="B56" s="6" t="s">
        <v>25</v>
      </c>
      <c r="C56" s="12" t="s">
        <v>26</v>
      </c>
      <c r="D56" s="13" t="s">
        <v>163</v>
      </c>
      <c r="E56" s="19" t="str">
        <f t="shared" si="0"/>
        <v>DIGMANUAL</v>
      </c>
      <c r="F56" s="18" t="s">
        <v>164</v>
      </c>
      <c r="G56" s="18" t="s">
        <v>29</v>
      </c>
      <c r="H56" s="27" t="s">
        <v>30</v>
      </c>
      <c r="I56" s="23" t="s">
        <v>162</v>
      </c>
      <c r="J56" s="21" t="s">
        <v>32</v>
      </c>
      <c r="K56" s="7" t="s">
        <v>31</v>
      </c>
      <c r="L56" s="7" t="s">
        <v>32</v>
      </c>
      <c r="M56" s="7" t="s">
        <v>32</v>
      </c>
    </row>
    <row r="57" spans="1:13" ht="15.75" customHeight="1">
      <c r="A57" s="10"/>
      <c r="B57" s="6" t="s">
        <v>25</v>
      </c>
      <c r="C57" s="12" t="s">
        <v>26</v>
      </c>
      <c r="D57" s="13" t="s">
        <v>165</v>
      </c>
      <c r="E57" s="19" t="str">
        <f t="shared" si="0"/>
        <v>DNI</v>
      </c>
      <c r="F57" s="18" t="s">
        <v>166</v>
      </c>
      <c r="G57" s="18" t="s">
        <v>40</v>
      </c>
      <c r="H57" s="27" t="s">
        <v>30</v>
      </c>
      <c r="I57" s="23">
        <v>9542021</v>
      </c>
      <c r="J57" s="21" t="s">
        <v>32</v>
      </c>
      <c r="K57" s="7" t="s">
        <v>31</v>
      </c>
      <c r="L57" s="7" t="s">
        <v>32</v>
      </c>
      <c r="M57" s="7" t="s">
        <v>32</v>
      </c>
    </row>
    <row r="58" spans="1:13" ht="15.75" customHeight="1">
      <c r="A58" s="10"/>
      <c r="B58" s="6" t="s">
        <v>25</v>
      </c>
      <c r="C58" s="12" t="s">
        <v>26</v>
      </c>
      <c r="D58" s="13" t="s">
        <v>167</v>
      </c>
      <c r="E58" s="19" t="str">
        <f t="shared" si="0"/>
        <v>TIPCOM</v>
      </c>
      <c r="F58" s="18" t="s">
        <v>168</v>
      </c>
      <c r="G58" s="18" t="s">
        <v>29</v>
      </c>
      <c r="H58" s="27" t="s">
        <v>30</v>
      </c>
      <c r="I58" s="23" t="s">
        <v>169</v>
      </c>
      <c r="J58" s="21" t="s">
        <v>32</v>
      </c>
      <c r="K58" s="7" t="s">
        <v>31</v>
      </c>
      <c r="L58" s="7" t="s">
        <v>32</v>
      </c>
      <c r="M58" s="7" t="s">
        <v>32</v>
      </c>
    </row>
    <row r="59" spans="1:13" ht="15.75" customHeight="1">
      <c r="A59" s="10"/>
      <c r="B59" s="6" t="s">
        <v>25</v>
      </c>
      <c r="C59" s="12" t="s">
        <v>26</v>
      </c>
      <c r="D59" s="13" t="s">
        <v>170</v>
      </c>
      <c r="E59" s="19" t="str">
        <f t="shared" si="0"/>
        <v>VIRTUAL</v>
      </c>
      <c r="F59" s="18" t="s">
        <v>171</v>
      </c>
      <c r="G59" s="18" t="s">
        <v>29</v>
      </c>
      <c r="H59" s="27" t="s">
        <v>30</v>
      </c>
      <c r="I59" s="23" t="s">
        <v>172</v>
      </c>
      <c r="J59" s="21" t="s">
        <v>32</v>
      </c>
      <c r="K59" s="7" t="s">
        <v>31</v>
      </c>
      <c r="L59" s="7" t="s">
        <v>32</v>
      </c>
      <c r="M59" s="7" t="s">
        <v>32</v>
      </c>
    </row>
    <row r="60" spans="1:13" ht="15.75" customHeight="1">
      <c r="A60" s="10"/>
      <c r="B60" s="6" t="s">
        <v>25</v>
      </c>
      <c r="C60" s="12" t="s">
        <v>26</v>
      </c>
      <c r="D60" s="13" t="s">
        <v>173</v>
      </c>
      <c r="E60" s="19" t="str">
        <f t="shared" si="0"/>
        <v>RESPCTA_NOMB</v>
      </c>
      <c r="F60" s="18" t="s">
        <v>174</v>
      </c>
      <c r="G60" s="18" t="s">
        <v>40</v>
      </c>
      <c r="H60" s="27" t="s">
        <v>30</v>
      </c>
      <c r="I60" s="23" t="s">
        <v>175</v>
      </c>
      <c r="J60" s="21" t="s">
        <v>32</v>
      </c>
      <c r="K60" s="7" t="s">
        <v>31</v>
      </c>
      <c r="L60" s="7" t="s">
        <v>32</v>
      </c>
      <c r="M60" s="7" t="s">
        <v>32</v>
      </c>
    </row>
    <row r="61" spans="1:13" ht="15.75" customHeight="1">
      <c r="A61" s="10"/>
      <c r="B61" s="6" t="s">
        <v>25</v>
      </c>
      <c r="C61" s="12" t="s">
        <v>26</v>
      </c>
      <c r="D61" s="13" t="s">
        <v>176</v>
      </c>
      <c r="E61" s="19" t="str">
        <f t="shared" si="0"/>
        <v>DEALER</v>
      </c>
      <c r="F61" s="18" t="s">
        <v>177</v>
      </c>
      <c r="G61" s="18" t="s">
        <v>29</v>
      </c>
      <c r="H61" s="27" t="s">
        <v>30</v>
      </c>
      <c r="I61" s="23" t="s">
        <v>178</v>
      </c>
      <c r="J61" s="21" t="s">
        <v>32</v>
      </c>
      <c r="K61" s="7" t="s">
        <v>31</v>
      </c>
      <c r="L61" s="7" t="s">
        <v>32</v>
      </c>
      <c r="M61" s="7" t="s">
        <v>32</v>
      </c>
    </row>
    <row r="62" spans="1:13" ht="15.75" customHeight="1">
      <c r="A62" s="10"/>
      <c r="B62" s="6" t="s">
        <v>25</v>
      </c>
      <c r="C62" s="12" t="s">
        <v>26</v>
      </c>
      <c r="D62" s="13" t="s">
        <v>179</v>
      </c>
      <c r="E62" s="19" t="str">
        <f t="shared" si="0"/>
        <v>DEALER_GEN</v>
      </c>
      <c r="F62" s="18" t="s">
        <v>180</v>
      </c>
      <c r="G62" s="18" t="s">
        <v>29</v>
      </c>
      <c r="H62" s="27" t="s">
        <v>30</v>
      </c>
      <c r="I62" s="23" t="s">
        <v>176</v>
      </c>
      <c r="J62" s="21" t="s">
        <v>32</v>
      </c>
      <c r="K62" s="7" t="s">
        <v>31</v>
      </c>
      <c r="L62" s="7" t="s">
        <v>32</v>
      </c>
      <c r="M62" s="7" t="s">
        <v>32</v>
      </c>
    </row>
    <row r="63" spans="1:13" ht="15.75" customHeight="1">
      <c r="A63" s="10"/>
      <c r="B63" s="6" t="s">
        <v>25</v>
      </c>
      <c r="C63" s="12" t="s">
        <v>26</v>
      </c>
      <c r="D63" s="13" t="s">
        <v>181</v>
      </c>
      <c r="E63" s="19" t="str">
        <f t="shared" si="0"/>
        <v>DEALER_EJE</v>
      </c>
      <c r="F63" s="18" t="s">
        <v>182</v>
      </c>
      <c r="G63" s="18" t="s">
        <v>29</v>
      </c>
      <c r="H63" s="27" t="s">
        <v>30</v>
      </c>
      <c r="I63" s="23" t="s">
        <v>183</v>
      </c>
      <c r="J63" s="21" t="s">
        <v>32</v>
      </c>
      <c r="K63" s="7" t="s">
        <v>31</v>
      </c>
      <c r="L63" s="7" t="s">
        <v>32</v>
      </c>
      <c r="M63" s="7" t="s">
        <v>32</v>
      </c>
    </row>
    <row r="64" spans="1:13" ht="15.75" customHeight="1">
      <c r="A64" s="10"/>
      <c r="B64" s="6" t="s">
        <v>25</v>
      </c>
      <c r="C64" s="12" t="s">
        <v>26</v>
      </c>
      <c r="D64" s="13" t="s">
        <v>184</v>
      </c>
      <c r="E64" s="19" t="str">
        <f t="shared" si="0"/>
        <v>FACISERV</v>
      </c>
      <c r="F64" s="18" t="s">
        <v>185</v>
      </c>
      <c r="G64" s="18" t="s">
        <v>29</v>
      </c>
      <c r="H64" s="27" t="s">
        <v>30</v>
      </c>
      <c r="I64" s="23"/>
      <c r="J64" s="21" t="s">
        <v>32</v>
      </c>
      <c r="K64" s="7" t="s">
        <v>31</v>
      </c>
      <c r="L64" s="7" t="s">
        <v>32</v>
      </c>
      <c r="M64" s="7" t="s">
        <v>32</v>
      </c>
    </row>
    <row r="65" spans="1:13" ht="15.75" customHeight="1">
      <c r="A65" s="10"/>
      <c r="B65" s="6" t="s">
        <v>25</v>
      </c>
      <c r="C65" s="12" t="s">
        <v>26</v>
      </c>
      <c r="D65" s="13" t="s">
        <v>186</v>
      </c>
      <c r="E65" s="19" t="str">
        <f t="shared" si="0"/>
        <v>FACIPAGOS</v>
      </c>
      <c r="F65" s="18" t="s">
        <v>187</v>
      </c>
      <c r="G65" s="18" t="s">
        <v>29</v>
      </c>
      <c r="H65" s="27" t="s">
        <v>30</v>
      </c>
      <c r="I65" s="23"/>
      <c r="J65" s="21" t="s">
        <v>32</v>
      </c>
      <c r="K65" s="7" t="s">
        <v>31</v>
      </c>
      <c r="L65" s="7" t="s">
        <v>32</v>
      </c>
      <c r="M65" s="7" t="s">
        <v>32</v>
      </c>
    </row>
    <row r="66" spans="1:13" ht="15.75" customHeight="1">
      <c r="A66" s="10"/>
      <c r="B66" s="6" t="s">
        <v>25</v>
      </c>
      <c r="C66" s="12" t="s">
        <v>26</v>
      </c>
      <c r="D66" s="13" t="s">
        <v>188</v>
      </c>
      <c r="E66" s="19" t="str">
        <f t="shared" si="0"/>
        <v>CONT_FAC_ELEC</v>
      </c>
      <c r="F66" s="18" t="s">
        <v>189</v>
      </c>
      <c r="G66" s="18" t="s">
        <v>40</v>
      </c>
      <c r="H66" s="27" t="s">
        <v>30</v>
      </c>
      <c r="I66" s="23" t="s">
        <v>154</v>
      </c>
      <c r="J66" s="21" t="s">
        <v>32</v>
      </c>
      <c r="K66" s="7" t="s">
        <v>31</v>
      </c>
      <c r="L66" s="7" t="s">
        <v>32</v>
      </c>
      <c r="M66" s="7" t="s">
        <v>32</v>
      </c>
    </row>
    <row r="67" spans="1:13" ht="15.75" customHeight="1">
      <c r="A67" s="10"/>
      <c r="B67" s="6" t="s">
        <v>25</v>
      </c>
      <c r="C67" s="12" t="s">
        <v>26</v>
      </c>
      <c r="D67" s="13" t="s">
        <v>190</v>
      </c>
      <c r="E67" s="19" t="str">
        <f t="shared" si="0"/>
        <v>CONT8_FAC_ELEC</v>
      </c>
      <c r="F67" s="18" t="s">
        <v>191</v>
      </c>
      <c r="G67" s="18" t="s">
        <v>40</v>
      </c>
      <c r="H67" s="27" t="s">
        <v>30</v>
      </c>
      <c r="I67" s="23"/>
      <c r="J67" s="21" t="s">
        <v>32</v>
      </c>
      <c r="K67" s="7" t="s">
        <v>31</v>
      </c>
      <c r="L67" s="7" t="s">
        <v>32</v>
      </c>
      <c r="M67" s="7" t="s">
        <v>32</v>
      </c>
    </row>
    <row r="68" spans="1:13" ht="15.75" customHeight="1">
      <c r="A68" s="17"/>
      <c r="B68" s="6" t="s">
        <v>25</v>
      </c>
      <c r="C68" s="12" t="s">
        <v>26</v>
      </c>
      <c r="D68" s="13" t="s">
        <v>192</v>
      </c>
      <c r="E68" s="19" t="str">
        <f t="shared" ref="E68:E89" si="1">UPPER(D68)</f>
        <v>MAIL_FACT_ELEC</v>
      </c>
      <c r="F68" s="18" t="s">
        <v>193</v>
      </c>
      <c r="G68" s="18" t="s">
        <v>40</v>
      </c>
      <c r="H68" s="27" t="s">
        <v>30</v>
      </c>
      <c r="I68" s="23" t="s">
        <v>157</v>
      </c>
      <c r="J68" s="21" t="s">
        <v>32</v>
      </c>
      <c r="K68" s="7" t="s">
        <v>31</v>
      </c>
      <c r="L68" s="7" t="s">
        <v>32</v>
      </c>
      <c r="M68" s="7" t="s">
        <v>32</v>
      </c>
    </row>
    <row r="69" spans="1:13" ht="15" customHeight="1">
      <c r="A69" s="10"/>
      <c r="B69" s="6" t="s">
        <v>25</v>
      </c>
      <c r="C69" s="12" t="s">
        <v>26</v>
      </c>
      <c r="D69" s="13" t="s">
        <v>194</v>
      </c>
      <c r="E69" s="19" t="str">
        <f t="shared" si="1"/>
        <v>PAY_FACI_ID</v>
      </c>
      <c r="F69" s="18" t="s">
        <v>195</v>
      </c>
      <c r="G69" s="18" t="s">
        <v>29</v>
      </c>
      <c r="H69" s="27" t="s">
        <v>30</v>
      </c>
      <c r="I69" s="23"/>
      <c r="J69" s="21" t="s">
        <v>32</v>
      </c>
      <c r="K69" s="7" t="s">
        <v>31</v>
      </c>
      <c r="L69" s="7" t="s">
        <v>32</v>
      </c>
      <c r="M69" s="7" t="s">
        <v>32</v>
      </c>
    </row>
    <row r="70" spans="1:13" ht="15" customHeight="1">
      <c r="A70" s="10"/>
      <c r="B70" s="6" t="s">
        <v>25</v>
      </c>
      <c r="C70" s="12" t="s">
        <v>26</v>
      </c>
      <c r="D70" s="13" t="s">
        <v>196</v>
      </c>
      <c r="E70" s="19" t="str">
        <f t="shared" si="1"/>
        <v>TIP_DOC_T</v>
      </c>
      <c r="F70" s="18" t="s">
        <v>197</v>
      </c>
      <c r="G70" s="18" t="s">
        <v>29</v>
      </c>
      <c r="H70" s="27" t="s">
        <v>30</v>
      </c>
      <c r="I70" s="23">
        <v>1</v>
      </c>
      <c r="J70" s="21" t="s">
        <v>32</v>
      </c>
      <c r="K70" s="7" t="s">
        <v>31</v>
      </c>
      <c r="L70" s="7" t="s">
        <v>32</v>
      </c>
      <c r="M70" s="7" t="s">
        <v>32</v>
      </c>
    </row>
    <row r="71" spans="1:13" ht="15" customHeight="1">
      <c r="A71" s="10"/>
      <c r="B71" s="6" t="s">
        <v>25</v>
      </c>
      <c r="C71" s="12" t="s">
        <v>26</v>
      </c>
      <c r="D71" s="13" t="s">
        <v>198</v>
      </c>
      <c r="E71" s="19" t="str">
        <f t="shared" si="1"/>
        <v>NRO_DOC_T</v>
      </c>
      <c r="F71" s="18" t="s">
        <v>199</v>
      </c>
      <c r="G71" s="18" t="s">
        <v>40</v>
      </c>
      <c r="H71" s="27" t="s">
        <v>30</v>
      </c>
      <c r="I71" s="23">
        <v>9542021</v>
      </c>
      <c r="J71" s="21" t="s">
        <v>32</v>
      </c>
      <c r="K71" s="7" t="s">
        <v>31</v>
      </c>
      <c r="L71" s="7" t="s">
        <v>32</v>
      </c>
      <c r="M71" s="7" t="s">
        <v>32</v>
      </c>
    </row>
    <row r="72" spans="1:13" ht="15" customHeight="1">
      <c r="A72" s="10"/>
      <c r="B72" s="6" t="s">
        <v>25</v>
      </c>
      <c r="C72" s="12" t="s">
        <v>26</v>
      </c>
      <c r="D72" s="13" t="s">
        <v>200</v>
      </c>
      <c r="E72" s="19" t="str">
        <f t="shared" si="1"/>
        <v>TITULAR_T</v>
      </c>
      <c r="F72" s="18" t="s">
        <v>201</v>
      </c>
      <c r="G72" s="18" t="s">
        <v>40</v>
      </c>
      <c r="H72" s="27" t="s">
        <v>30</v>
      </c>
      <c r="I72" s="23" t="s">
        <v>154</v>
      </c>
      <c r="J72" s="21" t="s">
        <v>32</v>
      </c>
      <c r="K72" s="7" t="s">
        <v>31</v>
      </c>
      <c r="L72" s="7" t="s">
        <v>32</v>
      </c>
      <c r="M72" s="7" t="s">
        <v>32</v>
      </c>
    </row>
    <row r="73" spans="1:13" ht="15" customHeight="1">
      <c r="A73" s="10"/>
      <c r="B73" s="6" t="s">
        <v>25</v>
      </c>
      <c r="C73" s="12" t="s">
        <v>26</v>
      </c>
      <c r="D73" s="13" t="s">
        <v>202</v>
      </c>
      <c r="E73" s="19" t="str">
        <f t="shared" si="1"/>
        <v>TIPO_FACI</v>
      </c>
      <c r="F73" s="18" t="s">
        <v>203</v>
      </c>
      <c r="G73" s="18" t="s">
        <v>29</v>
      </c>
      <c r="H73" s="27" t="s">
        <v>30</v>
      </c>
      <c r="I73" s="23"/>
      <c r="J73" s="21" t="s">
        <v>32</v>
      </c>
      <c r="K73" s="7" t="s">
        <v>31</v>
      </c>
      <c r="L73" s="7" t="s">
        <v>32</v>
      </c>
      <c r="M73" s="7" t="s">
        <v>32</v>
      </c>
    </row>
    <row r="74" spans="1:13" ht="15" customHeight="1">
      <c r="A74" s="10"/>
      <c r="B74" s="6" t="s">
        <v>25</v>
      </c>
      <c r="C74" s="12" t="s">
        <v>26</v>
      </c>
      <c r="D74" s="13" t="s">
        <v>204</v>
      </c>
      <c r="E74" s="19" t="str">
        <f t="shared" si="1"/>
        <v>PAG_WEB</v>
      </c>
      <c r="F74" s="18" t="s">
        <v>205</v>
      </c>
      <c r="G74" s="18" t="s">
        <v>29</v>
      </c>
      <c r="H74" s="27" t="s">
        <v>30</v>
      </c>
      <c r="I74" s="23"/>
      <c r="J74" s="21" t="s">
        <v>32</v>
      </c>
      <c r="K74" s="7" t="s">
        <v>31</v>
      </c>
      <c r="L74" s="7" t="s">
        <v>32</v>
      </c>
      <c r="M74" s="7" t="s">
        <v>32</v>
      </c>
    </row>
    <row r="75" spans="1:13" ht="15" customHeight="1">
      <c r="A75" s="10"/>
      <c r="B75" s="6" t="s">
        <v>25</v>
      </c>
      <c r="C75" s="12" t="s">
        <v>26</v>
      </c>
      <c r="D75" s="13" t="s">
        <v>206</v>
      </c>
      <c r="E75" s="19" t="str">
        <f t="shared" si="1"/>
        <v>TEL_OFI</v>
      </c>
      <c r="F75" s="18" t="s">
        <v>207</v>
      </c>
      <c r="G75" s="18" t="s">
        <v>29</v>
      </c>
      <c r="H75" s="27" t="s">
        <v>30</v>
      </c>
      <c r="I75" s="23"/>
      <c r="J75" s="21" t="s">
        <v>32</v>
      </c>
      <c r="K75" s="7" t="s">
        <v>31</v>
      </c>
      <c r="L75" s="7" t="s">
        <v>32</v>
      </c>
      <c r="M75" s="7" t="s">
        <v>32</v>
      </c>
    </row>
    <row r="76" spans="1:13" ht="15" customHeight="1">
      <c r="A76" s="10"/>
      <c r="B76" s="6" t="s">
        <v>25</v>
      </c>
      <c r="C76" s="12" t="s">
        <v>26</v>
      </c>
      <c r="D76" s="13" t="s">
        <v>208</v>
      </c>
      <c r="E76" s="19" t="str">
        <f t="shared" si="1"/>
        <v>FAX_OFI</v>
      </c>
      <c r="F76" s="18" t="s">
        <v>209</v>
      </c>
      <c r="G76" s="18" t="s">
        <v>29</v>
      </c>
      <c r="H76" s="27" t="s">
        <v>30</v>
      </c>
      <c r="I76" s="23"/>
      <c r="J76" s="21" t="s">
        <v>32</v>
      </c>
      <c r="K76" s="7" t="s">
        <v>31</v>
      </c>
      <c r="L76" s="7" t="s">
        <v>32</v>
      </c>
      <c r="M76" s="7" t="s">
        <v>32</v>
      </c>
    </row>
    <row r="77" spans="1:13" ht="15" customHeight="1">
      <c r="A77" s="10"/>
      <c r="B77" s="6" t="s">
        <v>25</v>
      </c>
      <c r="C77" s="12" t="s">
        <v>26</v>
      </c>
      <c r="D77" s="13" t="s">
        <v>210</v>
      </c>
      <c r="E77" s="19" t="str">
        <f t="shared" si="1"/>
        <v>EMAILOPERA</v>
      </c>
      <c r="F77" s="18" t="s">
        <v>211</v>
      </c>
      <c r="G77" s="18" t="s">
        <v>40</v>
      </c>
      <c r="H77" s="27" t="s">
        <v>30</v>
      </c>
      <c r="I77" s="23" t="s">
        <v>157</v>
      </c>
      <c r="J77" s="21" t="s">
        <v>32</v>
      </c>
      <c r="K77" s="7" t="s">
        <v>31</v>
      </c>
      <c r="L77" s="7" t="s">
        <v>32</v>
      </c>
      <c r="M77" s="7" t="s">
        <v>32</v>
      </c>
    </row>
    <row r="78" spans="1:13" ht="15" customHeight="1">
      <c r="A78" s="10"/>
      <c r="B78" s="6" t="s">
        <v>25</v>
      </c>
      <c r="C78" s="12" t="s">
        <v>26</v>
      </c>
      <c r="D78" s="13" t="s">
        <v>212</v>
      </c>
      <c r="E78" s="19" t="str">
        <f t="shared" si="1"/>
        <v>EMAILREPPROC</v>
      </c>
      <c r="F78" s="18" t="s">
        <v>213</v>
      </c>
      <c r="G78" s="18" t="s">
        <v>40</v>
      </c>
      <c r="H78" s="27" t="s">
        <v>30</v>
      </c>
      <c r="I78" s="25" t="s">
        <v>151</v>
      </c>
      <c r="J78" s="21" t="s">
        <v>32</v>
      </c>
      <c r="K78" s="7" t="s">
        <v>31</v>
      </c>
      <c r="L78" s="7" t="s">
        <v>32</v>
      </c>
      <c r="M78" s="7" t="s">
        <v>32</v>
      </c>
    </row>
    <row r="79" spans="1:13" ht="15" customHeight="1">
      <c r="A79" s="10"/>
      <c r="B79" s="6" t="s">
        <v>25</v>
      </c>
      <c r="C79" s="12" t="s">
        <v>26</v>
      </c>
      <c r="D79" s="13" t="s">
        <v>214</v>
      </c>
      <c r="E79" s="19" t="str">
        <f t="shared" si="1"/>
        <v>CARTERA_FM</v>
      </c>
      <c r="F79" s="18" t="s">
        <v>215</v>
      </c>
      <c r="G79" s="18" t="s">
        <v>29</v>
      </c>
      <c r="H79" s="27" t="s">
        <v>30</v>
      </c>
      <c r="I79" s="23" t="s">
        <v>216</v>
      </c>
      <c r="J79" s="21" t="s">
        <v>32</v>
      </c>
      <c r="K79" s="7" t="s">
        <v>31</v>
      </c>
      <c r="L79" s="7" t="s">
        <v>32</v>
      </c>
      <c r="M79" s="7" t="s">
        <v>32</v>
      </c>
    </row>
    <row r="80" spans="1:13" ht="15" customHeight="1">
      <c r="A80" s="10"/>
      <c r="B80" s="6" t="s">
        <v>25</v>
      </c>
      <c r="C80" s="12" t="s">
        <v>26</v>
      </c>
      <c r="D80" s="13" t="s">
        <v>217</v>
      </c>
      <c r="E80" s="19" t="str">
        <f t="shared" si="1"/>
        <v>NOMBRE_PRODUCTO</v>
      </c>
      <c r="F80" s="18" t="s">
        <v>218</v>
      </c>
      <c r="G80" s="18" t="s">
        <v>29</v>
      </c>
      <c r="H80" s="27" t="s">
        <v>30</v>
      </c>
      <c r="I80" s="23" t="s">
        <v>219</v>
      </c>
      <c r="J80" s="21" t="s">
        <v>32</v>
      </c>
      <c r="K80" s="7" t="s">
        <v>31</v>
      </c>
      <c r="L80" s="7" t="s">
        <v>32</v>
      </c>
      <c r="M80" s="7" t="s">
        <v>32</v>
      </c>
    </row>
    <row r="81" spans="1:13" ht="15" customHeight="1">
      <c r="A81" s="10"/>
      <c r="B81" s="6" t="s">
        <v>25</v>
      </c>
      <c r="C81" s="12" t="s">
        <v>26</v>
      </c>
      <c r="D81" s="13" t="s">
        <v>220</v>
      </c>
      <c r="E81" s="19" t="str">
        <f t="shared" si="1"/>
        <v>COMPANIA</v>
      </c>
      <c r="F81" s="18" t="s">
        <v>221</v>
      </c>
      <c r="G81" s="18" t="s">
        <v>29</v>
      </c>
      <c r="H81" s="27" t="s">
        <v>30</v>
      </c>
      <c r="I81" s="23" t="s">
        <v>219</v>
      </c>
      <c r="J81" s="21" t="s">
        <v>32</v>
      </c>
      <c r="K81" s="7" t="s">
        <v>31</v>
      </c>
      <c r="L81" s="7" t="s">
        <v>32</v>
      </c>
      <c r="M81" s="7" t="s">
        <v>32</v>
      </c>
    </row>
    <row r="82" spans="1:13" ht="15" customHeight="1">
      <c r="A82" s="10"/>
      <c r="B82" s="6" t="s">
        <v>25</v>
      </c>
      <c r="C82" s="12" t="s">
        <v>26</v>
      </c>
      <c r="D82" s="13" t="s">
        <v>222</v>
      </c>
      <c r="E82" s="19" t="str">
        <f t="shared" si="1"/>
        <v>DIVISION_PRODUCTO</v>
      </c>
      <c r="F82" s="18" t="s">
        <v>223</v>
      </c>
      <c r="G82" s="18" t="s">
        <v>29</v>
      </c>
      <c r="H82" s="27" t="s">
        <v>30</v>
      </c>
      <c r="I82" s="23" t="s">
        <v>224</v>
      </c>
      <c r="J82" s="21" t="s">
        <v>32</v>
      </c>
      <c r="K82" s="7" t="s">
        <v>31</v>
      </c>
      <c r="L82" s="7" t="s">
        <v>32</v>
      </c>
      <c r="M82" s="7" t="s">
        <v>32</v>
      </c>
    </row>
    <row r="83" spans="1:13" ht="15" customHeight="1">
      <c r="A83" s="10"/>
      <c r="B83" s="6" t="s">
        <v>25</v>
      </c>
      <c r="C83" s="12" t="s">
        <v>26</v>
      </c>
      <c r="D83" s="13" t="s">
        <v>225</v>
      </c>
      <c r="E83" s="19" t="str">
        <f t="shared" si="1"/>
        <v>TIPO_PRODUCTO</v>
      </c>
      <c r="F83" s="18" t="s">
        <v>226</v>
      </c>
      <c r="G83" s="18" t="s">
        <v>29</v>
      </c>
      <c r="H83" s="27" t="s">
        <v>30</v>
      </c>
      <c r="I83" s="23" t="s">
        <v>219</v>
      </c>
      <c r="J83" s="21" t="s">
        <v>32</v>
      </c>
      <c r="K83" s="7" t="s">
        <v>31</v>
      </c>
      <c r="L83" s="7" t="s">
        <v>32</v>
      </c>
      <c r="M83" s="7" t="s">
        <v>32</v>
      </c>
    </row>
    <row r="84" spans="1:13" ht="15" customHeight="1">
      <c r="A84" s="10"/>
      <c r="B84" s="6" t="s">
        <v>25</v>
      </c>
      <c r="C84" s="12" t="s">
        <v>26</v>
      </c>
      <c r="D84" s="13" t="s">
        <v>227</v>
      </c>
      <c r="E84" s="19" t="str">
        <f t="shared" si="1"/>
        <v>PRODUCTO</v>
      </c>
      <c r="F84" s="18" t="s">
        <v>228</v>
      </c>
      <c r="G84" s="18" t="s">
        <v>29</v>
      </c>
      <c r="H84" s="27" t="s">
        <v>30</v>
      </c>
      <c r="I84" s="23" t="s">
        <v>219</v>
      </c>
      <c r="J84" s="21" t="s">
        <v>32</v>
      </c>
      <c r="K84" s="7" t="s">
        <v>31</v>
      </c>
      <c r="L84" s="7" t="s">
        <v>32</v>
      </c>
      <c r="M84" s="7" t="s">
        <v>32</v>
      </c>
    </row>
    <row r="85" spans="1:13" ht="15" customHeight="1">
      <c r="A85" s="10"/>
      <c r="B85" s="6" t="s">
        <v>25</v>
      </c>
      <c r="C85" s="12" t="s">
        <v>26</v>
      </c>
      <c r="D85" s="13" t="s">
        <v>229</v>
      </c>
      <c r="E85" s="19" t="str">
        <f t="shared" si="1"/>
        <v>DIRECC_CONT_8</v>
      </c>
      <c r="F85" s="18" t="s">
        <v>230</v>
      </c>
      <c r="G85" s="18" t="s">
        <v>29</v>
      </c>
      <c r="H85" s="27" t="s">
        <v>30</v>
      </c>
      <c r="I85" s="23" t="s">
        <v>219</v>
      </c>
      <c r="J85" s="21" t="s">
        <v>32</v>
      </c>
      <c r="K85" s="7" t="s">
        <v>31</v>
      </c>
      <c r="L85" s="7" t="s">
        <v>32</v>
      </c>
      <c r="M85" s="7" t="s">
        <v>32</v>
      </c>
    </row>
    <row r="86" spans="1:13" ht="15" customHeight="1">
      <c r="A86" s="10"/>
      <c r="B86" s="6" t="s">
        <v>25</v>
      </c>
      <c r="C86" s="12" t="s">
        <v>26</v>
      </c>
      <c r="D86" s="13" t="s">
        <v>231</v>
      </c>
      <c r="E86" s="19" t="str">
        <f t="shared" si="1"/>
        <v>DOCIDE_CONT_8</v>
      </c>
      <c r="F86" s="18" t="s">
        <v>232</v>
      </c>
      <c r="G86" s="18" t="s">
        <v>40</v>
      </c>
      <c r="H86" s="27" t="s">
        <v>30</v>
      </c>
      <c r="I86" s="23" t="s">
        <v>219</v>
      </c>
      <c r="J86" s="21" t="s">
        <v>32</v>
      </c>
      <c r="K86" s="7" t="s">
        <v>31</v>
      </c>
      <c r="L86" s="7" t="s">
        <v>32</v>
      </c>
      <c r="M86" s="7" t="s">
        <v>32</v>
      </c>
    </row>
    <row r="87" spans="1:13" ht="15" customHeight="1">
      <c r="A87" s="10"/>
      <c r="B87" s="6" t="s">
        <v>25</v>
      </c>
      <c r="C87" s="12" t="s">
        <v>26</v>
      </c>
      <c r="D87" s="13" t="s">
        <v>233</v>
      </c>
      <c r="E87" s="19" t="str">
        <f t="shared" si="1"/>
        <v>APEPAT_CONT_8</v>
      </c>
      <c r="F87" s="18" t="s">
        <v>234</v>
      </c>
      <c r="G87" s="18" t="s">
        <v>40</v>
      </c>
      <c r="H87" s="27" t="s">
        <v>30</v>
      </c>
      <c r="I87" s="23" t="s">
        <v>219</v>
      </c>
      <c r="J87" s="21" t="s">
        <v>32</v>
      </c>
      <c r="K87" s="7" t="s">
        <v>31</v>
      </c>
      <c r="L87" s="7" t="s">
        <v>32</v>
      </c>
      <c r="M87" s="7" t="s">
        <v>32</v>
      </c>
    </row>
    <row r="88" spans="1:13" ht="15" customHeight="1">
      <c r="A88" s="10"/>
      <c r="B88" s="6" t="s">
        <v>25</v>
      </c>
      <c r="C88" s="12" t="s">
        <v>26</v>
      </c>
      <c r="D88" s="16" t="s">
        <v>235</v>
      </c>
      <c r="E88" s="19" t="str">
        <f t="shared" si="1"/>
        <v>NOMBRE_CONT_8</v>
      </c>
      <c r="F88" s="18" t="s">
        <v>236</v>
      </c>
      <c r="G88" s="18" t="s">
        <v>40</v>
      </c>
      <c r="H88" s="27" t="s">
        <v>30</v>
      </c>
      <c r="I88" s="23" t="s">
        <v>219</v>
      </c>
      <c r="J88" s="21" t="s">
        <v>32</v>
      </c>
      <c r="K88" s="7" t="s">
        <v>31</v>
      </c>
      <c r="L88" s="7" t="s">
        <v>32</v>
      </c>
      <c r="M88" s="7" t="s">
        <v>32</v>
      </c>
    </row>
    <row r="89" spans="1:13" ht="15" customHeight="1">
      <c r="A89" s="10"/>
      <c r="B89" s="6" t="s">
        <v>25</v>
      </c>
      <c r="C89" s="15" t="s">
        <v>26</v>
      </c>
      <c r="D89" s="14" t="s">
        <v>237</v>
      </c>
      <c r="E89" s="20" t="str">
        <f t="shared" si="1"/>
        <v>ARISALE</v>
      </c>
      <c r="F89" s="18" t="s">
        <v>238</v>
      </c>
      <c r="G89" s="18" t="s">
        <v>29</v>
      </c>
      <c r="H89" s="27" t="s">
        <v>30</v>
      </c>
      <c r="I89" s="23" t="s">
        <v>133</v>
      </c>
      <c r="J89" s="21" t="s">
        <v>32</v>
      </c>
      <c r="K89" s="7" t="s">
        <v>31</v>
      </c>
      <c r="L89" s="7" t="s">
        <v>32</v>
      </c>
      <c r="M89" s="7" t="s">
        <v>32</v>
      </c>
    </row>
    <row r="90" spans="1:13" ht="15" customHeight="1"/>
    <row r="91" spans="1:13" ht="15" customHeight="1"/>
    <row r="92" spans="1:13" ht="15" customHeight="1"/>
    <row r="93" spans="1:13" ht="15" customHeight="1"/>
    <row r="94" spans="1:13" ht="15" customHeight="1"/>
    <row r="95" spans="1:13" ht="15" customHeight="1"/>
    <row r="96" spans="1:13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</sheetData>
  <autoFilter ref="A1:M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F4F79-90EE-4248-AD76-EAE3D1C79EAA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74EB0FD4-39BA-4860-BF6E-0F0490156646}"/>
</file>

<file path=customXml/itemProps3.xml><?xml version="1.0" encoding="utf-8"?>
<ds:datastoreItem xmlns:ds="http://schemas.openxmlformats.org/officeDocument/2006/customXml" ds:itemID="{DE42D873-B580-42BE-BF50-12261D22AA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PFYCC_GI_TRANS_MCESTAB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2025-04-14T23:34:46Z</dcterms:created>
  <dcterms:modified xsi:type="dcterms:W3CDTF">2025-09-03T20:58:09Z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